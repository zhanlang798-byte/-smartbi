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8ba815025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a333f550c45c45ae"/>
    <x:sheet xmlns:r="http://schemas.openxmlformats.org/officeDocument/2006/relationships" name="01_数据目录" sheetId="2" r:id="Ra0de7ea034ba4b77"/>
    <x:sheet xmlns:r="http://schemas.openxmlformats.org/officeDocument/2006/relationships" name="02_因素地图" sheetId="3" r:id="Rdfdecea94c244f48"/>
    <x:sheet xmlns:r="http://schemas.openxmlformats.org/officeDocument/2006/relationships" name="03_事件时间线" sheetId="4" r:id="Re950fd985b234bb8"/>
    <x:sheet xmlns:r="http://schemas.openxmlformats.org/officeDocument/2006/relationships" name="04_因子扫描" sheetId="5" r:id="Rd05ba5e76981426c"/>
    <x:sheet xmlns:r="http://schemas.openxmlformats.org/officeDocument/2006/relationships" name="05_月度建模表" sheetId="6" r:id="Rcc8d0db0a24c4482"/>
    <x:sheet xmlns:r="http://schemas.openxmlformats.org/officeDocument/2006/relationships" name="06_月度价格" sheetId="7" r:id="Rc08c68ba16a3433e"/>
    <x:sheet xmlns:r="http://schemas.openxmlformats.org/officeDocument/2006/relationships" name="07_日收益率" sheetId="8" r:id="R7c75a15223cf43a5"/>
    <x:sheet xmlns:r="http://schemas.openxmlformats.org/officeDocument/2006/relationships" name="08_美元指数" sheetId="9" r:id="Rb20c64718c7c420d"/>
    <x:sheet xmlns:r="http://schemas.openxmlformats.org/officeDocument/2006/relationships" name="09_CFTC持仓" sheetId="10" r:id="R06fa8c718ad842eb"/>
    <x:sheet xmlns:r="http://schemas.openxmlformats.org/officeDocument/2006/relationships" name="10_GPR指数" sheetId="11" r:id="R4ab917c944434bb0"/>
    <x:sheet xmlns:r="http://schemas.openxmlformats.org/officeDocument/2006/relationships" name="11_质量检查" sheetId="12" r:id="R7584c021946e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0"/>
    <x:numFmt numFmtId="202" formatCode="0.0000"/>
    <x:numFmt numFmtId="203" formatCode="yyyy-mm"/>
    <x:numFmt numFmtId="204" formatCode="0.00"/>
    <x:numFmt numFmtId="205" formatCode="0.00%"/>
    <x:numFmt numFmtId="206" formatCode="@"/>
  </x:numFmts>
  <x:fonts count="18">
    <x:font>
      <x:sz val="11"/>
      <x:name val="Carlito"/>
    </x:font>
    <x:font>
      <x:b/>
      <x:sz val="22"/>
      <x:color rgb="FFFFFFFF"/>
      <x:name val="Carlito"/>
    </x:font>
    <x:font>
      <x:i/>
      <x:sz val="10"/>
      <x:color rgb="FF243B53"/>
      <x:name val="Carlito"/>
    </x:font>
    <x:font>
      <x:b/>
      <x:sz val="14"/>
      <x:color rgb="FF102A43"/>
      <x:name val="Carlito"/>
    </x:font>
    <x:font>
      <x:b/>
      <x:sz val="11"/>
      <x:color rgb="FFFFFFFF"/>
      <x:name val="Carlito"/>
    </x:font>
    <x:font>
      <x:sz val="10"/>
      <x:color rgb="FF243B53"/>
      <x:name val="Carlito"/>
    </x:font>
    <x:font>
      <x:b/>
      <x:sz val="22"/>
      <x:color rgb="FFFFFFFF"/>
      <x:name val="Microsoft YaHei"/>
    </x:font>
    <x:font>
      <x:i/>
      <x:sz val="10"/>
      <x:color rgb="FF243B53"/>
      <x:name val="Microsoft YaHei"/>
    </x:font>
    <x:font>
      <x:sz val="11"/>
      <x:name val="Microsoft YaHei"/>
    </x:font>
    <x:font>
      <x:b/>
      <x:sz val="14"/>
      <x:color rgb="FF102A43"/>
      <x:name val="Microsoft YaHei"/>
    </x:font>
    <x:font>
      <x:b/>
      <x:sz val="11"/>
      <x:color rgb="FFFFFFFF"/>
      <x:name val="Microsoft YaHei"/>
    </x:font>
    <x:font>
      <x:sz val="10"/>
      <x:color rgb="FF243B53"/>
      <x:name val="Microsoft YaHei"/>
    </x:font>
    <x:font>
      <x:sz val="9"/>
      <x:color rgb="FF243B53"/>
      <x:name val="Microsoft YaHei"/>
    </x:font>
    <x:font>
      <x:b/>
      <x:sz val="10"/>
      <x:color rgb="FFFFFFFF"/>
      <x:name val="Microsoft YaHei"/>
    </x:font>
    <x:font>
      <x:b/>
      <x:sz val="9"/>
      <x:color rgb="FFB42318"/>
      <x:name val="Microsoft YaHei"/>
    </x:font>
    <x:font>
      <x:b/>
      <x:sz val="9"/>
      <x:color rgb="FF0F766E"/>
      <x:name val="Microsoft YaHei"/>
    </x:font>
    <x:font>
      <x:b/>
      <x:sz val="18"/>
      <x:color rgb="FFFFFFFF"/>
      <x:name val="Carlito"/>
    </x:font>
    <x:font>
      <x:sz val="10"/>
      <x:color rgb="FF102A4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7E8BF"/>
      </x:patternFill>
    </x:fill>
    <x:fill>
      <x:patternFill patternType="solid">
        <x:fgColor rgb="FFD9F0F3"/>
      </x:patternFill>
    </x:fill>
    <x:fill>
      <x:patternFill patternType="solid">
        <x:fgColor rgb="FFE8EEF2"/>
      </x:patternFill>
    </x:fill>
    <x:fill>
      <x:patternFill patternType="solid">
        <x:fgColor rgb="FF243B53"/>
      </x:patternFill>
    </x:fill>
    <x:fill>
      <x:patternFill patternType="solid">
        <x:fgColor rgb="FFF5F7FA"/>
      </x:patternFill>
    </x:fill>
    <x:fill>
      <x:patternFill patternType="solid">
        <x:fgColor rgb="FFC9952D"/>
      </x:patternFill>
    </x:fill>
    <x:fill>
      <x:patternFill patternType="solid">
        <x:fgColor rgb="FFFDE7E4"/>
      </x:patternFill>
    </x:fill>
    <x:fill>
      <x:patternFill patternType="solid">
        <x:fgColor rgb="FFDDF4EC"/>
      </x:patternFill>
    </x:fill>
  </x:fills>
  <x:borders count="27">
    <x:border/>
    <x:border>
      <x:left style="medium">
        <x:color rgb="FFD9E2EC"/>
      </x:left>
      <x:top style="medium">
        <x:color rgb="FFD9E2EC"/>
      </x:top>
    </x:border>
    <x:border>
      <x:top style="medium">
        <x:color rgb="FFD9E2EC"/>
      </x:top>
    </x:border>
    <x:border>
      <x:right style="medium">
        <x:color rgb="FFD9E2EC"/>
      </x:right>
      <x:top style="medium">
        <x:color rgb="FFD9E2EC"/>
      </x:top>
    </x:border>
    <x:border>
      <x:left style="medium">
        <x:color rgb="FFD9E2EC"/>
      </x:left>
    </x:border>
    <x:border>
      <x:right style="medium">
        <x:color rgb="FFD9E2EC"/>
      </x:right>
    </x:border>
    <x:border>
      <x:left style="medium">
        <x:color rgb="FFD9E2EC"/>
      </x:left>
      <x:bottom style="medium">
        <x:color rgb="FFD9E2EC"/>
      </x:bottom>
    </x:border>
    <x:border>
      <x:bottom style="medium">
        <x:color rgb="FFD9E2EC"/>
      </x:bottom>
    </x:border>
    <x:border>
      <x:right style="medium">
        <x:color rgb="FFD9E2EC"/>
      </x:right>
      <x:bottom style="medium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C9952D"/>
      </x:left>
      <x:top style="thin">
        <x:color rgb="FFC9952D"/>
      </x:top>
    </x:border>
    <x:border>
      <x:top style="thin">
        <x:color rgb="FFC9952D"/>
      </x:top>
    </x:border>
    <x:border>
      <x:right style="thin">
        <x:color rgb="FFC9952D"/>
      </x:right>
      <x:top style="thin">
        <x:color rgb="FFC9952D"/>
      </x:top>
    </x:border>
    <x:border>
      <x:left style="thin">
        <x:color rgb="FFC9952D"/>
      </x:left>
    </x:border>
    <x:border>
      <x:right style="thin">
        <x:color rgb="FFC9952D"/>
      </x:right>
    </x:border>
    <x:border>
      <x:left style="thin">
        <x:color rgb="FFC9952D"/>
      </x:left>
      <x:bottom style="thin">
        <x:color rgb="FFC9952D"/>
      </x:bottom>
    </x:border>
    <x:border>
      <x:bottom style="thin">
        <x:color rgb="FFC9952D"/>
      </x:bottom>
    </x:border>
    <x:border>
      <x:right style="thin">
        <x:color rgb="FFC9952D"/>
      </x:right>
      <x:bottom style="thin">
        <x:color rgb="FFC9952D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9EEF3"/>
      </x:left>
      <x:right style="thin">
        <x:color rgb="FFE9EEF3"/>
      </x:right>
      <x:top style="thin">
        <x:color rgb="FFE9EEF3"/>
      </x:top>
      <x:bottom style="thin">
        <x:color rgb="FFE9EEF3"/>
      </x:bottom>
    </x:border>
  </x:borders>
  <x:cellStyleXfs count="1">
    <x:xf numFmtId="0" fontId="0" fillId="0" borderId="0"/>
  </x:cellStyleXfs>
  <x:cellXfs count="2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5" fillId="3" borderId="21" xfId="0" applyNumberFormat="1" applyFont="1" applyFill="1" applyBorder="1"/>
    <x:xf numFmtId="0" fontId="5" fillId="3" borderId="22" xfId="0" applyNumberFormat="1" applyFont="1" applyFill="1" applyBorder="1"/>
    <x:xf numFmtId="0" fontId="5" fillId="3" borderId="23" xfId="0" applyNumberFormat="1" applyFont="1" applyFill="1" applyBorder="1"/>
    <x:xf numFmtId="0" fontId="5" fillId="3" borderId="24" xfId="0" applyNumberFormat="1" applyFont="1" applyFill="1" applyBorder="1"/>
    <x:xf numFmtId="0" fontId="5" fillId="3" borderId="17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21" xfId="0" applyNumberFormat="1" applyFont="1" applyFill="1" applyBorder="1" applyAlignment="1">
      <x:alignment wrapText="1"/>
    </x:xf>
    <x:xf numFmtId="0" fontId="5" fillId="3" borderId="22" xfId="0" applyNumberFormat="1" applyFont="1" applyFill="1" applyBorder="1" applyAlignment="1">
      <x:alignment wrapText="1"/>
    </x:xf>
    <x:xf numFmtId="0" fontId="5" fillId="3" borderId="23" xfId="0" applyNumberFormat="1" applyFont="1" applyFill="1" applyBorder="1" applyAlignment="1">
      <x:alignment wrapText="1"/>
    </x:xf>
    <x:xf numFmtId="0" fontId="5" fillId="3" borderId="24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vertical="top" wrapText="1"/>
    </x:xf>
    <x:xf numFmtId="0" fontId="5" fillId="3" borderId="18" xfId="0" applyNumberFormat="1" applyFont="1" applyFill="1" applyBorder="1" applyAlignment="1">
      <x:alignment vertical="top" wrapText="1"/>
    </x:xf>
    <x:xf numFmtId="0" fontId="5" fillId="3" borderId="19" xfId="0" applyNumberFormat="1" applyFont="1" applyFill="1" applyBorder="1" applyAlignment="1">
      <x:alignment vertical="top" wrapText="1"/>
    </x:xf>
    <x:xf numFmtId="0" fontId="5" fillId="3" borderId="2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21" xfId="0" applyNumberFormat="1" applyFont="1" applyFill="1" applyBorder="1" applyAlignment="1">
      <x:alignment vertical="top" wrapText="1"/>
    </x:xf>
    <x:xf numFmtId="0" fontId="5" fillId="3" borderId="22" xfId="0" applyNumberFormat="1" applyFont="1" applyFill="1" applyBorder="1" applyAlignment="1">
      <x:alignment vertical="top" wrapText="1"/>
    </x:xf>
    <x:xf numFmtId="0" fontId="5" fillId="3" borderId="23" xfId="0" applyNumberFormat="1" applyFont="1" applyFill="1" applyBorder="1" applyAlignment="1">
      <x:alignment vertical="top" wrapText="1"/>
    </x:xf>
    <x:xf numFmtId="0" fontId="5" fillId="3" borderId="2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9" fillId="5" borderId="3" xfId="0" applyNumberFormat="1" applyFont="1" applyFill="1" applyBorder="1" applyAlignment="1">
      <x:alignment horizontal="center" vertical="center" wrapText="1"/>
    </x:xf>
    <x:xf numFmtId="0" fontId="9" fillId="4" borderId="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5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4" borderId="6" xfId="0" applyNumberFormat="1" applyFont="1" applyFill="1" applyBorder="1" applyAlignment="1">
      <x:alignment horizontal="center" vertical="center" wrapText="1"/>
    </x:xf>
    <x:xf numFmtId="0" fontId="9" fillId="4" borderId="7" xfId="0" applyNumberFormat="1" applyFont="1" applyFill="1" applyBorder="1" applyAlignment="1">
      <x:alignment horizontal="center" vertical="center" wrapText="1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0" fontId="11" fillId="7" borderId="9" xfId="0" applyNumberFormat="1" applyFont="1" applyFill="1" applyBorder="1" applyAlignment="1">
      <x:alignment vertical="top" wrapText="1"/>
    </x:xf>
    <x:xf numFmtId="0" fontId="11" fillId="7" borderId="10" xfId="0" applyNumberFormat="1" applyFont="1" applyFill="1" applyBorder="1" applyAlignment="1">
      <x:alignment vertical="top" wrapText="1"/>
    </x:xf>
    <x:xf numFmtId="0" fontId="11" fillId="7" borderId="11" xfId="0" applyNumberFormat="1" applyFont="1" applyFill="1" applyBorder="1" applyAlignment="1">
      <x:alignment vertical="top" wrapText="1"/>
    </x:xf>
    <x:xf numFmtId="0" fontId="11" fillId="7" borderId="12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13" xfId="0" applyNumberFormat="1" applyFont="1" applyFill="1" applyBorder="1" applyAlignment="1">
      <x:alignment vertical="top" wrapText="1"/>
    </x:xf>
    <x:xf numFmtId="0" fontId="11" fillId="7" borderId="14" xfId="0" applyNumberFormat="1" applyFont="1" applyFill="1" applyBorder="1" applyAlignment="1">
      <x:alignment vertical="top" wrapText="1"/>
    </x:xf>
    <x:xf numFmtId="0" fontId="11" fillId="7" borderId="15" xfId="0" applyNumberFormat="1" applyFont="1" applyFill="1" applyBorder="1" applyAlignment="1">
      <x:alignment vertical="top" wrapText="1"/>
    </x:xf>
    <x:xf numFmtId="0" fontId="11" fillId="7" borderId="16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/>
    <x:xf numFmtId="0" fontId="11" fillId="3" borderId="17" xfId="0" applyNumberFormat="1" applyFont="1" applyFill="1" applyBorder="1" applyAlignment="1">
      <x:alignment vertical="top" wrapText="1"/>
    </x:xf>
    <x:xf numFmtId="0" fontId="11" fillId="3" borderId="18" xfId="0" applyNumberFormat="1" applyFont="1" applyFill="1" applyBorder="1" applyAlignment="1">
      <x:alignment vertical="top" wrapText="1"/>
    </x:xf>
    <x:xf numFmtId="0" fontId="11" fillId="3" borderId="19" xfId="0" applyNumberFormat="1" applyFont="1" applyFill="1" applyBorder="1" applyAlignment="1">
      <x:alignment vertical="top" wrapText="1"/>
    </x:xf>
    <x:xf numFmtId="0" fontId="11" fillId="3" borderId="2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21" xfId="0" applyNumberFormat="1" applyFont="1" applyFill="1" applyBorder="1" applyAlignment="1">
      <x:alignment vertical="top" wrapText="1"/>
    </x:xf>
    <x:xf numFmtId="0" fontId="11" fillId="3" borderId="22" xfId="0" applyNumberFormat="1" applyFont="1" applyFill="1" applyBorder="1" applyAlignment="1">
      <x:alignment vertical="top" wrapText="1"/>
    </x:xf>
    <x:xf numFmtId="0" fontId="11" fillId="3" borderId="23" xfId="0" applyNumberFormat="1" applyFont="1" applyFill="1" applyBorder="1" applyAlignment="1">
      <x:alignment vertical="top" wrapText="1"/>
    </x:xf>
    <x:xf numFmtId="0" fontId="11" fillId="3" borderId="24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25" xfId="0" applyNumberFormat="1" applyFont="1" applyFill="1" applyBorder="1"/>
    <x:xf numFmtId="0" fontId="13" fillId="2" borderId="25" xfId="0" applyNumberFormat="1" applyFont="1" applyFill="1" applyBorder="1" applyAlignment="1">
      <x:alignment wrapText="1"/>
    </x:xf>
    <x:xf numFmtId="0" fontId="13" fillId="2" borderId="25" xfId="0" applyNumberFormat="1" applyFont="1" applyFill="1" applyBorder="1" applyAlignment="1">
      <x:alignment vertical="center" wrapText="1"/>
    </x:xf>
    <x:xf numFmtId="0" fontId="12" fillId="0" borderId="26" xfId="0" applyNumberFormat="1" applyFont="1" applyFill="1" applyBorder="1"/>
    <x:xf numFmtId="200" fontId="12" fillId="0" borderId="26" xfId="0" applyNumberFormat="1" applyFont="1" applyFill="1" applyBorder="1"/>
    <x:xf numFmtId="201" fontId="12" fillId="0" borderId="26" xfId="0" applyNumberFormat="1" applyFont="1" applyFill="1" applyBorder="1"/>
    <x:xf numFmtId="201" fontId="12" fillId="9" borderId="26" xfId="0" applyNumberFormat="1" applyFont="1" applyFill="1" applyBorder="1"/>
    <x:xf numFmtId="201" fontId="14" fillId="9" borderId="26" xfId="0" applyNumberFormat="1" applyFont="1" applyFill="1" applyBorder="1"/>
    <x:xf numFmtId="201" fontId="12" fillId="10" borderId="26" xfId="0" applyNumberFormat="1" applyFont="1" applyFill="1" applyBorder="1"/>
    <x:xf numFmtId="201" fontId="15" fillId="10" borderId="26" xfId="0" applyNumberFormat="1" applyFont="1" applyFill="1" applyBorder="1"/>
    <x:xf numFmtId="202" fontId="13" fillId="2" borderId="25" xfId="0" applyNumberFormat="1" applyFont="1" applyFill="1" applyBorder="1" applyAlignment="1">
      <x:alignment vertical="center" wrapText="1"/>
    </x:xf>
    <x:xf numFmtId="203" fontId="12" fillId="0" borderId="26" xfId="0" applyNumberFormat="1" applyFont="1" applyFill="1" applyBorder="1"/>
    <x:xf numFmtId="204" fontId="12" fillId="0" borderId="26" xfId="0" applyNumberFormat="1" applyFont="1" applyFill="1" applyBorder="1"/>
    <x:xf numFmtId="205" fontId="12" fillId="0" borderId="26" xfId="0" applyNumberFormat="1" applyFont="1" applyFill="1" applyBorder="1"/>
    <x:xf numFmtId="202" fontId="12" fillId="0" borderId="26" xfId="0" applyNumberFormat="1" applyFont="1" applyFill="1" applyBorder="1"/>
    <x:xf numFmtId="206" fontId="13" fillId="2" borderId="2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 wrapText="1"/>
    </x:xf>
    <x:xf numFmtId="0" fontId="17" fillId="3" borderId="0" xfId="0" applyNumberFormat="1" applyFont="1" applyFill="1" applyBorder="1"/>
    <x:xf numFmtId="0" fontId="17" fillId="3" borderId="17" xfId="0" applyNumberFormat="1" applyFont="1" applyFill="1" applyBorder="1"/>
    <x:xf numFmtId="0" fontId="17" fillId="3" borderId="18" xfId="0" applyNumberFormat="1" applyFont="1" applyFill="1" applyBorder="1"/>
    <x:xf numFmtId="0" fontId="17" fillId="3" borderId="19" xfId="0" applyNumberFormat="1" applyFont="1" applyFill="1" applyBorder="1"/>
    <x:xf numFmtId="0" fontId="17" fillId="3" borderId="20" xfId="0" applyNumberFormat="1" applyFont="1" applyFill="1" applyBorder="1"/>
    <x:xf numFmtId="0" fontId="17" fillId="3" borderId="21" xfId="0" applyNumberFormat="1" applyFont="1" applyFill="1" applyBorder="1"/>
    <x:xf numFmtId="0" fontId="17" fillId="3" borderId="22" xfId="0" applyNumberFormat="1" applyFont="1" applyFill="1" applyBorder="1"/>
    <x:xf numFmtId="0" fontId="17" fillId="3" borderId="23" xfId="0" applyNumberFormat="1" applyFont="1" applyFill="1" applyBorder="1"/>
    <x:xf numFmtId="0" fontId="17" fillId="3" borderId="24" xfId="0" applyNumberFormat="1" applyFont="1" applyFill="1" applyBorder="1"/>
    <x:xf numFmtId="0" fontId="17" fillId="3" borderId="17" xfId="0" applyNumberFormat="1" applyFont="1" applyFill="1" applyBorder="1" applyAlignment="1">
      <x:alignment wrapText="1"/>
    </x:xf>
    <x:xf numFmtId="0" fontId="17" fillId="3" borderId="18" xfId="0" applyNumberFormat="1" applyFont="1" applyFill="1" applyBorder="1" applyAlignment="1">
      <x:alignment wrapText="1"/>
    </x:xf>
    <x:xf numFmtId="0" fontId="17" fillId="3" borderId="19" xfId="0" applyNumberFormat="1" applyFont="1" applyFill="1" applyBorder="1" applyAlignment="1">
      <x:alignment wrapText="1"/>
    </x:xf>
    <x:xf numFmtId="0" fontId="17" fillId="3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 applyAlignment="1">
      <x:alignment wrapText="1"/>
    </x:xf>
    <x:xf numFmtId="0" fontId="17" fillId="3" borderId="21" xfId="0" applyNumberFormat="1" applyFont="1" applyFill="1" applyBorder="1" applyAlignment="1">
      <x:alignment wrapText="1"/>
    </x:xf>
    <x:xf numFmtId="0" fontId="17" fillId="3" borderId="22" xfId="0" applyNumberFormat="1" applyFont="1" applyFill="1" applyBorder="1" applyAlignment="1">
      <x:alignment wrapText="1"/>
    </x:xf>
    <x:xf numFmtId="0" fontId="17" fillId="3" borderId="23" xfId="0" applyNumberFormat="1" applyFont="1" applyFill="1" applyBorder="1" applyAlignment="1">
      <x:alignment wrapText="1"/>
    </x:xf>
    <x:xf numFmtId="0" fontId="17" fillId="3" borderId="24" xfId="0" applyNumberFormat="1" applyFont="1" applyFill="1" applyBorder="1" applyAlignment="1">
      <x:alignment wrapText="1"/>
    </x:xf>
    <x:xf numFmtId="0" fontId="17" fillId="3" borderId="17" xfId="0" applyNumberFormat="1" applyFont="1" applyFill="1" applyBorder="1" applyAlignment="1">
      <x:alignment vertical="top" wrapText="1"/>
    </x:xf>
    <x:xf numFmtId="0" fontId="17" fillId="3" borderId="18" xfId="0" applyNumberFormat="1" applyFont="1" applyFill="1" applyBorder="1" applyAlignment="1">
      <x:alignment vertical="top" wrapText="1"/>
    </x:xf>
    <x:xf numFmtId="0" fontId="17" fillId="3" borderId="19" xfId="0" applyNumberFormat="1" applyFont="1" applyFill="1" applyBorder="1" applyAlignment="1">
      <x:alignment vertical="top" wrapText="1"/>
    </x:xf>
    <x:xf numFmtId="0" fontId="17" fillId="3" borderId="20" xfId="0" applyNumberFormat="1" applyFont="1" applyFill="1" applyBorder="1" applyAlignment="1">
      <x:alignment vertical="top" wrapText="1"/>
    </x:xf>
    <x:xf numFmtId="0" fontId="17" fillId="3" borderId="0" xfId="0" applyNumberFormat="1" applyFont="1" applyFill="1" applyBorder="1" applyAlignment="1">
      <x:alignment vertical="top" wrapText="1"/>
    </x:xf>
    <x:xf numFmtId="0" fontId="17" fillId="3" borderId="21" xfId="0" applyNumberFormat="1" applyFont="1" applyFill="1" applyBorder="1" applyAlignment="1">
      <x:alignment vertical="top" wrapText="1"/>
    </x:xf>
    <x:xf numFmtId="0" fontId="17" fillId="3" borderId="22" xfId="0" applyNumberFormat="1" applyFont="1" applyFill="1" applyBorder="1" applyAlignment="1">
      <x:alignment vertical="top" wrapText="1"/>
    </x:xf>
    <x:xf numFmtId="0" fontId="17" fillId="3" borderId="23" xfId="0" applyNumberFormat="1" applyFont="1" applyFill="1" applyBorder="1" applyAlignment="1">
      <x:alignment vertical="top" wrapText="1"/>
    </x:xf>
    <x:xf numFmtId="0" fontId="17" fillId="3" borderId="24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F766E"/>
      </x:font>
      <x:fill>
        <x:patternFill patternType="solid">
          <x:bgColor rgb="FFDDF4EC"/>
        </x:patternFill>
      </x:fill>
    </x:dxf>
    <x:dxf>
      <x:font>
        <x:b/>
        <x:color rgb="FFB76E00"/>
      </x:font>
      <x:fill>
        <x:patternFill patternType="solid">
          <x:bgColor rgb="FFFFF1CC"/>
        </x:patternFill>
      </x:fill>
    </x:dxf>
    <x:dxf>
      <x:font>
        <x:b/>
        <x:color rgb="FFB42318"/>
      </x:font>
      <x:fill>
        <x:patternFill patternType="solid">
          <x:bgColor rgb="FFFDE7E4"/>
        </x:patternFill>
      </x:fill>
    </x:dxf>
    <x:dxf>
      <x:font>
        <x:b/>
        <x:color rgb="FF0F766E"/>
      </x:font>
      <x:fill>
        <x:patternFill patternType="solid">
          <x:bgColor rgb="FFDDF4EC"/>
        </x:patternFill>
      </x:fill>
    </x:dxf>
    <x:dxf>
      <x:font>
        <x:b/>
        <x:color rgb="FFB42318"/>
      </x:font>
      <x:fill>
        <x:patternFill patternType="solid">
          <x:bgColor rgb="FF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67cd8934f4c5c" /><Relationship Type="http://schemas.openxmlformats.org/officeDocument/2006/relationships/theme" Target="/xl/theme/theme1.xml" Id="Rd0064c71d15d48ad" /><Relationship Type="http://schemas.openxmlformats.org/officeDocument/2006/relationships/sharedStrings" Target="/xl/sharedStrings.xml" Id="Ra237961946f44943" /><Relationship Type="http://schemas.openxmlformats.org/officeDocument/2006/relationships/worksheet" Target="/xl/worksheets/sheet1.xml" Id="Ra333f550c45c45ae" /><Relationship Type="http://schemas.openxmlformats.org/officeDocument/2006/relationships/worksheet" Target="/xl/worksheets/sheet2.xml" Id="Ra0de7ea034ba4b77" /><Relationship Type="http://schemas.openxmlformats.org/officeDocument/2006/relationships/worksheet" Target="/xl/worksheets/sheet3.xml" Id="Rdfdecea94c244f48" /><Relationship Type="http://schemas.openxmlformats.org/officeDocument/2006/relationships/worksheet" Target="/xl/worksheets/sheet4.xml" Id="Re950fd985b234bb8" /><Relationship Type="http://schemas.openxmlformats.org/officeDocument/2006/relationships/worksheet" Target="/xl/worksheets/sheet5.xml" Id="Rd05ba5e76981426c" /><Relationship Type="http://schemas.openxmlformats.org/officeDocument/2006/relationships/worksheet" Target="/xl/worksheets/sheet6.xml" Id="Rcc8d0db0a24c4482" /><Relationship Type="http://schemas.openxmlformats.org/officeDocument/2006/relationships/worksheet" Target="/xl/worksheets/sheet7.xml" Id="Rc08c68ba16a3433e" /><Relationship Type="http://schemas.openxmlformats.org/officeDocument/2006/relationships/worksheet" Target="/xl/worksheets/sheet8.xml" Id="R7c75a15223cf43a5" /><Relationship Type="http://schemas.openxmlformats.org/officeDocument/2006/relationships/worksheet" Target="/xl/worksheets/sheet9.xml" Id="Rb20c64718c7c420d" /><Relationship Type="http://schemas.openxmlformats.org/officeDocument/2006/relationships/worksheet" Target="/xl/worksheets/sheet10.xml" Id="R06fa8c718ad842eb" /><Relationship Type="http://schemas.openxmlformats.org/officeDocument/2006/relationships/worksheet" Target="/xl/worksheets/sheet11.xml" Id="R4ab917c944434bb0" /><Relationship Type="http://schemas.openxmlformats.org/officeDocument/2006/relationships/worksheet" Target="/xl/worksheets/sheet12.xml" Id="R7584c021946e4f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c96ba94e2e40af" /><Relationship Type="http://schemas.openxmlformats.org/officeDocument/2006/relationships/chart" Target="/xl/drawings/charts/chart2.xml" Id="Rc93c5fab5ec542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2020年以来金银价格指数（2020-01=100）</a:t>
            </a:r>
          </a:p>
        </c:rich>
      </c:tx>
    </c:title>
    <c:plotArea>
      <c:lineChart>
        <c:grouping val="standard"/>
        <c:ser>
          <c:idx val="0"/>
          <c:order val="0"/>
          <c:tx>
            <c:v>黄金(2020-01=100)</c:v>
          </c:tx>
          <c:marker>
            <c:symbol val="none"/>
          </c:marker>
          <c:cat>
            <c:strRef>
              <c:f>'00_使用说明'!$X$3:$X$80</c:f>
              <c:strCache>
                <c:ptCount val="0"/>
              </c:strCache>
            </c:strRef>
          </c:cat>
          <c:val>
            <c:numRef>
              <c:f>'00_使用说明'!$Y$3:$Y$80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白银(2020-01=100)</c:v>
          </c:tx>
          <c:marker>
            <c:symbol val="none"/>
          </c:marker>
          <c:cat>
            <c:strRef>
              <c:f>'00_使用说明'!$X$3:$X$80</c:f>
              <c:strCache>
                <c:ptCount val="0"/>
              </c:strCache>
            </c:strRef>
          </c:cat>
          <c:val>
            <c:numRef>
              <c:f>'00_使用说明'!$Z$3:$Z$80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金银比（月度）</a:t>
            </a:r>
          </a:p>
        </c:rich>
      </c:tx>
    </c:title>
    <c:plotArea>
      <c:lineChart>
        <c:grouping val="standard"/>
        <c:ser>
          <c:idx val="0"/>
          <c:order val="0"/>
          <c:tx>
            <c:v>金银比</c:v>
          </c:tx>
          <c:marker>
            <c:symbol val="none"/>
          </c:marker>
          <c:cat>
            <c:strRef>
              <c:f>'00_使用说明'!$AB$3:$AB$80</c:f>
              <c:strCache>
                <c:ptCount val="0"/>
              </c:strCache>
            </c:strRef>
          </c:cat>
          <c:val>
            <c:numRef>
              <c:f>'00_使用说明'!$AC$3:$AC$80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c96ba94e2e40af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3c5fab5ec542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CatalogTable" displayName="DataCatalogTable" ref="A1:N15" headerRowCount="1" totalsRowCount="0" totalsRowShown="0">
  <x:autoFilter ref="A1:N15"/>
  <x:tableColumns count="14">
    <x:tableColumn id="1" name="dataset_id"/>
    <x:tableColumn id="2" name="数据集/字段"/>
    <x:tableColumn id="3" name="来源机构"/>
    <x:tableColumn id="4" name="频率"/>
    <x:tableColumn id="5" name="观测日期口径"/>
    <x:tableColumn id="6" name="发布时间/可用时点"/>
    <x:tableColumn id="7" name="覆盖范围"/>
    <x:tableColumn id="8" name="单位"/>
    <x:tableColumn id="9" name="许可与再分发"/>
    <x:tableColumn id="10" name="交付状态"/>
    <x:tableColumn id="11" name="官方URL"/>
    <x:tableColumn id="12" name="本地路径"/>
    <x:tableColumn id="13" name="建模用途"/>
    <x:tableColumn id="14" name="注意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orMapTable" displayName="FactorMapTable" ref="A1:J11" headerRowCount="1" totalsRowCount="0" totalsRowShown="0">
  <x:autoFilter ref="A1:J11"/>
  <x:tableColumns count="10">
    <x:tableColumn id="1" name="优先级"/>
    <x:tableColumn id="2" name="因素"/>
    <x:tableColumn id="3" name="传导机制"/>
    <x:tableColumn id="4" name="黄金常态方向"/>
    <x:tableColumn id="5" name="白银常态方向"/>
    <x:tableColumn id="6" name="状态依赖/反例"/>
    <x:tableColumn id="7" name="本版开放变量"/>
    <x:tableColumn id="8" name="来源Sheet"/>
    <x:tableColumn id="9" name="建议频率"/>
    <x:tableColumn id="10" name="建模注意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ventTimelineTable" displayName="EventTimelineTable" ref="A1:K20" headerRowCount="1" totalsRowCount="0" totalsRowShown="0">
  <x:autoFilter ref="A1:K20"/>
  <x:tableColumns count="11">
    <x:tableColumn id="1" name="开始日期"/>
    <x:tableColumn id="2" name="结束日期"/>
    <x:tableColumn id="3" name="事件"/>
    <x:tableColumn id="4" name="主因子通道"/>
    <x:tableColumn id="5" name="黄金反应"/>
    <x:tableColumn id="6" name="白银反应"/>
    <x:tableColumn id="7" name="关键事实"/>
    <x:tableColumn id="8" name="证据性质"/>
    <x:tableColumn id="9" name="官方/一手来源"/>
    <x:tableColumn id="10" name="因果边界"/>
    <x:tableColumn id="11" name="建模标签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FactorScanTable" displayName="FactorScanTable" ref="A1:H21" headerRowCount="1" totalsRowCount="0" totalsRowShown="0">
  <x:autoFilter ref="A1:H21"/>
  <x:tableColumns count="8">
    <x:tableColumn id="1" name="factor_field"/>
    <x:tableColumn id="2" name="factor_cn"/>
    <x:tableColumn id="3" name="asset"/>
    <x:tableColumn id="4" name="sample_start"/>
    <x:tableColumn id="5" name="n"/>
    <x:tableColumn id="6" name="pearson_corr"/>
    <x:tableColumn id="7" name="spearman_corr"/>
    <x:tableColumn id="8" name="not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onthlyModelTable" displayName="MonthlyModelTable" ref="A1:AP126" headerRowCount="1" totalsRowCount="0" totalsRowShown="0">
  <x:autoFilter ref="A1:AP126"/>
  <x:tableColumns count="42">
    <x:tableColumn id="1" name="sample_month"/>
    <x:tableColumn id="2" name="target_gold_price_usd_oz"/>
    <x:tableColumn id="3" name="target_silver_price_usd_oz"/>
    <x:tableColumn id="4" name="target_gold_return_1m"/>
    <x:tableColumn id="5" name="target_silver_return_1m"/>
    <x:tableColumn id="6" name="feature_source_month"/>
    <x:tableColumn id="7" name="brent_usd_bbl_lag1"/>
    <x:tableColumn id="8" name="natural_gas_us_usd_mmbtu_lag1"/>
    <x:tableColumn id="9" name="aluminum_usd_mt_lag1"/>
    <x:tableColumn id="10" name="copper_usd_mt_lag1"/>
    <x:tableColumn id="11" name="gold_usd_oz_lag1"/>
    <x:tableColumn id="12" name="platinum_usd_oz_lag1"/>
    <x:tableColumn id="13" name="silver_usd_oz_lag1"/>
    <x:tableColumn id="14" name="gold_silver_ratio_lag1"/>
    <x:tableColumn id="15" name="copper_return_1m_lag1"/>
    <x:tableColumn id="16" name="brent_return_1m_lag1"/>
    <x:tableColumn id="17" name="nominal_10y_avg_pct_lag1"/>
    <x:tableColumn id="18" name="real_10y_avg_pct_lag1"/>
    <x:tableColumn id="19" name="breakeven_10y_avg_pct_lag1"/>
    <x:tableColumn id="20" name="broad_dollar_avg_lag1"/>
    <x:tableColumn id="21" name="gpr_global_lag1"/>
    <x:tableColumn id="22" name="gpr_threats_lag1"/>
    <x:tableColumn id="23" name="gpr_acts_lag1"/>
    <x:tableColumn id="24" name="gpr_china_share_lag1"/>
    <x:tableColumn id="25" name="gpr_russia_share_lag1"/>
    <x:tableColumn id="26" name="gpr_usa_share_lag1"/>
    <x:tableColumn id="27" name="managed_money_net_avg_gold_lag1"/>
    <x:tableColumn id="28" name="managed_money_net_avg_silver_lag1"/>
    <x:tableColumn id="29" name="producer_net_avg_gold_lag1"/>
    <x:tableColumn id="30" name="producer_net_avg_silver_lag1"/>
    <x:tableColumn id="31" name="managed_money_net_pct_oi_avg_gold_lag1"/>
    <x:tableColumn id="32" name="managed_money_net_pct_oi_avg_silver_lag1"/>
    <x:tableColumn id="33" name="nominal_10y_change_1m_lag1"/>
    <x:tableColumn id="34" name="real_10y_change_1m_lag1"/>
    <x:tableColumn id="35" name="breakeven_10y_change_1m_lag1"/>
    <x:tableColumn id="36" name="broad_dollar_return_1m_lag1"/>
    <x:tableColumn id="37" name="gpr_change_1m_lag1"/>
    <x:tableColumn id="38" name="managed_money_net_change_gold_lag1"/>
    <x:tableColumn id="39" name="managed_money_net_change_silver_lag1"/>
    <x:tableColumn id="40" name="gold_silver_ratio_change_1m_lag1"/>
    <x:tableColumn id="41" name="gold_up"/>
    <x:tableColumn id="42" name="silver_u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thlyPriceTable" displayName="MonthlyPriceTable" ref="A1:M127" headerRowCount="1" totalsRowCount="0" totalsRowShown="0">
  <x:autoFilter ref="A1:M127"/>
  <x:tableColumns count="13">
    <x:tableColumn id="1" name="date"/>
    <x:tableColumn id="2" name="brent_usd_bbl"/>
    <x:tableColumn id="3" name="natural_gas_us_usd_mmbtu"/>
    <x:tableColumn id="4" name="aluminum_usd_mt"/>
    <x:tableColumn id="5" name="copper_usd_mt"/>
    <x:tableColumn id="6" name="gold_usd_oz"/>
    <x:tableColumn id="7" name="platinum_usd_oz"/>
    <x:tableColumn id="8" name="silver_usd_oz"/>
    <x:tableColumn id="9" name="gold_silver_ratio"/>
    <x:tableColumn id="10" name="gold_return_1m"/>
    <x:tableColumn id="11" name="silver_return_1m"/>
    <x:tableColumn id="12" name="copper_return_1m"/>
    <x:tableColumn id="13" name="brent_return_1m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reasuryYieldTable" displayName="TreasuryYieldTable" ref="A1:D2631" headerRowCount="1" totalsRowCount="0" totalsRowShown="0">
  <x:autoFilter ref="A1:D2631"/>
  <x:tableColumns count="4">
    <x:tableColumn id="1" name="date"/>
    <x:tableColumn id="2" name="nominal_10y_pct"/>
    <x:tableColumn id="3" name="real_10y_pct"/>
    <x:tableColumn id="4" name="breakeven_10y_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roadDollarTable" displayName="BroadDollarTable" ref="A1:B2742" headerRowCount="1" totalsRowCount="0" totalsRowShown="0">
  <x:autoFilter ref="A1:B2742"/>
  <x:tableColumns count="2">
    <x:tableColumn id="1" name="date"/>
    <x:tableColumn id="2" name="broad_dollar_index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ftcPositionTable" displayName="CftcPositionTable" ref="A1:W1099" headerRowCount="1" totalsRowCount="0" totalsRowShown="0">
  <x:autoFilter ref="A1:W1099"/>
  <x:tableColumns count="23">
    <x:tableColumn id="1" name="asset"/>
    <x:tableColumn id="2" name="report_date"/>
    <x:tableColumn id="3" name="assumed_release_date"/>
    <x:tableColumn id="4" name="contract_code_text"/>
    <x:tableColumn id="5" name="market_name"/>
    <x:tableColumn id="6" name="open_interest"/>
    <x:tableColumn id="7" name="producer_long"/>
    <x:tableColumn id="8" name="producer_short"/>
    <x:tableColumn id="9" name="producer_net"/>
    <x:tableColumn id="10" name="swap_long"/>
    <x:tableColumn id="11" name="swap_short"/>
    <x:tableColumn id="12" name="swap_net"/>
    <x:tableColumn id="13" name="managed_money_long"/>
    <x:tableColumn id="14" name="managed_money_short"/>
    <x:tableColumn id="15" name="managed_money_net"/>
    <x:tableColumn id="16" name="other_reportable_long"/>
    <x:tableColumn id="17" name="other_reportable_short"/>
    <x:tableColumn id="18" name="other_reportable_net"/>
    <x:tableColumn id="19" name="nonreportable_long"/>
    <x:tableColumn id="20" name="nonreportable_short"/>
    <x:tableColumn id="21" name="nonreportable_net"/>
    <x:tableColumn id="22" name="managed_money_net_pct_oi"/>
    <x:tableColumn id="23" name="producer_net_pct_oi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GprTable" displayName="GprTable" ref="A1:G127" headerRowCount="1" totalsRowCount="0" totalsRowShown="0">
  <x:autoFilter ref="A1:G127"/>
  <x:tableColumns count="7">
    <x:tableColumn id="1" name="date"/>
    <x:tableColumn id="2" name="gpr_global"/>
    <x:tableColumn id="3" name="gpr_threats"/>
    <x:tableColumn id="4" name="gpr_acts"/>
    <x:tableColumn id="5" name="gpr_china_share"/>
    <x:tableColumn id="6" name="gpr_russia_share"/>
    <x:tableColumn id="7" name="gpr_usa_shar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DataQualityTable" displayName="DataQualityTable" ref="A5:F19" headerRowCount="1" totalsRowCount="0" totalsRowShown="0">
  <x:tableColumns count="6">
    <x:tableColumn id="1" name="检查项"/>
    <x:tableColumn id="2" name="实际值"/>
    <x:tableColumn id="3" name="通过阈值"/>
    <x:tableColumn id="4" name="状态"/>
    <x:tableColumn id="5" name="阻断级别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c1eff3d6004d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086be0302c4e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c8b95e33c34a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5ba6b7a4744d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08b363110846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2d7afde77d49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52fa1920524a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476e57f64e40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f0162b8b2f46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24803a0f5245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1424abf4d6949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d4f0f106af044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2" customHeight="1">
      <x:c r="A1" s="139" t="str">
        <x:v>金银价格预测｜官方数据底座与影响因素台账</x:v>
      </x:c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139"/>
      <x:c r="P1" s="139"/>
    </x:row>
    <x:row r="2" ht="22" customHeight="1">
      <x:c r="A2" s="139"/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  <x:c r="O2" s="139"/>
      <x:c r="P2" s="139"/>
      <x:c r="X2" t="str">
        <x:v>月份</x:v>
      </x:c>
      <x:c r="Y2" t="str">
        <x:v>黄金(2020-01=100)</x:v>
      </x:c>
      <x:c r="Z2" t="str">
        <x:v>白银(2020-01=100)</x:v>
      </x:c>
      <x:c r="AB2" t="str">
        <x:v>月份</x:v>
      </x:c>
      <x:c r="AC2" t="str">
        <x:v>金银比</x:v>
      </x:c>
    </x:row>
    <x:row r="3" ht="22" customHeight="1">
      <x:c r="A3" s="140" t="str">
        <x:v>挑战杯揭榜挂帅备赛版｜2016-01—2026-06（月度目标），下载/核验日期：2026-07-13</x:v>
      </x:c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  <x:c r="L3" s="140"/>
      <x:c r="M3" s="140"/>
      <x:c r="N3" s="140"/>
      <x:c r="O3" s="140"/>
      <x:c r="P3" s="140"/>
      <x:c r="X3" t="str">
        <x:v>2020-01</x:v>
      </x:c>
      <x:c r="Y3" t="n">
        <x:f>'06_月度价格'!F50/'06_月度价格'!F$50*100</x:f>
        <x:v>100</x:v>
      </x:c>
      <x:c r="Z3" t="n">
        <x:f>'06_月度价格'!H50/'06_月度价格'!H$50*100</x:f>
        <x:v>100</x:v>
      </x:c>
      <x:c r="AB3" t="str">
        <x:v>2020-01</x:v>
      </x:c>
      <x:c r="AC3" t="n">
        <x:f>'06_月度价格'!I50</x:f>
        <x:v>86.72222222222223</x:v>
      </x:c>
    </x:row>
    <x:row r="4" ht="22" customHeight="1">
      <x:c r="A4" s="141"/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X4" t="str">
        <x:v>2020-02</x:v>
      </x:c>
      <x:c r="Y4" t="n">
        <x:f>'06_月度价格'!F51/'06_月度价格'!F$50*100</x:f>
        <x:v>102.3062139654068</x:v>
      </x:c>
      <x:c r="Z4" t="n">
        <x:f>'06_月度价格'!H51/'06_月度价格'!H$50*100</x:f>
        <x:v>99.44444444444443</x:v>
      </x:c>
      <x:c r="AB4" t="str">
        <x:v>2020-02</x:v>
      </x:c>
      <x:c r="AC4" t="n">
        <x:f>'06_月度价格'!I51</x:f>
        <x:v>89.21787709497207</x:v>
      </x:c>
    </x:row>
    <x:row r="5" ht="22" customHeight="1">
      <x:c r="A5" s="142" t="str">
        <x:v>126 个月
世界银行金银月价</x:v>
      </x:c>
      <x:c r="B5" s="143"/>
      <x:c r="C5" s="144"/>
      <x:c r="D5" s="145" t="str">
        <x:v>2630 日
美国财政部收益率</x:v>
      </x:c>
      <x:c r="E5" s="146"/>
      <x:c r="F5" s="147"/>
      <x:c r="G5" s="141"/>
      <x:c r="H5" s="141"/>
      <x:c r="I5" s="141"/>
      <x:c r="J5" s="141"/>
      <x:c r="K5" s="141"/>
      <x:c r="L5" s="141"/>
      <x:c r="M5" s="141"/>
      <x:c r="N5" s="141"/>
      <x:c r="O5" s="141"/>
      <x:c r="P5" s="141"/>
      <x:c r="X5" t="str">
        <x:v>2020-03</x:v>
      </x:c>
      <x:c r="Y5" t="n">
        <x:f>'06_月度价格'!F52/'06_月度价格'!F$50*100</x:f>
        <x:v>101.98590647021139</x:v>
      </x:c>
      <x:c r="Z5" t="n">
        <x:f>'06_月度价格'!H52/'06_月度价格'!H$50*100</x:f>
        <x:v>82.77777777777779</x:v>
      </x:c>
      <x:c r="AB5" t="str">
        <x:v>2020-03</x:v>
      </x:c>
      <x:c r="AC5" t="n">
        <x:f>'06_月度价格'!I52</x:f>
        <x:v>106.84563758389261</x:v>
      </x:c>
    </x:row>
    <x:row r="6" ht="22" customHeight="1">
      <x:c r="A6" s="148"/>
      <x:c r="B6" s="149"/>
      <x:c r="C6" s="150"/>
      <x:c r="D6" s="151"/>
      <x:c r="E6" s="152"/>
      <x:c r="F6" s="153"/>
      <x:c r="G6" s="141"/>
      <x:c r="H6" s="141"/>
      <x:c r="I6" s="141"/>
      <x:c r="J6" s="141"/>
      <x:c r="K6" s="141"/>
      <x:c r="L6" s="141"/>
      <x:c r="M6" s="141"/>
      <x:c r="N6" s="141"/>
      <x:c r="O6" s="141"/>
      <x:c r="P6" s="141"/>
      <x:c r="X6" t="str">
        <x:v>2020-04</x:v>
      </x:c>
      <x:c r="Y6" t="n">
        <x:f>'06_月度价格'!F53/'06_月度价格'!F$50*100</x:f>
        <x:v>107.81550288276746</x:v>
      </x:c>
      <x:c r="Z6" t="n">
        <x:f>'06_月度价格'!H53/'06_月度价格'!H$50*100</x:f>
        <x:v>83.88888888888889</x:v>
      </x:c>
      <x:c r="AB6" t="str">
        <x:v>2020-04</x:v>
      </x:c>
      <x:c r="AC6" t="n">
        <x:f>'06_月度价格'!I53</x:f>
        <x:v>111.45695364238411</x:v>
      </x:c>
    </x:row>
    <x:row r="7" ht="22" customHeight="1">
      <x:c r="A7" s="154"/>
      <x:c r="B7" s="155"/>
      <x:c r="C7" s="156"/>
      <x:c r="D7" s="157"/>
      <x:c r="E7" s="158"/>
      <x:c r="F7" s="159"/>
      <x:c r="G7" s="141"/>
      <x:c r="H7" s="141"/>
      <x:c r="I7" s="141"/>
      <x:c r="J7" s="141"/>
      <x:c r="K7" s="141"/>
      <x:c r="L7" s="141"/>
      <x:c r="M7" s="141"/>
      <x:c r="N7" s="141"/>
      <x:c r="O7" s="141"/>
      <x:c r="P7" s="141"/>
      <x:c r="X7" t="str">
        <x:v>2020-05</x:v>
      </x:c>
      <x:c r="Y7" t="n">
        <x:f>'06_月度价格'!F54/'06_月度价格'!F$50*100</x:f>
        <x:v>109.92953235105702</x:v>
      </x:c>
      <x:c r="Z7" t="n">
        <x:f>'06_月度价格'!H54/'06_月度价格'!H$50*100</x:f>
        <x:v>90.55555555555556</x:v>
      </x:c>
      <x:c r="AB7" t="str">
        <x:v>2020-05</x:v>
      </x:c>
      <x:c r="AC7" t="n">
        <x:f>'06_月度价格'!I54</x:f>
        <x:v>105.2760736196319</x:v>
      </x:c>
    </x:row>
    <x:row r="8" ht="22" customHeight="1">
      <x:c r="A8" s="141"/>
      <x:c r="B8" s="141"/>
      <x:c r="C8" s="141"/>
      <x:c r="D8" s="141"/>
      <x:c r="E8" s="141"/>
      <x:c r="F8" s="141"/>
      <x:c r="G8" s="141"/>
      <x:c r="H8" s="141"/>
      <x:c r="I8" s="141"/>
      <x:c r="J8" s="141"/>
      <x:c r="K8" s="141"/>
      <x:c r="L8" s="141"/>
      <x:c r="M8" s="141"/>
      <x:c r="N8" s="141"/>
      <x:c r="O8" s="141"/>
      <x:c r="P8" s="141"/>
      <x:c r="X8" t="str">
        <x:v>2020-06</x:v>
      </x:c>
      <x:c r="Y8" t="n">
        <x:f>'06_月度价格'!F55/'06_月度价格'!F$50*100</x:f>
        <x:v>110.95451633568226</x:v>
      </x:c>
      <x:c r="Z8" t="n">
        <x:f>'06_月度价格'!H55/'06_月度价格'!H$50*100</x:f>
        <x:v>98.33333333333333</x:v>
      </x:c>
      <x:c r="AB8" t="str">
        <x:v>2020-06</x:v>
      </x:c>
      <x:c r="AC8" t="n">
        <x:f>'06_月度价格'!I55</x:f>
        <x:v>97.85310734463278</x:v>
      </x:c>
    </x:row>
    <x:row r="9" ht="22" customHeight="1">
      <x:c r="A9" s="142" t="str">
        <x:v>1098 行
CFTC金银周持仓</x:v>
      </x:c>
      <x:c r="B9" s="143"/>
      <x:c r="C9" s="144"/>
      <x:c r="D9" s="145" t="str">
        <x:v>126 个月
GPR地缘风险</x:v>
      </x:c>
      <x:c r="E9" s="146"/>
      <x:c r="F9" s="147"/>
      <x:c r="G9" s="141"/>
      <x:c r="H9" s="141"/>
      <x:c r="I9" s="141"/>
      <x:c r="J9" s="141"/>
      <x:c r="K9" s="141"/>
      <x:c r="L9" s="141"/>
      <x:c r="M9" s="141"/>
      <x:c r="N9" s="141"/>
      <x:c r="O9" s="141"/>
      <x:c r="P9" s="141"/>
      <x:c r="X9" t="str">
        <x:v>2020-07</x:v>
      </x:c>
      <x:c r="Y9" t="n">
        <x:f>'06_月度价格'!F56/'06_月度价格'!F$50*100</x:f>
        <x:v>118.32158872517617</x:v>
      </x:c>
      <x:c r="Z9" t="n">
        <x:f>'06_月度价格'!H56/'06_月度价格'!H$50*100</x:f>
        <x:v>114.44444444444446</x:v>
      </x:c>
      <x:c r="AB9" t="str">
        <x:v>2020-07</x:v>
      </x:c>
      <x:c r="AC9" t="n">
        <x:f>'06_月度价格'!I56</x:f>
        <x:v>89.66019417475728</x:v>
      </x:c>
    </x:row>
    <x:row r="10" ht="22" customHeight="1">
      <x:c r="A10" s="148"/>
      <x:c r="B10" s="149"/>
      <x:c r="C10" s="150"/>
      <x:c r="D10" s="151"/>
      <x:c r="E10" s="152"/>
      <x:c r="F10" s="153"/>
      <x:c r="G10" s="141"/>
      <x:c r="H10" s="141"/>
      <x:c r="I10" s="141"/>
      <x:c r="J10" s="141"/>
      <x:c r="K10" s="141"/>
      <x:c r="L10" s="141"/>
      <x:c r="M10" s="141"/>
      <x:c r="N10" s="141"/>
      <x:c r="O10" s="141"/>
      <x:c r="P10" s="141"/>
      <x:c r="X10" t="str">
        <x:v>2020-08</x:v>
      </x:c>
      <x:c r="Y10" t="n">
        <x:f>'06_月度价格'!F57/'06_月度价格'!F$50*100</x:f>
        <x:v>126.13709160794362</x:v>
      </x:c>
      <x:c r="Z10" t="n">
        <x:f>'06_月度价格'!H57/'06_月度价格'!H$50*100</x:f>
        <x:v>150</x:v>
      </x:c>
      <x:c r="AB10" t="str">
        <x:v>2020-08</x:v>
      </x:c>
      <x:c r="AC10" t="n">
        <x:f>'06_月度价格'!I57</x:f>
        <x:v>72.92592592592592</x:v>
      </x:c>
    </x:row>
    <x:row r="11" ht="22" customHeight="1">
      <x:c r="A11" s="154"/>
      <x:c r="B11" s="155"/>
      <x:c r="C11" s="156"/>
      <x:c r="D11" s="157"/>
      <x:c r="E11" s="158"/>
      <x:c r="F11" s="159"/>
      <x:c r="G11" s="141"/>
      <x:c r="H11" s="141"/>
      <x:c r="I11" s="141"/>
      <x:c r="J11" s="141"/>
      <x:c r="K11" s="141"/>
      <x:c r="L11" s="141"/>
      <x:c r="M11" s="141"/>
      <x:c r="N11" s="141"/>
      <x:c r="O11" s="141"/>
      <x:c r="P11" s="141"/>
      <x:c r="X11" t="str">
        <x:v>2020-09</x:v>
      </x:c>
      <x:c r="Y11" t="n">
        <x:f>'06_月度价格'!F58/'06_月度价格'!F$50*100</x:f>
        <x:v>123.12620115310698</x:v>
      </x:c>
      <x:c r="Z11" t="n">
        <x:f>'06_月度价格'!H58/'06_月度价格'!H$50*100</x:f>
        <x:v>142.77777777777777</x:v>
      </x:c>
      <x:c r="AB11" t="str">
        <x:v>2020-09</x:v>
      </x:c>
      <x:c r="AC11" t="n">
        <x:f>'06_月度价格'!I58</x:f>
        <x:v>74.78599221789884</x:v>
      </x:c>
    </x:row>
    <x:row r="12" ht="22" customHeight="1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  <x:c r="O12" s="141"/>
      <x:c r="P12" s="141"/>
      <x:c r="X12" t="str">
        <x:v>2020-10</x:v>
      </x:c>
      <x:c r="Y12" t="n">
        <x:f>'06_月度价格'!F59/'06_月度价格'!F$50*100</x:f>
        <x:v>121.71684817424729</x:v>
      </x:c>
      <x:c r="Z12" t="n">
        <x:f>'06_月度价格'!H59/'06_月度价格'!H$50*100</x:f>
        <x:v>134.44444444444443</x:v>
      </x:c>
      <x:c r="AB12" t="str">
        <x:v>2020-10</x:v>
      </x:c>
      <x:c r="AC12" t="n">
        <x:f>'06_月度价格'!I59</x:f>
        <x:v>78.51239669421489</x:v>
      </x:c>
    </x:row>
    <x:row r="13" ht="22" customHeight="1">
      <x:c r="A13" s="160" t="str">
        <x:v>近几年最重要的四条机制</x:v>
      </x:c>
      <x:c r="B13" s="160"/>
      <x:c r="C13" s="160"/>
      <x:c r="D13" s="160"/>
      <x:c r="E13" s="160"/>
      <x:c r="F13" s="160"/>
      <x:c r="G13" s="141"/>
      <x:c r="H13" s="141"/>
      <x:c r="I13" s="141"/>
      <x:c r="J13" s="141"/>
      <x:c r="K13" s="141"/>
      <x:c r="L13" s="141"/>
      <x:c r="M13" s="141"/>
      <x:c r="N13" s="141"/>
      <x:c r="O13" s="141"/>
      <x:c r="P13" s="141"/>
      <x:c r="X13" t="str">
        <x:v>2020-11</x:v>
      </x:c>
      <x:c r="Y13" t="n">
        <x:f>'06_月度价格'!F60/'06_月度价格'!F$50*100</x:f>
        <x:v>119.53875720691865</x:v>
      </x:c>
      <x:c r="Z13" t="n">
        <x:f>'06_月度价格'!H60/'06_月度价格'!H$50*100</x:f>
        <x:v>133.8888888888889</x:v>
      </x:c>
      <x:c r="AB13" t="str">
        <x:v>2020-11</x:v>
      </x:c>
      <x:c r="AC13" t="n">
        <x:f>'06_月度价格'!I60</x:f>
        <x:v>77.42738589211618</x:v>
      </x:c>
    </x:row>
    <x:row r="14" ht="22" customHeight="1">
      <x:c r="A14" s="161" t="str">
        <x:v>1. 实际利率与美元通常是黄金机会成本的主轴；但央行购金、ETF/持仓流可阶段性抵消。
2. 避险不是固定正号：风险事件遇到美元现金荒、保证金压力或油价推升利率预期时，金银也会先被抛售。
3. 白银必须单独建模：除贵金属因子外，还受铜价、工业周期、光伏/电网需求、库存与租借利率驱动。
4. 年度供需缺口不等于当年价格必涨；2022年白银就是典型反例，短期定价仍受美元、利率和仓位支配。</x:v>
      </x:c>
      <x:c r="B14" s="162"/>
      <x:c r="C14" s="162"/>
      <x:c r="D14" s="162"/>
      <x:c r="E14" s="162"/>
      <x:c r="F14" s="163"/>
      <x:c r="G14" s="141"/>
      <x:c r="H14" s="141"/>
      <x:c r="I14" s="141"/>
      <x:c r="J14" s="141"/>
      <x:c r="K14" s="141"/>
      <x:c r="L14" s="141"/>
      <x:c r="M14" s="141"/>
      <x:c r="N14" s="141"/>
      <x:c r="O14" s="141"/>
      <x:c r="P14" s="141"/>
      <x:c r="X14" t="str">
        <x:v>2020-12</x:v>
      </x:c>
      <x:c r="Y14" t="n">
        <x:f>'06_月度价格'!F61/'06_月度价格'!F$50*100</x:f>
        <x:v>119.02626521460601</x:v>
      </x:c>
      <x:c r="Z14" t="n">
        <x:f>'06_月度价格'!H61/'06_月度价格'!H$50*100</x:f>
        <x:v>138.88888888888889</x:v>
      </x:c>
      <x:c r="AB14" t="str">
        <x:v>2020-12</x:v>
      </x:c>
      <x:c r="AC14" t="n">
        <x:f>'06_月度价格'!I61</x:f>
        <x:v>74.32</x:v>
      </x:c>
    </x:row>
    <x:row r="15" ht="22" customHeight="1">
      <x:c r="A15" s="164"/>
      <x:c r="B15" s="165"/>
      <x:c r="C15" s="165"/>
      <x:c r="D15" s="165"/>
      <x:c r="E15" s="165"/>
      <x:c r="F15" s="166"/>
      <x:c r="G15" s="141"/>
      <x:c r="H15" s="141"/>
      <x:c r="I15" s="141"/>
      <x:c r="J15" s="141"/>
      <x:c r="K15" s="141"/>
      <x:c r="L15" s="141"/>
      <x:c r="M15" s="141"/>
      <x:c r="N15" s="141"/>
      <x:c r="O15" s="141"/>
      <x:c r="P15" s="141"/>
      <x:c r="X15" t="str">
        <x:v>2021-01</x:v>
      </x:c>
      <x:c r="Y15" t="n">
        <x:f>'06_月度价格'!F62/'06_月度价格'!F$50*100</x:f>
        <x:v>119.60281870595773</x:v>
      </x:c>
      <x:c r="Z15" t="n">
        <x:f>'06_月度价格'!H62/'06_月度价格'!H$50*100</x:f>
        <x:v>143.88888888888889</x:v>
      </x:c>
      <x:c r="AB15" t="str">
        <x:v>2021-01</x:v>
      </x:c>
      <x:c r="AC15" t="n">
        <x:f>'06_月度价格'!I62</x:f>
        <x:v>72.08494208494209</x:v>
      </x:c>
    </x:row>
    <x:row r="16" ht="22" customHeight="1">
      <x:c r="A16" s="164"/>
      <x:c r="B16" s="165"/>
      <x:c r="C16" s="165"/>
      <x:c r="D16" s="165"/>
      <x:c r="E16" s="165"/>
      <x:c r="F16" s="166"/>
      <x:c r="G16" s="141"/>
      <x:c r="H16" s="141"/>
      <x:c r="I16" s="141"/>
      <x:c r="J16" s="141"/>
      <x:c r="K16" s="141"/>
      <x:c r="L16" s="141"/>
      <x:c r="M16" s="141"/>
      <x:c r="N16" s="141"/>
      <x:c r="O16" s="141"/>
      <x:c r="P16" s="141"/>
      <x:c r="X16" t="str">
        <x:v>2021-02</x:v>
      </x:c>
      <x:c r="Y16" t="n">
        <x:f>'06_月度价格'!F63/'06_月度价格'!F$50*100</x:f>
        <x:v>115.82319026265215</x:v>
      </x:c>
      <x:c r="Z16" t="n">
        <x:f>'06_月度价格'!H63/'06_月度价格'!H$50*100</x:f>
        <x:v>151.66666666666666</x:v>
      </x:c>
      <x:c r="AB16" t="str">
        <x:v>2021-02</x:v>
      </x:c>
      <x:c r="AC16" t="n">
        <x:f>'06_月度价格'!I63</x:f>
        <x:v>66.22710622710622</x:v>
      </x:c>
    </x:row>
    <x:row r="17" ht="22" customHeight="1">
      <x:c r="A17" s="164"/>
      <x:c r="B17" s="165"/>
      <x:c r="C17" s="165"/>
      <x:c r="D17" s="165"/>
      <x:c r="E17" s="165"/>
      <x:c r="F17" s="166"/>
      <x:c r="G17" s="141"/>
      <x:c r="H17" s="141"/>
      <x:c r="I17" s="141"/>
      <x:c r="J17" s="141"/>
      <x:c r="K17" s="141"/>
      <x:c r="L17" s="141"/>
      <x:c r="M17" s="141"/>
      <x:c r="N17" s="141"/>
      <x:c r="O17" s="141"/>
      <x:c r="P17" s="141"/>
      <x:c r="X17" t="str">
        <x:v>2021-03</x:v>
      </x:c>
      <x:c r="Y17" t="n">
        <x:f>'06_月度价格'!F64/'06_月度价格'!F$50*100</x:f>
        <x:v>110.05765534913516</x:v>
      </x:c>
      <x:c r="Z17" t="n">
        <x:f>'06_月度价格'!H64/'06_月度价格'!H$50*100</x:f>
        <x:v>142.22222222222223</x:v>
      </x:c>
      <x:c r="AB17" t="str">
        <x:v>2021-03</x:v>
      </x:c>
      <x:c r="AC17" t="n">
        <x:f>'06_月度价格'!I64</x:f>
        <x:v>67.109375</x:v>
      </x:c>
    </x:row>
    <x:row r="18" ht="22" customHeight="1">
      <x:c r="A18" s="164"/>
      <x:c r="B18" s="165"/>
      <x:c r="C18" s="165"/>
      <x:c r="D18" s="165"/>
      <x:c r="E18" s="165"/>
      <x:c r="F18" s="166"/>
      <x:c r="G18" s="141"/>
      <x:c r="H18" s="141"/>
      <x:c r="I18" s="141"/>
      <x:c r="J18" s="141"/>
      <x:c r="K18" s="141"/>
      <x:c r="L18" s="141"/>
      <x:c r="M18" s="141"/>
      <x:c r="N18" s="141"/>
      <x:c r="O18" s="141"/>
      <x:c r="P18" s="141"/>
      <x:c r="X18" t="str">
        <x:v>2021-04</x:v>
      </x:c>
      <x:c r="Y18" t="n">
        <x:f>'06_月度价格'!F65/'06_月度价格'!F$50*100</x:f>
        <x:v>112.74823830877642</x:v>
      </x:c>
      <x:c r="Z18" t="n">
        <x:f>'06_月度价格'!H65/'06_月度价格'!H$50*100</x:f>
        <x:v>142.77777777777777</x:v>
      </x:c>
      <x:c r="AB18" t="str">
        <x:v>2021-04</x:v>
      </x:c>
      <x:c r="AC18" t="n">
        <x:f>'06_月度价格'!I65</x:f>
        <x:v>68.48249027237354</x:v>
      </x:c>
    </x:row>
    <x:row r="19" ht="22" customHeight="1">
      <x:c r="A19" s="164"/>
      <x:c r="B19" s="165"/>
      <x:c r="C19" s="165"/>
      <x:c r="D19" s="165"/>
      <x:c r="E19" s="165"/>
      <x:c r="F19" s="166"/>
      <x:c r="G19" s="141"/>
      <x:c r="H19" s="141"/>
      <x:c r="I19" s="141"/>
      <x:c r="J19" s="141"/>
      <x:c r="K19" s="141"/>
      <x:c r="L19" s="141"/>
      <x:c r="M19" s="141"/>
      <x:c r="N19" s="141"/>
      <x:c r="O19" s="141"/>
      <x:c r="P19" s="141"/>
      <x:c r="X19" t="str">
        <x:v>2021-05</x:v>
      </x:c>
      <x:c r="Y19" t="n">
        <x:f>'06_月度价格'!F66/'06_月度价格'!F$50*100</x:f>
        <x:v>118.5137732222934</x:v>
      </x:c>
      <x:c r="Z19" t="n">
        <x:f>'06_月度价格'!H66/'06_月度价格'!H$50*100</x:f>
        <x:v>152.77777777777777</x:v>
      </x:c>
      <x:c r="AB19" t="str">
        <x:v>2021-05</x:v>
      </x:c>
      <x:c r="AC19" t="n">
        <x:f>'06_月度价格'!I66</x:f>
        <x:v>67.27272727272727</x:v>
      </x:c>
    </x:row>
    <x:row r="20" ht="22" customHeight="1">
      <x:c r="A20" s="167"/>
      <x:c r="B20" s="168"/>
      <x:c r="C20" s="168"/>
      <x:c r="D20" s="168"/>
      <x:c r="E20" s="168"/>
      <x:c r="F20" s="169"/>
      <x:c r="G20" s="141"/>
      <x:c r="H20" s="141"/>
      <x:c r="I20" s="141"/>
      <x:c r="J20" s="141"/>
      <x:c r="K20" s="141"/>
      <x:c r="L20" s="141"/>
      <x:c r="M20" s="141"/>
      <x:c r="N20" s="141"/>
      <x:c r="O20" s="141"/>
      <x:c r="P20" s="141"/>
      <x:c r="X20" t="str">
        <x:v>2021-06</x:v>
      </x:c>
      <x:c r="Y20" t="n">
        <x:f>'06_月度价格'!F67/'06_月度价格'!F$50*100</x:f>
        <x:v>117.55285073670724</x:v>
      </x:c>
      <x:c r="Z20" t="n">
        <x:f>'06_月度价格'!H67/'06_月度价格'!H$50*100</x:f>
        <x:v>150</x:v>
      </x:c>
      <x:c r="AB20" t="str">
        <x:v>2021-06</x:v>
      </x:c>
      <x:c r="AC20" t="n">
        <x:f>'06_月度价格'!I67</x:f>
        <x:v>67.96296296296296</x:v>
      </x:c>
    </x:row>
    <x:row r="21" ht="22" customHeight="1">
      <x:c r="A21" s="141"/>
      <x:c r="B21" s="141"/>
      <x:c r="C21" s="141"/>
      <x:c r="D21" s="141"/>
      <x:c r="E21" s="141"/>
      <x:c r="F21" s="141"/>
      <x:c r="G21" s="141"/>
      <x:c r="H21" s="141"/>
      <x:c r="I21" s="141"/>
      <x:c r="J21" s="141"/>
      <x:c r="K21" s="141"/>
      <x:c r="L21" s="141"/>
      <x:c r="M21" s="141"/>
      <x:c r="N21" s="141"/>
      <x:c r="O21" s="141"/>
      <x:c r="P21" s="141"/>
      <x:c r="X21" t="str">
        <x:v>2021-07</x:v>
      </x:c>
      <x:c r="Y21" t="n">
        <x:f>'06_月度价格'!F68/'06_月度价格'!F$50*100</x:f>
        <x:v>115.82319026265215</x:v>
      </x:c>
      <x:c r="Z21" t="n">
        <x:f>'06_月度价格'!H68/'06_月度价格'!H$50*100</x:f>
        <x:v>142.77777777777777</x:v>
      </x:c>
      <x:c r="AB21" t="str">
        <x:v>2021-07</x:v>
      </x:c>
      <x:c r="AC21" t="n">
        <x:f>'06_月度价格'!I68</x:f>
        <x:v>70.35019455252919</x:v>
      </x:c>
    </x:row>
    <x:row r="22" ht="22" customHeight="1">
      <x:c r="A22" s="170" t="str">
        <x:v>建议使用顺序</x:v>
      </x:c>
      <x:c r="B22" s="170"/>
      <x:c r="C22" s="170"/>
      <x:c r="D22" s="170"/>
      <x:c r="E22" s="170"/>
      <x:c r="F22" s="170"/>
      <x:c r="G22" s="141"/>
      <x:c r="H22" s="141"/>
      <x:c r="I22" s="141"/>
      <x:c r="J22" s="141"/>
      <x:c r="K22" s="141"/>
      <x:c r="L22" s="141"/>
      <x:c r="M22" s="141"/>
      <x:c r="N22" s="141"/>
      <x:c r="O22" s="141"/>
      <x:c r="P22" s="141"/>
      <x:c r="X22" t="str">
        <x:v>2021-08</x:v>
      </x:c>
      <x:c r="Y22" t="n">
        <x:f>'06_月度价格'!F69/'06_月度价格'!F$50*100</x:f>
        <x:v>114.34977578475336</x:v>
      </x:c>
      <x:c r="Z22" t="n">
        <x:f>'06_月度价格'!H69/'06_月度价格'!H$50*100</x:f>
        <x:v>133.33333333333331</x:v>
      </x:c>
      <x:c r="AB22" t="str">
        <x:v>2021-08</x:v>
      </x:c>
      <x:c r="AC22" t="n">
        <x:f>'06_月度价格'!I69</x:f>
        <x:v>74.375</x:v>
      </x:c>
    </x:row>
    <x:row r="23" ht="22" customHeight="1">
      <x:c r="A23" s="171" t="str">
        <x:v>① 先看 01_数据目录：确认来源、许可、频率和发布时间。
② 再看 02_因素地图 与 03_事件时间线：形成机制假设，不把相关性写成因果。
③ 用 05_月度建模表 做首版基线；所有特征已统一滞后1个月。
④ 日频模型若改用上金所目标价，需先取得历史行情展示/再分发授权，并按中国15:30截止时点做as-of join。
⑤ 评估必须采用滚动时间窗，至少对比历史均值、上一期方向和仅价格特征基线。</x:v>
      </x:c>
      <x:c r="B23" s="172"/>
      <x:c r="C23" s="172"/>
      <x:c r="D23" s="172"/>
      <x:c r="E23" s="172"/>
      <x:c r="F23" s="173"/>
      <x:c r="G23" s="141"/>
      <x:c r="H23" s="141"/>
      <x:c r="I23" s="141"/>
      <x:c r="J23" s="141"/>
      <x:c r="K23" s="141"/>
      <x:c r="L23" s="141"/>
      <x:c r="M23" s="141"/>
      <x:c r="N23" s="141"/>
      <x:c r="O23" s="141"/>
      <x:c r="P23" s="141"/>
      <x:c r="X23" t="str">
        <x:v>2021-09</x:v>
      </x:c>
      <x:c r="Y23" t="n">
        <x:f>'06_月度价格'!F70/'06_月度价格'!F$50*100</x:f>
        <x:v>113.70916079436259</x:v>
      </x:c>
      <x:c r="Z23" t="n">
        <x:f>'06_月度价格'!H70/'06_月度价格'!H$50*100</x:f>
        <x:v>128.88888888888889</x:v>
      </x:c>
      <x:c r="AB23" t="str">
        <x:v>2021-09</x:v>
      </x:c>
      <x:c r="AC23" t="n">
        <x:f>'06_月度价格'!I70</x:f>
        <x:v>76.50862068965517</x:v>
      </x:c>
    </x:row>
    <x:row r="24" ht="22" customHeight="1">
      <x:c r="A24" s="174"/>
      <x:c r="B24" s="175"/>
      <x:c r="C24" s="175"/>
      <x:c r="D24" s="175"/>
      <x:c r="E24" s="175"/>
      <x:c r="F24" s="176"/>
      <x:c r="G24" s="141"/>
      <x:c r="H24" s="141"/>
      <x:c r="I24" s="141"/>
      <x:c r="J24" s="141"/>
      <x:c r="K24" s="141"/>
      <x:c r="L24" s="141"/>
      <x:c r="M24" s="141"/>
      <x:c r="N24" s="141"/>
      <x:c r="O24" s="141"/>
      <x:c r="P24" s="141"/>
      <x:c r="X24" t="str">
        <x:v>2021-10</x:v>
      </x:c>
      <x:c r="Y24" t="n">
        <x:f>'06_月度价格'!F71/'06_月度价格'!F$50*100</x:f>
        <x:v>113.83728379244073</x:v>
      </x:c>
      <x:c r="Z24" t="n">
        <x:f>'06_月度价格'!H71/'06_月度价格'!H$50*100</x:f>
        <x:v>129.99999999999997</x:v>
      </x:c>
      <x:c r="AB24" t="str">
        <x:v>2021-10</x:v>
      </x:c>
      <x:c r="AC24" t="n">
        <x:f>'06_月度价格'!I71</x:f>
        <x:v>75.94017094017094</x:v>
      </x:c>
    </x:row>
    <x:row r="25" ht="22" customHeight="1">
      <x:c r="A25" s="174"/>
      <x:c r="B25" s="175"/>
      <x:c r="C25" s="175"/>
      <x:c r="D25" s="175"/>
      <x:c r="E25" s="175"/>
      <x:c r="F25" s="176"/>
      <x:c r="G25" s="141"/>
      <x:c r="H25" s="141"/>
      <x:c r="I25" s="141"/>
      <x:c r="J25" s="141"/>
      <x:c r="K25" s="141"/>
      <x:c r="L25" s="141"/>
      <x:c r="M25" s="141"/>
      <x:c r="N25" s="141"/>
      <x:c r="O25" s="141"/>
      <x:c r="P25" s="141"/>
      <x:c r="X25" t="str">
        <x:v>2021-11</x:v>
      </x:c>
      <x:c r="Y25" t="n">
        <x:f>'06_月度价格'!F72/'06_月度价格'!F$50*100</x:f>
        <x:v>116.72005124919924</x:v>
      </x:c>
      <x:c r="Z25" t="n">
        <x:f>'06_月度价格'!H72/'06_月度价格'!H$50*100</x:f>
        <x:v>134.44444444444443</x:v>
      </x:c>
      <x:c r="AB25" t="str">
        <x:v>2021-11</x:v>
      </x:c>
      <x:c r="AC25" t="n">
        <x:f>'06_月度价格'!I72</x:f>
        <x:v>75.2892561983471</x:v>
      </x:c>
    </x:row>
    <x:row r="26" ht="22" customHeight="1">
      <x:c r="A26" s="174"/>
      <x:c r="B26" s="175"/>
      <x:c r="C26" s="175"/>
      <x:c r="D26" s="175"/>
      <x:c r="E26" s="175"/>
      <x:c r="F26" s="176"/>
      <x:c r="G26" s="141"/>
      <x:c r="H26" s="141"/>
      <x:c r="I26" s="141"/>
      <x:c r="J26" s="141"/>
      <x:c r="K26" s="141"/>
      <x:c r="L26" s="141"/>
      <x:c r="M26" s="141"/>
      <x:c r="N26" s="141"/>
      <x:c r="O26" s="141"/>
      <x:c r="P26" s="141"/>
      <x:c r="X26" t="str">
        <x:v>2021-12</x:v>
      </x:c>
      <x:c r="Y26" t="n">
        <x:f>'06_月度价格'!F73/'06_月度价格'!F$50*100</x:f>
        <x:v>114.67008327994874</x:v>
      </x:c>
      <x:c r="Z26" t="n">
        <x:f>'06_月度价格'!H73/'06_月度价格'!H$50*100</x:f>
        <x:v>125</x:v>
      </x:c>
      <x:c r="AB26" t="str">
        <x:v>2021-12</x:v>
      </x:c>
      <x:c r="AC26" t="n">
        <x:f>'06_月度价格'!I73</x:f>
        <x:v>79.55555555555556</x:v>
      </x:c>
    </x:row>
    <x:row r="27" ht="22" customHeight="1">
      <x:c r="A27" s="174"/>
      <x:c r="B27" s="175"/>
      <x:c r="C27" s="175"/>
      <x:c r="D27" s="175"/>
      <x:c r="E27" s="175"/>
      <x:c r="F27" s="176"/>
      <x:c r="G27" s="141"/>
      <x:c r="H27" s="141"/>
      <x:c r="I27" s="141"/>
      <x:c r="J27" s="141"/>
      <x:c r="K27" s="141"/>
      <x:c r="L27" s="141"/>
      <x:c r="M27" s="141"/>
      <x:c r="N27" s="141"/>
      <x:c r="O27" s="141"/>
      <x:c r="P27" s="141"/>
      <x:c r="X27" t="str">
        <x:v>2022-01</x:v>
      </x:c>
      <x:c r="Y27" t="n">
        <x:f>'06_月度价格'!F74/'06_月度价格'!F$50*100</x:f>
        <x:v>116.33568225496475</x:v>
      </x:c>
      <x:c r="Z27" t="n">
        <x:f>'06_月度价格'!H74/'06_月度价格'!H$50*100</x:f>
        <x:v>128.88888888888889</x:v>
      </x:c>
      <x:c r="AB27" t="str">
        <x:v>2022-01</x:v>
      </x:c>
      <x:c r="AC27" t="n">
        <x:f>'06_月度价格'!I74</x:f>
        <x:v>78.27586206896552</x:v>
      </x:c>
    </x:row>
    <x:row r="28" ht="22" customHeight="1">
      <x:c r="A28" s="174"/>
      <x:c r="B28" s="175"/>
      <x:c r="C28" s="175"/>
      <x:c r="D28" s="175"/>
      <x:c r="E28" s="175"/>
      <x:c r="F28" s="176"/>
      <x:c r="G28" s="141"/>
      <x:c r="H28" s="141"/>
      <x:c r="I28" s="141"/>
      <x:c r="J28" s="141"/>
      <x:c r="K28" s="141"/>
      <x:c r="L28" s="141"/>
      <x:c r="M28" s="141"/>
      <x:c r="N28" s="141"/>
      <x:c r="O28" s="141"/>
      <x:c r="P28" s="141"/>
      <x:c r="X28" t="str">
        <x:v>2022-02</x:v>
      </x:c>
      <x:c r="Y28" t="n">
        <x:f>'06_月度价格'!F75/'06_月度价格'!F$50*100</x:f>
        <x:v>118.89814221652786</x:v>
      </x:c>
      <x:c r="Z28" t="n">
        <x:f>'06_月度价格'!H75/'06_月度价格'!H$50*100</x:f>
        <x:v>130.55555555555557</x:v>
      </x:c>
      <x:c r="AB28" t="str">
        <x:v>2022-02</x:v>
      </x:c>
      <x:c r="AC28" t="n">
        <x:f>'06_月度价格'!I75</x:f>
        <x:v>78.97872340425532</x:v>
      </x:c>
    </x:row>
    <x:row r="29" ht="22" customHeight="1">
      <x:c r="A29" s="174"/>
      <x:c r="B29" s="175"/>
      <x:c r="C29" s="175"/>
      <x:c r="D29" s="175"/>
      <x:c r="E29" s="175"/>
      <x:c r="F29" s="176"/>
      <x:c r="G29" s="141"/>
      <x:c r="H29" s="141"/>
      <x:c r="I29" s="141"/>
      <x:c r="J29" s="141"/>
      <x:c r="K29" s="141"/>
      <x:c r="L29" s="141"/>
      <x:c r="M29" s="141"/>
      <x:c r="N29" s="141"/>
      <x:c r="O29" s="141"/>
      <x:c r="P29" s="141"/>
      <x:c r="X29" t="str">
        <x:v>2022-03</x:v>
      </x:c>
      <x:c r="Y29" t="n">
        <x:f>'06_月度价格'!F76/'06_月度价格'!F$50*100</x:f>
        <x:v>124.79180012812299</x:v>
      </x:c>
      <x:c r="Z29" t="n">
        <x:f>'06_月度价格'!H76/'06_月度价格'!H$50*100</x:f>
        <x:v>140.55555555555557</x:v>
      </x:c>
      <x:c r="AB29" t="str">
        <x:v>2022-03</x:v>
      </x:c>
      <x:c r="AC29" t="n">
        <x:f>'06_月度价格'!I76</x:f>
        <x:v>76.99604743083003</x:v>
      </x:c>
    </x:row>
    <x:row r="30" ht="22" customHeight="1">
      <x:c r="A30" s="174"/>
      <x:c r="B30" s="175"/>
      <x:c r="C30" s="175"/>
      <x:c r="D30" s="175"/>
      <x:c r="E30" s="175"/>
      <x:c r="F30" s="176"/>
      <x:c r="G30" s="141"/>
      <x:c r="H30" s="141"/>
      <x:c r="I30" s="141"/>
      <x:c r="J30" s="141"/>
      <x:c r="K30" s="141"/>
      <x:c r="L30" s="141"/>
      <x:c r="M30" s="141"/>
      <x:c r="N30" s="141"/>
      <x:c r="O30" s="141"/>
      <x:c r="P30" s="141"/>
      <x:c r="X30" t="str">
        <x:v>2022-04</x:v>
      </x:c>
      <x:c r="Y30" t="n">
        <x:f>'06_月度价格'!F77/'06_月度价格'!F$50*100</x:f>
        <x:v>124.08712363869314</x:v>
      </x:c>
      <x:c r="Z30" t="n">
        <x:f>'06_月度价格'!H77/'06_月度价格'!H$50*100</x:f>
        <x:v>136.11111111111111</x:v>
      </x:c>
      <x:c r="AB30" t="str">
        <x:v>2022-04</x:v>
      </x:c>
      <x:c r="AC30" t="n">
        <x:f>'06_月度价格'!I77</x:f>
        <x:v>79.06122448979592</x:v>
      </x:c>
    </x:row>
    <x:row r="31" ht="22" customHeight="1">
      <x:c r="A31" s="177"/>
      <x:c r="B31" s="178"/>
      <x:c r="C31" s="178"/>
      <x:c r="D31" s="178"/>
      <x:c r="E31" s="178"/>
      <x:c r="F31" s="179"/>
      <x:c r="G31" s="141"/>
      <x:c r="H31" s="141"/>
      <x:c r="I31" s="141"/>
      <x:c r="J31" s="141"/>
      <x:c r="K31" s="141"/>
      <x:c r="L31" s="141"/>
      <x:c r="M31" s="141"/>
      <x:c r="N31" s="141"/>
      <x:c r="O31" s="141"/>
      <x:c r="P31" s="141"/>
      <x:c r="X31" t="str">
        <x:v>2022-05</x:v>
      </x:c>
      <x:c r="Y31" t="n">
        <x:f>'06_月度价格'!F78/'06_月度价格'!F$50*100</x:f>
        <x:v>118.44971172325431</x:v>
      </x:c>
      <x:c r="Z31" t="n">
        <x:f>'06_月度价格'!H78/'06_月度价格'!H$50*100</x:f>
        <x:v>121.66666666666666</x:v>
      </x:c>
      <x:c r="AB31" t="str">
        <x:v>2022-05</x:v>
      </x:c>
      <x:c r="AC31" t="n">
        <x:f>'06_月度价格'!I78</x:f>
        <x:v>84.42922374429224</x:v>
      </x:c>
    </x:row>
    <x:row r="32" ht="22" customHeight="1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  <x:c r="N32" s="141"/>
      <x:c r="O32" s="141"/>
      <x:c r="P32" s="141"/>
      <x:c r="X32" t="str">
        <x:v>2022-06</x:v>
      </x:c>
      <x:c r="Y32" t="n">
        <x:f>'06_月度价格'!F79/'06_月度价格'!F$50*100</x:f>
        <x:v>117.68097373478538</x:v>
      </x:c>
      <x:c r="Z32" t="n">
        <x:f>'06_月度价格'!H79/'06_月度价格'!H$50*100</x:f>
        <x:v>120.00000000000001</x:v>
      </x:c>
      <x:c r="AB32" t="str">
        <x:v>2022-06</x:v>
      </x:c>
      <x:c r="AC32" t="n">
        <x:f>'06_月度价格'!I79</x:f>
        <x:v>85.04629629629629</x:v>
      </x:c>
    </x:row>
    <x:row r="33">
      <x:c r="X33" t="str">
        <x:v>2022-07</x:v>
      </x:c>
      <x:c r="Y33" t="n">
        <x:f>'06_月度价格'!F80/'06_月度价格'!F$50*100</x:f>
        <x:v>111.01857783472133</x:v>
      </x:c>
      <x:c r="Z33" t="n">
        <x:f>'06_月度价格'!H80/'06_月度价格'!H$50*100</x:f>
        <x:v>106.11111111111111</x:v>
      </x:c>
      <x:c r="AB33" t="str">
        <x:v>2022-07</x:v>
      </x:c>
      <x:c r="AC33" t="n">
        <x:f>'06_月度价格'!I80</x:f>
        <x:v>90.73298429319371</x:v>
      </x:c>
    </x:row>
    <x:row r="34">
      <x:c r="X34" t="str">
        <x:v>2022-08</x:v>
      </x:c>
      <x:c r="Y34" t="n">
        <x:f>'06_月度价格'!F81/'06_月度价格'!F$50*100</x:f>
        <x:v>113.06854580397182</x:v>
      </x:c>
      <x:c r="Z34" t="n">
        <x:f>'06_月度价格'!H81/'06_月度价格'!H$50*100</x:f>
        <x:v>109.44444444444443</x:v>
      </x:c>
      <x:c r="AB34" t="str">
        <x:v>2022-08</x:v>
      </x:c>
      <x:c r="AC34" t="n">
        <x:f>'06_月度价格'!I81</x:f>
        <x:v>89.59390862944163</x:v>
      </x:c>
    </x:row>
    <x:row r="35">
      <x:c r="X35" t="str">
        <x:v>2022-09</x:v>
      </x:c>
      <x:c r="Y35" t="n">
        <x:f>'06_月度价格'!F82/'06_月度价格'!F$50*100</x:f>
        <x:v>107.6873798846893</x:v>
      </x:c>
      <x:c r="Z35" t="n">
        <x:f>'06_月度价格'!H82/'06_月度价格'!H$50*100</x:f>
        <x:v>104.99999999999999</x:v>
      </x:c>
      <x:c r="AB35" t="str">
        <x:v>2022-09</x:v>
      </x:c>
      <x:c r="AC35" t="n">
        <x:f>'06_月度价格'!I82</x:f>
        <x:v>88.94179894179895</x:v>
      </x:c>
    </x:row>
    <x:row r="36">
      <x:c r="X36" t="str">
        <x:v>2022-10</x:v>
      </x:c>
      <x:c r="Y36" t="n">
        <x:f>'06_月度价格'!F83/'06_月度价格'!F$50*100</x:f>
        <x:v>106.59833440102497</x:v>
      </x:c>
      <x:c r="Z36" t="n">
        <x:f>'06_月度价格'!H83/'06_月度价格'!H$50*100</x:f>
        <x:v>107.77777777777777</x:v>
      </x:c>
      <x:c r="AB36" t="str">
        <x:v>2022-10</x:v>
      </x:c>
      <x:c r="AC36" t="n">
        <x:f>'06_月度价格'!I83</x:f>
        <x:v>85.77319587628867</x:v>
      </x:c>
    </x:row>
    <x:row r="37">
      <x:c r="X37" t="str">
        <x:v>2022-11</x:v>
      </x:c>
      <x:c r="Y37" t="n">
        <x:f>'06_月度价格'!F84/'06_月度价格'!F$50*100</x:f>
        <x:v>110.50608584240871</x:v>
      </x:c>
      <x:c r="Z37" t="n">
        <x:f>'06_月度价格'!H84/'06_月度价格'!H$50*100</x:f>
        <x:v>116.66666666666667</x:v>
      </x:c>
      <x:c r="AB37" t="str">
        <x:v>2022-11</x:v>
      </x:c>
      <x:c r="AC37" t="n">
        <x:f>'06_月度价格'!I84</x:f>
        <x:v>82.14285714285714</x:v>
      </x:c>
    </x:row>
    <x:row r="38">
      <x:c r="X38" t="str">
        <x:v>2022-12</x:v>
      </x:c>
      <x:c r="Y38" t="n">
        <x:f>'06_月度价格'!F85/'06_月度价格'!F$50*100</x:f>
        <x:v>115.18257527226137</x:v>
      </x:c>
      <x:c r="Z38" t="n">
        <x:f>'06_月度价格'!H85/'06_月度价格'!H$50*100</x:f>
        <x:v>129.44444444444446</x:v>
      </x:c>
      <x:c r="AB38" t="str">
        <x:v>2022-12</x:v>
      </x:c>
      <x:c r="AC38" t="n">
        <x:f>'06_月度价格'!I85</x:f>
        <x:v>77.16738197424893</x:v>
      </x:c>
    </x:row>
    <x:row r="39">
      <x:c r="X39" t="str">
        <x:v>2023-01</x:v>
      </x:c>
      <x:c r="Y39" t="n">
        <x:f>'06_月度价格'!F86/'06_月度价格'!F$50*100</x:f>
        <x:v>121.58872517616912</x:v>
      </x:c>
      <x:c r="Z39" t="n">
        <x:f>'06_月度价格'!H86/'06_月度价格'!H$50*100</x:f>
        <x:v>131.66666666666666</x:v>
      </x:c>
      <x:c r="AB39" t="str">
        <x:v>2023-01</x:v>
      </x:c>
      <x:c r="AC39" t="n">
        <x:f>'06_月度价格'!I86</x:f>
        <x:v>80.084388185654</x:v>
      </x:c>
    </x:row>
    <x:row r="40">
      <x:c r="X40" t="str">
        <x:v>2023-02</x:v>
      </x:c>
      <x:c r="Y40" t="n">
        <x:f>'06_月度价格'!F87/'06_月度价格'!F$50*100</x:f>
        <x:v>118.8340807174888</x:v>
      </x:c>
      <x:c r="Z40" t="n">
        <x:f>'06_月度价格'!H87/'06_月度价格'!H$50*100</x:f>
        <x:v>121.66666666666666</x:v>
      </x:c>
      <x:c r="AB40" t="str">
        <x:v>2023-02</x:v>
      </x:c>
      <x:c r="AC40" t="n">
        <x:f>'06_月度价格'!I87</x:f>
        <x:v>84.70319634703196</x:v>
      </x:c>
    </x:row>
    <x:row r="41">
      <x:c r="X41" t="str">
        <x:v>2023-03</x:v>
      </x:c>
      <x:c r="Y41" t="n">
        <x:f>'06_月度价格'!F88/'06_月度价格'!F$50*100</x:f>
        <x:v>122.54964766175529</x:v>
      </x:c>
      <x:c r="Z41" t="n">
        <x:f>'06_月度价格'!H88/'06_月度价格'!H$50*100</x:f>
        <x:v>122.22222222222223</x:v>
      </x:c>
      <x:c r="AB41" t="str">
        <x:v>2023-03</x:v>
      </x:c>
      <x:c r="AC41" t="n">
        <x:f>'06_月度价格'!I88</x:f>
        <x:v>86.95454545454545</x:v>
      </x:c>
    </x:row>
    <x:row r="42">
      <x:c r="X42" t="str">
        <x:v>2023-04</x:v>
      </x:c>
      <x:c r="Y42" t="n">
        <x:f>'06_月度价格'!F89/'06_月度价格'!F$50*100</x:f>
        <x:v>128.12299807815504</x:v>
      </x:c>
      <x:c r="Z42" t="n">
        <x:f>'06_月度价格'!H89/'06_月度价格'!H$50*100</x:f>
        <x:v>138.88888888888889</x:v>
      </x:c>
      <x:c r="AB42" t="str">
        <x:v>2023-04</x:v>
      </x:c>
      <x:c r="AC42" t="n">
        <x:f>'06_月度价格'!I89</x:f>
        <x:v>80</x:v>
      </x:c>
    </x:row>
    <x:row r="43">
      <x:c r="X43" t="str">
        <x:v>2023-05</x:v>
      </x:c>
      <x:c r="Y43" t="n">
        <x:f>'06_月度价格'!F90/'06_月度价格'!F$50*100</x:f>
        <x:v>127.61050608584242</x:v>
      </x:c>
      <x:c r="Z43" t="n">
        <x:f>'06_月度价格'!H90/'06_月度价格'!H$50*100</x:f>
        <x:v>135</x:v>
      </x:c>
      <x:c r="AB43" t="str">
        <x:v>2023-05</x:v>
      </x:c>
      <x:c r="AC43" t="n">
        <x:f>'06_月度价格'!I90</x:f>
        <x:v>81.9753086419753</x:v>
      </x:c>
    </x:row>
    <x:row r="44">
      <x:c r="X44" t="str">
        <x:v>2023-06</x:v>
      </x:c>
      <x:c r="Y44" t="n">
        <x:f>'06_月度价格'!F91/'06_月度价格'!F$50*100</x:f>
        <x:v>124.4714926329276</x:v>
      </x:c>
      <x:c r="Z44" t="n">
        <x:f>'06_月度价格'!H91/'06_月度价格'!H$50*100</x:f>
        <x:v>129.99999999999997</x:v>
      </x:c>
      <x:c r="AB44" t="str">
        <x:v>2023-06</x:v>
      </x:c>
      <x:c r="AC44" t="n">
        <x:f>'06_月度价格'!I91</x:f>
        <x:v>83.03418803418803</x:v>
      </x:c>
    </x:row>
    <x:row r="45">
      <x:c r="X45" t="str">
        <x:v>2023-07</x:v>
      </x:c>
      <x:c r="Y45" t="n">
        <x:f>'06_月度价格'!F92/'06_月度价格'!F$50*100</x:f>
        <x:v>124.98398462524023</x:v>
      </x:c>
      <x:c r="Z45" t="n">
        <x:f>'06_月度价格'!H92/'06_月度价格'!H$50*100</x:f>
        <x:v>135</x:v>
      </x:c>
      <x:c r="AB45" t="str">
        <x:v>2023-07</x:v>
      </x:c>
      <x:c r="AC45" t="n">
        <x:f>'06_月度价格'!I92</x:f>
        <x:v>80.2880658436214</x:v>
      </x:c>
    </x:row>
    <x:row r="46">
      <x:c r="X46" t="str">
        <x:v>2023-08</x:v>
      </x:c>
      <x:c r="Y46" t="n">
        <x:f>'06_月度价格'!F93/'06_月度价格'!F$50*100</x:f>
        <x:v>122.93401665598975</x:v>
      </x:c>
      <x:c r="Z46" t="n">
        <x:f>'06_月度价格'!H93/'06_月度价格'!H$50*100</x:f>
        <x:v>129.99999999999997</x:v>
      </x:c>
      <x:c r="AB46" t="str">
        <x:v>2023-08</x:v>
      </x:c>
      <x:c r="AC46" t="n">
        <x:f>'06_月度价格'!I93</x:f>
        <x:v>82.00854700854701</x:v>
      </x:c>
    </x:row>
    <x:row r="47">
      <x:c r="X47" t="str">
        <x:v>2023-09</x:v>
      </x:c>
      <x:c r="Y47" t="n">
        <x:f>'06_月度价格'!F94/'06_月度价格'!F$50*100</x:f>
        <x:v>122.74183215887251</x:v>
      </x:c>
      <x:c r="Z47" t="n">
        <x:f>'06_月度价格'!H94/'06_月度价格'!H$50*100</x:f>
        <x:v>128.33333333333334</x:v>
      </x:c>
      <x:c r="AB47" t="str">
        <x:v>2023-09</x:v>
      </x:c>
      <x:c r="AC47" t="n">
        <x:f>'06_月度价格'!I94</x:f>
        <x:v>82.94372294372293</x:v>
      </x:c>
    </x:row>
    <x:row r="48">
      <x:c r="X48" t="str">
        <x:v>2023-10</x:v>
      </x:c>
      <x:c r="Y48" t="n">
        <x:f>'06_月度价格'!F95/'06_月度价格'!F$50*100</x:f>
        <x:v>122.74183215887251</x:v>
      </x:c>
      <x:c r="Z48" t="n">
        <x:f>'06_月度价格'!H95/'06_月度价格'!H$50*100</x:f>
        <x:v>124.44444444444444</x:v>
      </x:c>
      <x:c r="AB48" t="str">
        <x:v>2023-10</x:v>
      </x:c>
      <x:c r="AC48" t="n">
        <x:f>'06_月度价格'!I95</x:f>
        <x:v>85.53571428571429</x:v>
      </x:c>
    </x:row>
    <x:row r="49">
      <x:c r="X49" t="str">
        <x:v>2023-11</x:v>
      </x:c>
      <x:c r="Y49" t="n">
        <x:f>'06_月度价格'!F96/'06_月度价格'!F$50*100</x:f>
        <x:v>127.09801409352978</x:v>
      </x:c>
      <x:c r="Z49" t="n">
        <x:f>'06_月度价格'!H96/'06_月度价格'!H$50*100</x:f>
        <x:v>130.55555555555557</x:v>
      </x:c>
      <x:c r="AB49" t="str">
        <x:v>2023-11</x:v>
      </x:c>
      <x:c r="AC49" t="n">
        <x:f>'06_月度价格'!I96</x:f>
        <x:v>84.42553191489361</x:v>
      </x:c>
    </x:row>
    <x:row r="50">
      <x:c r="X50" t="str">
        <x:v>2023-12</x:v>
      </x:c>
      <x:c r="Y50" t="n">
        <x:f>'06_月度价格'!F97/'06_月度价格'!F$50*100</x:f>
        <x:v>129.78859705317106</x:v>
      </x:c>
      <x:c r="Z50" t="n">
        <x:f>'06_月度价格'!H97/'06_月度价格'!H$50*100</x:f>
        <x:v>132.77777777777777</x:v>
      </x:c>
      <x:c r="AB50" t="str">
        <x:v>2023-12</x:v>
      </x:c>
      <x:c r="AC50" t="n">
        <x:f>'06_月度价格'!I97</x:f>
        <x:v>84.76987447698745</x:v>
      </x:c>
    </x:row>
    <x:row r="51">
      <x:c r="X51" t="str">
        <x:v>2024-01</x:v>
      </x:c>
      <x:c r="Y51" t="n">
        <x:f>'06_月度价格'!F98/'06_月度价格'!F$50*100</x:f>
        <x:v>130.30108904548365</x:v>
      </x:c>
      <x:c r="Z51" t="n">
        <x:f>'06_月度价格'!H98/'06_月度价格'!H$50*100</x:f>
        <x:v>127.22222222222221</x:v>
      </x:c>
      <x:c r="AB51" t="str">
        <x:v>2024-01</x:v>
      </x:c>
      <x:c r="AC51" t="n">
        <x:f>'06_月度价格'!I98</x:f>
        <x:v>88.82096069868996</x:v>
      </x:c>
    </x:row>
    <x:row r="52">
      <x:c r="X52" t="str">
        <x:v>2024-02</x:v>
      </x:c>
      <x:c r="Y52" t="n">
        <x:f>'06_月度价格'!F99/'06_月度价格'!F$50*100</x:f>
        <x:v>129.59641255605382</x:v>
      </x:c>
      <x:c r="Z52" t="n">
        <x:f>'06_月度价格'!H99/'06_月度价格'!H$50*100</x:f>
        <x:v>126.11111111111111</x:v>
      </x:c>
      <x:c r="AB52" t="str">
        <x:v>2024-02</x:v>
      </x:c>
      <x:c r="AC52" t="n">
        <x:f>'06_月度价格'!I99</x:f>
        <x:v>89.11894273127754</x:v>
      </x:c>
    </x:row>
    <x:row r="53">
      <x:c r="X53" t="str">
        <x:v>2024-03</x:v>
      </x:c>
      <x:c r="Y53" t="n">
        <x:f>'06_月度价格'!F100/'06_月度价格'!F$50*100</x:f>
        <x:v>138.2447149263293</x:v>
      </x:c>
      <x:c r="Z53" t="n">
        <x:f>'06_月度价格'!H100/'06_月度价格'!H$50*100</x:f>
        <x:v>136.11111111111111</x:v>
      </x:c>
      <x:c r="AB53" t="str">
        <x:v>2024-03</x:v>
      </x:c>
      <x:c r="AC53" t="n">
        <x:f>'06_月度价格'!I100</x:f>
        <x:v>88.08163265306122</x:v>
      </x:c>
    </x:row>
    <x:row r="54">
      <x:c r="X54" t="str">
        <x:v>2024-04</x:v>
      </x:c>
      <x:c r="Y54" t="n">
        <x:f>'06_月度价格'!F101/'06_月度价格'!F$50*100</x:f>
        <x:v>149.3273542600897</x:v>
      </x:c>
      <x:c r="Z54" t="n">
        <x:f>'06_月度价格'!H101/'06_月度价格'!H$50*100</x:f>
        <x:v>152.77777777777777</x:v>
      </x:c>
      <x:c r="AB54" t="str">
        <x:v>2024-04</x:v>
      </x:c>
      <x:c r="AC54" t="n">
        <x:f>'06_月度价格'!I101</x:f>
        <x:v>84.76363636363637</x:v>
      </x:c>
    </x:row>
    <x:row r="55">
      <x:c r="X55" t="str">
        <x:v>2024-05</x:v>
      </x:c>
      <x:c r="Y55" t="n">
        <x:f>'06_月度价格'!F102/'06_月度价格'!F$50*100</x:f>
        <x:v>150.60858424087124</x:v>
      </x:c>
      <x:c r="Z55" t="n">
        <x:f>'06_月度价格'!H102/'06_月度价格'!H$50*100</x:f>
        <x:v>163.33333333333334</x:v>
      </x:c>
      <x:c r="AB55" t="str">
        <x:v>2024-05</x:v>
      </x:c>
      <x:c r="AC55" t="n">
        <x:f>'06_月度价格'!I102</x:f>
        <x:v>79.96598639455783</x:v>
      </x:c>
    </x:row>
    <x:row r="56">
      <x:c r="X56" t="str">
        <x:v>2024-06</x:v>
      </x:c>
      <x:c r="Y56" t="n">
        <x:f>'06_月度价格'!F103/'06_月度价格'!F$50*100</x:f>
        <x:v>149.00704676489428</x:v>
      </x:c>
      <x:c r="Z56" t="n">
        <x:f>'06_月度价格'!H103/'06_月度价格'!H$50*100</x:f>
        <x:v>164.44444444444446</x:v>
      </x:c>
      <x:c r="AB56" t="str">
        <x:v>2024-06</x:v>
      </x:c>
      <x:c r="AC56" t="n">
        <x:f>'06_月度价格'!I103</x:f>
        <x:v>78.58108108108108</x:v>
      </x:c>
    </x:row>
    <x:row r="57">
      <x:c r="X57" t="str">
        <x:v>2024-07</x:v>
      </x:c>
      <x:c r="Y57" t="n">
        <x:f>'06_月度价格'!F104/'06_月度价格'!F$50*100</x:f>
        <x:v>153.61947469570788</x:v>
      </x:c>
      <x:c r="Z57" t="n">
        <x:f>'06_月度价格'!H104/'06_月度价格'!H$50*100</x:f>
        <x:v>165.55555555555557</x:v>
      </x:c>
      <x:c r="AB57" t="str">
        <x:v>2024-07</x:v>
      </x:c>
      <x:c r="AC57" t="n">
        <x:f>'06_月度价格'!I104</x:f>
        <x:v>80.46979865771812</x:v>
      </x:c>
    </x:row>
    <x:row r="58">
      <x:c r="X58" t="str">
        <x:v>2024-08</x:v>
      </x:c>
      <x:c r="Y58" t="n">
        <x:f>'06_月度价格'!F105/'06_月度价格'!F$50*100</x:f>
        <x:v>158.23190262652147</x:v>
      </x:c>
      <x:c r="Z58" t="n">
        <x:f>'06_月度价格'!H105/'06_月度价格'!H$50*100</x:f>
        <x:v>158.33333333333331</x:v>
      </x:c>
      <x:c r="AB58" t="str">
        <x:v>2024-08</x:v>
      </x:c>
      <x:c r="AC58" t="n">
        <x:f>'06_月度价格'!I105</x:f>
        <x:v>86.66666666666667</x:v>
      </x:c>
    </x:row>
    <x:row r="59">
      <x:c r="X59" t="str">
        <x:v>2024-09</x:v>
      </x:c>
      <x:c r="Y59" t="n">
        <x:f>'06_月度价格'!F106/'06_月度价格'!F$50*100</x:f>
        <x:v>164.70211402946828</x:v>
      </x:c>
      <x:c r="Z59" t="n">
        <x:f>'06_月度价格'!H106/'06_月度价格'!H$50*100</x:f>
        <x:v>167.22222222222223</x:v>
      </x:c>
      <x:c r="AB59" t="str">
        <x:v>2024-09</x:v>
      </x:c>
      <x:c r="AC59" t="n">
        <x:f>'06_月度价格'!I106</x:f>
        <x:v>85.41528239202657</x:v>
      </x:c>
    </x:row>
    <x:row r="60">
      <x:c r="X60" t="str">
        <x:v>2024-10</x:v>
      </x:c>
      <x:c r="Y60" t="n">
        <x:f>'06_月度价格'!F107/'06_月度价格'!F$50*100</x:f>
        <x:v>172.3254324151185</x:v>
      </x:c>
      <x:c r="Z60" t="n">
        <x:f>'06_月度价格'!H107/'06_月度价格'!H$50*100</x:f>
        <x:v>179.99999999999997</x:v>
      </x:c>
      <x:c r="AB60" t="str">
        <x:v>2024-10</x:v>
      </x:c>
      <x:c r="AC60" t="n">
        <x:f>'06_月度价格'!I107</x:f>
        <x:v>83.0246913580247</x:v>
      </x:c>
    </x:row>
    <x:row r="61">
      <x:c r="X61" t="str">
        <x:v>2024-11</x:v>
      </x:c>
      <x:c r="Y61" t="n">
        <x:f>'06_月度价格'!F108/'06_月度价格'!F$50*100</x:f>
        <x:v>169.8270339525945</x:v>
      </x:c>
      <x:c r="Z61" t="n">
        <x:f>'06_月度价格'!H108/'06_月度价格'!H$50*100</x:f>
        <x:v>172.77777777777777</x:v>
      </x:c>
      <x:c r="AB61" t="str">
        <x:v>2024-11</x:v>
      </x:c>
      <x:c r="AC61" t="n">
        <x:f>'06_月度价格'!I108</x:f>
        <x:v>85.2411575562701</x:v>
      </x:c>
    </x:row>
    <x:row r="62">
      <x:c r="X62" t="str">
        <x:v>2024-12</x:v>
      </x:c>
      <x:c r="Y62" t="n">
        <x:f>'06_月度价格'!F109/'06_月度价格'!F$50*100</x:f>
        <x:v>169.63484945547725</x:v>
      </x:c>
      <x:c r="Z62" t="n">
        <x:f>'06_月度价格'!H109/'06_月度价格'!H$50*100</x:f>
        <x:v>171.11111111111111</x:v>
      </x:c>
      <x:c r="AB62" t="str">
        <x:v>2024-12</x:v>
      </x:c>
      <x:c r="AC62" t="n">
        <x:f>'06_月度价格'!I109</x:f>
        <x:v>85.97402597402598</x:v>
      </x:c>
    </x:row>
    <x:row r="63">
      <x:c r="X63" t="str">
        <x:v>2025-01</x:v>
      </x:c>
      <x:c r="Y63" t="n">
        <x:f>'06_月度价格'!F110/'06_月度价格'!F$50*100</x:f>
        <x:v>173.60666239590006</x:v>
      </x:c>
      <x:c r="Z63" t="n">
        <x:f>'06_月度价格'!H110/'06_月度价格'!H$50*100</x:f>
        <x:v>168.88888888888889</x:v>
      </x:c>
      <x:c r="AB63" t="str">
        <x:v>2025-01</x:v>
      </x:c>
      <x:c r="AC63" t="n">
        <x:f>'06_月度价格'!I110</x:f>
        <x:v>89.14473684210527</x:v>
      </x:c>
    </x:row>
    <x:row r="64">
      <x:c r="X64" t="str">
        <x:v>2025-02</x:v>
      </x:c>
      <x:c r="Y64" t="n">
        <x:f>'06_月度价格'!F111/'06_月度价格'!F$50*100</x:f>
        <x:v>185.45803971812938</x:v>
      </x:c>
      <x:c r="Z64" t="n">
        <x:f>'06_月度价格'!H111/'06_月度价格'!H$50*100</x:f>
        <x:v>178.88888888888889</x:v>
      </x:c>
      <x:c r="AB64" t="str">
        <x:v>2025-02</x:v>
      </x:c>
      <x:c r="AC64" t="n">
        <x:f>'06_月度价格'!I111</x:f>
        <x:v>89.90683229813664</x:v>
      </x:c>
    </x:row>
    <x:row r="65">
      <x:c r="X65" t="str">
        <x:v>2025-03</x:v>
      </x:c>
      <x:c r="Y65" t="n">
        <x:f>'06_月度价格'!F112/'06_月度价格'!F$50*100</x:f>
        <x:v>191.09545163356822</x:v>
      </x:c>
      <x:c r="Z65" t="n">
        <x:f>'06_月度价格'!H112/'06_月度价格'!H$50*100</x:f>
        <x:v>184.44444444444446</x:v>
      </x:c>
      <x:c r="AB65" t="str">
        <x:v>2025-03</x:v>
      </x:c>
      <x:c r="AC65" t="n">
        <x:f>'06_月度价格'!I112</x:f>
        <x:v>89.84939759036143</x:v>
      </x:c>
    </x:row>
    <x:row r="66">
      <x:c r="X66" t="str">
        <x:v>2025-04</x:v>
      </x:c>
      <x:c r="Y66" t="n">
        <x:f>'06_月度价格'!F113/'06_月度价格'!F$50*100</x:f>
        <x:v>206.14990390775145</x:v>
      </x:c>
      <x:c r="Z66" t="n">
        <x:f>'06_月度价格'!H113/'06_月度价格'!H$50*100</x:f>
        <x:v>178.88888888888889</x:v>
      </x:c>
      <x:c r="AB66" t="str">
        <x:v>2025-04</x:v>
      </x:c>
      <x:c r="AC66" t="n">
        <x:f>'06_月度价格'!I113</x:f>
        <x:v>99.93788819875776</x:v>
      </x:c>
    </x:row>
    <x:row r="67">
      <x:c r="X67" t="str">
        <x:v>2025-05</x:v>
      </x:c>
      <x:c r="Y67" t="n">
        <x:f>'06_月度价格'!F114/'06_月度价格'!F$50*100</x:f>
        <x:v>211.9795003203075</x:v>
      </x:c>
      <x:c r="Z67" t="n">
        <x:f>'06_月度价格'!H114/'06_月度价格'!H$50*100</x:f>
        <x:v>182.2222222222222</x:v>
      </x:c>
      <x:c r="AB67" t="str">
        <x:v>2025-05</x:v>
      </x:c>
      <x:c r="AC67" t="n">
        <x:f>'06_月度价格'!I114</x:f>
        <x:v>100.88414634146342</x:v>
      </x:c>
    </x:row>
    <x:row r="68">
      <x:c r="X68" t="str">
        <x:v>2025-06</x:v>
      </x:c>
      <x:c r="Y68" t="n">
        <x:f>'06_月度价格'!F115/'06_月度价格'!F$50*100</x:f>
        <x:v>214.79820627802692</x:v>
      </x:c>
      <x:c r="Z68" t="n">
        <x:f>'06_月度价格'!H115/'06_月度价格'!H$50*100</x:f>
        <x:v>200</x:v>
      </x:c>
      <x:c r="AB68" t="str">
        <x:v>2025-06</x:v>
      </x:c>
      <x:c r="AC68" t="n">
        <x:f>'06_月度价格'!I115</x:f>
        <x:v>93.13888888888889</x:v>
      </x:c>
    </x:row>
    <x:row r="69">
      <x:c r="X69" t="str">
        <x:v>2025-07</x:v>
      </x:c>
      <x:c r="Y69" t="n">
        <x:f>'06_月度价格'!F116/'06_月度价格'!F$50*100</x:f>
        <x:v>213.96540679051893</x:v>
      </x:c>
      <x:c r="Z69" t="n">
        <x:f>'06_月度价格'!H116/'06_月度价格'!H$50*100</x:f>
        <x:v>209.44444444444446</x:v>
      </x:c>
      <x:c r="AB69" t="str">
        <x:v>2025-07</x:v>
      </x:c>
      <x:c r="AC69" t="n">
        <x:f>'06_月度价格'!I116</x:f>
        <x:v>88.59416445623341</x:v>
      </x:c>
    </x:row>
    <x:row r="70">
      <x:c r="X70" t="str">
        <x:v>2025-08</x:v>
      </x:c>
      <x:c r="Y70" t="n">
        <x:f>'06_月度价格'!F117/'06_月度价格'!F$50*100</x:f>
        <x:v>215.75912876361306</x:v>
      </x:c>
      <x:c r="Z70" t="n">
        <x:f>'06_月度价格'!H117/'06_月度价格'!H$50*100</x:f>
        <x:v>212.22222222222223</x:v>
      </x:c>
      <x:c r="AB70" t="str">
        <x:v>2025-08</x:v>
      </x:c>
      <x:c r="AC70" t="n">
        <x:f>'06_月度价格'!I117</x:f>
        <x:v>88.1675392670157</x:v>
      </x:c>
    </x:row>
    <x:row r="71">
      <x:c r="X71" t="str">
        <x:v>2025-09</x:v>
      </x:c>
      <x:c r="Y71" t="n">
        <x:f>'06_月度价格'!F118/'06_月度价格'!F$50*100</x:f>
        <x:v>234.97757847533634</x:v>
      </x:c>
      <x:c r="Z71" t="n">
        <x:f>'06_月度价格'!H118/'06_月度价格'!H$50*100</x:f>
        <x:v>237.77777777777777</x:v>
      </x:c>
      <x:c r="AB71" t="str">
        <x:v>2025-09</x:v>
      </x:c>
      <x:c r="AC71" t="n">
        <x:f>'06_月度价格'!I118</x:f>
        <x:v>85.70093457943926</x:v>
      </x:c>
    </x:row>
    <x:row r="72">
      <x:c r="X72" t="str">
        <x:v>2025-10</x:v>
      </x:c>
      <x:c r="Y72" t="n">
        <x:f>'06_月度价格'!F119/'06_月度价格'!F$50*100</x:f>
        <x:v>259.96156310057654</x:v>
      </x:c>
      <x:c r="Z72" t="n">
        <x:f>'06_月度价格'!H119/'06_月度价格'!H$50*100</x:f>
        <x:v>274.44444444444446</x:v>
      </x:c>
      <x:c r="AB72" t="str">
        <x:v>2025-10</x:v>
      </x:c>
      <x:c r="AC72" t="n">
        <x:f>'06_月度价格'!I119</x:f>
        <x:v>82.14574898785425</x:v>
      </x:c>
    </x:row>
    <x:row r="73">
      <x:c r="X73" t="str">
        <x:v>2025-11</x:v>
      </x:c>
      <x:c r="Y73" t="n">
        <x:f>'06_月度价格'!F120/'06_月度价格'!F$50*100</x:f>
        <x:v>261.8193465727098</x:v>
      </x:c>
      <x:c r="Z73" t="n">
        <x:f>'06_月度价格'!H120/'06_月度价格'!H$50*100</x:f>
        <x:v>280</x:v>
      </x:c>
      <x:c r="AB73" t="str">
        <x:v>2025-11</x:v>
      </x:c>
      <x:c r="AC73" t="n">
        <x:f>'06_月度价格'!I120</x:f>
        <x:v>81.09126984126985</x:v>
      </x:c>
    </x:row>
    <x:row r="74">
      <x:c r="X74" t="str">
        <x:v>2025-12</x:v>
      </x:c>
      <x:c r="Y74" t="n">
        <x:f>'06_月度价格'!F121/'06_月度价格'!F$50*100</x:f>
        <x:v>276.040999359385</x:v>
      </x:c>
      <x:c r="Z74" t="n">
        <x:f>'06_月度价格'!H121/'06_月度价格'!H$50*100</x:f>
        <x:v>346.1111111111111</x:v>
      </x:c>
      <x:c r="AB74" t="str">
        <x:v>2025-12</x:v>
      </x:c>
      <x:c r="AC74" t="n">
        <x:f>'06_月度价格'!I121</x:f>
        <x:v>69.16532905296951</x:v>
      </x:c>
    </x:row>
    <x:row r="75">
      <x:c r="X75" t="str">
        <x:v>2026-01</x:v>
      </x:c>
      <x:c r="Y75" t="n">
        <x:f>'06_月度价格'!F122/'06_月度价格'!F$50*100</x:f>
        <x:v>304.4843049327354</x:v>
      </x:c>
      <x:c r="Z75" t="n">
        <x:f>'06_月度价格'!H122/'06_月度价格'!H$50*100</x:f>
        <x:v>511.66666666666663</x:v>
      </x:c>
      <x:c r="AB75" t="str">
        <x:v>2026-01</x:v>
      </x:c>
      <x:c r="AC75" t="n">
        <x:f>'06_月度价格'!I122</x:f>
        <x:v>51.60694896851249</x:v>
      </x:c>
    </x:row>
    <x:row r="76">
      <x:c r="X76" t="str">
        <x:v>2026-02</x:v>
      </x:c>
      <x:c r="Y76" t="n">
        <x:f>'06_月度价格'!F123/'06_月度价格'!F$50*100</x:f>
        <x:v>321.58872517616913</x:v>
      </x:c>
      <x:c r="Z76" t="n">
        <x:f>'06_月度价格'!H123/'06_月度价格'!H$50*100</x:f>
        <x:v>455.00000000000006</x:v>
      </x:c>
      <x:c r="AB76" t="str">
        <x:v>2026-02</x:v>
      </x:c>
      <x:c r="AC76" t="n">
        <x:f>'06_月度价格'!I123</x:f>
        <x:v>61.29426129426129</x:v>
      </x:c>
    </x:row>
    <x:row r="77">
      <x:c r="X77" t="str">
        <x:v>2026-03</x:v>
      </x:c>
      <x:c r="Y77" t="n">
        <x:f>'06_月度价格'!F124/'06_月度价格'!F$50*100</x:f>
        <x:v>311.0826393337604</x:v>
      </x:c>
      <x:c r="Z77" t="n">
        <x:f>'06_月度价格'!H124/'06_月度价格'!H$50*100</x:f>
        <x:v>432.7777777777778</x:v>
      </x:c>
      <x:c r="AB77" t="str">
        <x:v>2026-03</x:v>
      </x:c>
      <x:c r="AC77" t="n">
        <x:f>'06_月度价格'!I124</x:f>
        <x:v>62.33632862644416</x:v>
      </x:c>
    </x:row>
    <x:row r="78">
      <x:c r="X78" t="str">
        <x:v>2026-04</x:v>
      </x:c>
      <x:c r="Y78" t="n">
        <x:f>'06_月度价格'!F125/'06_月度价格'!F$50*100</x:f>
        <x:v>302.43433696348495</x:v>
      </x:c>
      <x:c r="Z78" t="n">
        <x:f>'06_月度价格'!H125/'06_月度价格'!H$50*100</x:f>
        <x:v>421.6666666666667</x:v>
      </x:c>
      <x:c r="AB78" t="str">
        <x:v>2026-04</x:v>
      </x:c>
      <x:c r="AC78" t="n">
        <x:f>'06_月度价格'!I125</x:f>
        <x:v>62.20026350461133</x:v>
      </x:c>
    </x:row>
    <x:row r="79">
      <x:c r="X79" t="str">
        <x:v>2026-05</x:v>
      </x:c>
      <x:c r="Y79" t="n">
        <x:f>'06_月度价格'!F126/'06_月度价格'!F$50*100</x:f>
        <x:v>293.8500960922485</x:v>
      </x:c>
      <x:c r="Z79" t="n">
        <x:f>'06_月度价格'!H126/'06_月度价格'!H$50*100</x:f>
        <x:v>433.3333333333333</x:v>
      </x:c>
      <x:c r="AB79" t="str">
        <x:v>2026-05</x:v>
      </x:c>
      <x:c r="AC79" t="n">
        <x:f>'06_月度价格'!I126</x:f>
        <x:v>58.80769230769231</x:v>
      </x:c>
    </x:row>
    <x:row r="80">
      <x:c r="X80" t="str">
        <x:v>2026-06</x:v>
      </x:c>
      <x:c r="Y80" t="n">
        <x:f>'06_月度价格'!F127/'06_月度价格'!F$50*100</x:f>
        <x:v>270.8520179372197</x:v>
      </x:c>
      <x:c r="Z80" t="n">
        <x:f>'06_月度价格'!H127/'06_月度价格'!H$50*100</x:f>
        <x:v>370.55555555555554</x:v>
      </x:c>
      <x:c r="AB80" t="str">
        <x:v>2026-06</x:v>
      </x:c>
      <x:c r="AC80" t="n">
        <x:f>'06_月度价格'!I127</x:f>
        <x:v>63.38830584707646</x:v>
      </x:c>
    </x:row>
  </x:sheetData>
  <x:mergeCells>
    <x:mergeCell ref="A1:P2"/>
    <x:mergeCell ref="A3:P3"/>
    <x:mergeCell ref="A5:C7"/>
    <x:mergeCell ref="D5:F7"/>
    <x:mergeCell ref="A9:C11"/>
    <x:mergeCell ref="D9:F11"/>
    <x:mergeCell ref="A13:F13"/>
    <x:mergeCell ref="A14:F20"/>
    <x:mergeCell ref="A22:F22"/>
    <x:mergeCell ref="A23:F31"/>
  </x:mergeCells>
  <x:pageMargins left="0.7" right="0.7" top="0.75" bottom="0.75" header="0.3" footer="0.3"/>
  <x:drawing xmlns:r="http://schemas.openxmlformats.org/officeDocument/2006/relationships" r:id="R5cc1eff3d6004d3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23" hidden="0" customWidth="1"/>
    <x:col min="11" max="11" width="42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24" hidden="0" customHeight="1">
      <x:c r="A1" s="185" t="str">
        <x:v>dataset_id</x:v>
      </x:c>
      <x:c r="B1" s="185" t="str">
        <x:v>数据集/字段</x:v>
      </x:c>
      <x:c r="C1" s="185" t="str">
        <x:v>来源机构</x:v>
      </x:c>
      <x:c r="D1" s="185" t="str">
        <x:v>频率</x:v>
      </x:c>
      <x:c r="E1" s="185" t="str">
        <x:v>观测日期口径</x:v>
      </x:c>
      <x:c r="F1" s="185" t="str">
        <x:v>发布时间/可用时点</x:v>
      </x:c>
      <x:c r="G1" s="185" t="str">
        <x:v>覆盖范围</x:v>
      </x:c>
      <x:c r="H1" s="185" t="str">
        <x:v>单位</x:v>
      </x:c>
      <x:c r="I1" s="185" t="str">
        <x:v>许可与再分发</x:v>
      </x:c>
      <x:c r="J1" s="185" t="str">
        <x:v>交付状态</x:v>
      </x:c>
      <x:c r="K1" s="185" t="str">
        <x:v>官方URL</x:v>
      </x:c>
      <x:c r="L1" s="185" t="str">
        <x:v>本地路径</x:v>
      </x:c>
      <x:c r="M1" s="185" t="str">
        <x:v>建模用途</x:v>
      </x:c>
      <x:c r="N1" s="185" t="str">
        <x:v>注意事项</x:v>
      </x:c>
    </x:row>
    <x:row r="2" ht="42" hidden="0" customHeight="1">
      <x:c r="A2" s="186" t="str">
        <x:v>WB_PRICE</x:v>
      </x:c>
      <x:c r="B2" s="186" t="str">
        <x:v>黄金、白银、铜、布伦特等月均价</x:v>
      </x:c>
      <x:c r="C2" s="186" t="str">
        <x:v>World Bank</x:v>
      </x:c>
      <x:c r="D2" s="186" t="str">
        <x:v>月</x:v>
      </x:c>
      <x:c r="E2" s="186" t="str">
        <x:v>自然月月均</x:v>
      </x:c>
      <x:c r="F2" s="186" t="str">
        <x:v>次月更新；本表建模统一滞后1月</x:v>
      </x:c>
      <x:c r="G2" s="186" t="str">
        <x:v>2016-01—2026-06</x:v>
      </x:c>
      <x:c r="H2" s="186" t="str">
        <x:v>USD/oz、USD/mt、USD/bbl</x:v>
      </x:c>
      <x:c r="I2" s="186" t="str">
        <x:v>世界银行公开数据；保留署名</x:v>
      </x:c>
      <x:c r="J2" s="186" t="str">
        <x:v>已收集/可交付</x:v>
      </x:c>
      <x:c r="K2" s="186" t="str">
        <x:v>https://thedocs.worldbank.org/en/doc/74e8be41ceb20fa0da750cda2f6b9e4e-0050012026/world-bank-commodities-price-data-the-pink-sheet</x:v>
      </x:c>
      <x:c r="L2" s="186" t="str">
        <x:v>data/raw/world_bank/CMO-Historical-Data-Monthly.xlsx</x:v>
      </x:c>
      <x:c r="M2" s="186" t="str">
        <x:v>目标价、金银比、工业/通胀代理</x:v>
      </x:c>
      <x:c r="N2" s="186" t="str">
        <x:v>月均价不等于LBMA或上金所收盘价</x:v>
      </x:c>
    </x:row>
    <x:row r="3" ht="42" hidden="0" customHeight="1">
      <x:c r="A3" s="186" t="str">
        <x:v>UST_YIELD</x:v>
      </x:c>
      <x:c r="B3" s="186" t="str">
        <x:v>10年名义/实际收益率、盈亏平衡通胀</x:v>
      </x:c>
      <x:c r="C3" s="186" t="str">
        <x:v>U.S. Treasury</x:v>
      </x:c>
      <x:c r="D3" s="186" t="str">
        <x:v>日</x:v>
      </x:c>
      <x:c r="E3" s="186" t="str">
        <x:v>美债交易日约15:30 ET报价</x:v>
      </x:c>
      <x:c r="F3" s="186" t="str">
        <x:v>当日收盘后；中国15:30预测需按T+1</x:v>
      </x:c>
      <x:c r="G3" s="186" t="str">
        <x:v>2016-01—2026-07-10</x:v>
      </x:c>
      <x:c r="H3" s="186" t="str">
        <x:v>%</x:v>
      </x:c>
      <x:c r="I3" s="186" t="str">
        <x:v>美国政府官方数据；署名</x:v>
      </x:c>
      <x:c r="J3" s="186" t="str">
        <x:v>已收集/可交付</x:v>
      </x:c>
      <x:c r="K3" s="186" t="str">
        <x:v>https://home.treasury.gov/resource-center/data-chart-center/interest-rates/TextView?type=daily_treasury_real_yield_curve</x:v>
      </x:c>
      <x:c r="L3" s="186" t="str">
        <x:v>data/raw/treasury/*.xml</x:v>
      </x:c>
      <x:c r="M3" s="186" t="str">
        <x:v>机会成本、通胀预期</x:v>
      </x:c>
      <x:c r="N3" s="186" t="str">
        <x:v>2021-12-06收益率曲线方法调整</x:v>
      </x:c>
    </x:row>
    <x:row r="4" ht="42" hidden="0" customHeight="1">
      <x:c r="A4" s="186" t="str">
        <x:v>FED_H10</x:v>
      </x:c>
      <x:c r="B4" s="186" t="str">
        <x:v>名义广义美元指数</x:v>
      </x:c>
      <x:c r="C4" s="186" t="str">
        <x:v>Federal Reserve Board</x:v>
      </x:c>
      <x:c r="D4" s="186" t="str">
        <x:v>日</x:v>
      </x:c>
      <x:c r="E4" s="186" t="str">
        <x:v>美国营业日</x:v>
      </x:c>
      <x:c r="F4" s="186" t="str">
        <x:v>每周一16:15 ET发布上周数据</x:v>
      </x:c>
      <x:c r="G4" s="186" t="str">
        <x:v>2016-01—2026-07-03</x:v>
      </x:c>
      <x:c r="H4" s="186" t="str">
        <x:v>Index</x:v>
      </x:c>
      <x:c r="I4" s="186" t="str">
        <x:v>美国政府官方发布；署名</x:v>
      </x:c>
      <x:c r="J4" s="186" t="str">
        <x:v>已收集/可交付</x:v>
      </x:c>
      <x:c r="K4" s="186" t="str">
        <x:v>https://www.federalreserve.gov/releases/h10/summary/jrxwtfb_nb.htm</x:v>
      </x:c>
      <x:c r="L4" s="186" t="str">
        <x:v>data/raw/federal_reserve/H10_nominal_broad_dollar_daily.html</x:v>
      </x:c>
      <x:c r="M4" s="186" t="str">
        <x:v>美元/流动性因子</x:v>
      </x:c>
      <x:c r="N4" s="186" t="str">
        <x:v>权重可能年度修订；历史值也可能变化</x:v>
      </x:c>
    </x:row>
    <x:row r="5" ht="42" hidden="0" customHeight="1">
      <x:c r="A5" s="186" t="str">
        <x:v>CFTC_COT</x:v>
      </x:c>
      <x:c r="B5" s="186" t="str">
        <x:v>COMEX黄金/白银分项持仓</x:v>
      </x:c>
      <x:c r="C5" s="186" t="str">
        <x:v>CFTC</x:v>
      </x:c>
      <x:c r="D5" s="186" t="str">
        <x:v>周</x:v>
      </x:c>
      <x:c r="E5" s="186" t="str">
        <x:v>周二持仓快照</x:v>
      </x:c>
      <x:c r="F5" s="186" t="str">
        <x:v>通常周五15:30 ET；本表用周二+3日近似</x:v>
      </x:c>
      <x:c r="G5" s="186" t="str">
        <x:v>2016-01—2026-07-07</x:v>
      </x:c>
      <x:c r="H5" s="186" t="str">
        <x:v>Contracts、占OI比例</x:v>
      </x:c>
      <x:c r="I5" s="186" t="str">
        <x:v>美国政府信息；致谢CFTC</x:v>
      </x:c>
      <x:c r="J5" s="186" t="str">
        <x:v>已收集/可交付</x:v>
      </x:c>
      <x:c r="K5" s="186" t="str">
        <x:v>https://www.cftc.gov/MarketReports/CommitmentsofTraders/HistoricalCompressed/index.htm</x:v>
      </x:c>
      <x:c r="L5" s="186" t="str">
        <x:v>data/raw/cftc/fut_disagg_txt_*.zip</x:v>
      </x:c>
      <x:c r="M5" s="186" t="str">
        <x:v>管理基金、生产商、掉期净持仓</x:v>
      </x:c>
      <x:c r="N5" s="186" t="str">
        <x:v>节假日周需用官方Release Schedule修正</x:v>
      </x:c>
    </x:row>
    <x:row r="6" ht="42" hidden="0" customHeight="1">
      <x:c r="A6" s="186" t="str">
        <x:v>GPR</x:v>
      </x:c>
      <x:c r="B6" s="186" t="str">
        <x:v>全球GPR、威胁/行动分项及中俄美份额</x:v>
      </x:c>
      <x:c r="C6" s="186" t="str">
        <x:v>Caldara &amp; Iacoviello</x:v>
      </x:c>
      <x:c r="D6" s="186" t="str">
        <x:v>月</x:v>
      </x:c>
      <x:c r="E6" s="186" t="str">
        <x:v>新闻月度计数指数</x:v>
      </x:c>
      <x:c r="F6" s="186" t="str">
        <x:v>次月初更新；最新月份会修订</x:v>
      </x:c>
      <x:c r="G6" s="186" t="str">
        <x:v>2016-01—2026-06</x:v>
      </x:c>
      <x:c r="H6" s="186" t="str">
        <x:v>Index</x:v>
      </x:c>
      <x:c r="I6" s="186" t="str">
        <x:v>CC BY，需署名作者与下载日期</x:v>
      </x:c>
      <x:c r="J6" s="186" t="str">
        <x:v>已收集/可交付</x:v>
      </x:c>
      <x:c r="K6" s="186" t="str">
        <x:v>https://www.matteoiacoviello.com/gpr.htm</x:v>
      </x:c>
      <x:c r="L6" s="186" t="str">
        <x:v>data/raw/gpr/data_gpr_export.dta</x:v>
      </x:c>
      <x:c r="M6" s="186" t="str">
        <x:v>地缘政治风险状态</x:v>
      </x:c>
      <x:c r="N6" s="186" t="str">
        <x:v>新闻覆盖偏欧美；相关不等于因果</x:v>
      </x:c>
    </x:row>
    <x:row r="7" ht="42" hidden="0" customHeight="1">
      <x:c r="A7" s="186" t="str">
        <x:v>SGE_DAILY</x:v>
      </x:c>
      <x:c r="B7" s="186" t="str">
        <x:v>Au99.99、Ag(T+D)等上金所日行情</x:v>
      </x:c>
      <x:c r="C7" s="186" t="str">
        <x:v>上海黄金交易所</x:v>
      </x:c>
      <x:c r="D7" s="186" t="str">
        <x:v>日</x:v>
      </x:c>
      <x:c r="E7" s="186" t="str">
        <x:v>中国交易日/品种收盘</x:v>
      </x:c>
      <x:c r="F7" s="186" t="str">
        <x:v>当日收盘后</x:v>
      </x:c>
      <x:c r="G7" s="186" t="str">
        <x:v>官网可查</x:v>
      </x:c>
      <x:c r="H7" s="186" t="str">
        <x:v>RMB/g、RMB/kg</x:v>
      </x:c>
      <x:c r="I7" s="186" t="str">
        <x:v>未核到完整再分发授权</x:v>
      </x:c>
      <x:c r="J7" s="186" t="str">
        <x:v>仅目录/需授权</x:v>
      </x:c>
      <x:c r="K7" s="186" t="str">
        <x:v>https://www.sge.com.cn/sjzx/quotation_daily_new</x:v>
      </x:c>
      <x:c r="L7" s="186" t="str">
        <x:v>data/raw/sge/quotation_daily_new.html</x:v>
      </x:c>
      <x:c r="M7" s="186" t="str">
        <x:v>国内业务目标价</x:v>
      </x:c>
      <x:c r="N7" s="186" t="str">
        <x:v>比赛公开交付前需向上金所确认授权</x:v>
      </x:c>
    </x:row>
    <x:row r="8" ht="42" hidden="0" customHeight="1">
      <x:c r="A8" s="186" t="str">
        <x:v>LBMA</x:v>
      </x:c>
      <x:c r="B8" s="186" t="str">
        <x:v>LBMA Gold/Silver Price基准</x:v>
      </x:c>
      <x:c r="C8" s="186" t="str">
        <x:v>LBMA/IBA</x:v>
      </x:c>
      <x:c r="D8" s="186" t="str">
        <x:v>日</x:v>
      </x:c>
      <x:c r="E8" s="186" t="str">
        <x:v>伦敦AM/PM拍卖</x:v>
      </x:c>
      <x:c r="F8" s="186" t="str">
        <x:v>按基准发布时间</x:v>
      </x:c>
      <x:c r="G8" s="186" t="str">
        <x:v>历史/实时</x:v>
      </x:c>
      <x:c r="H8" s="186" t="str">
        <x:v>USD/oz</x:v>
      </x:c>
      <x:c r="I8" s="186" t="str">
        <x:v>IBA许可覆盖获取、使用和再分发</x:v>
      </x:c>
      <x:c r="J8" s="186" t="str">
        <x:v>仅目录/需授权</x:v>
      </x:c>
      <x:c r="K8" s="186" t="str">
        <x:v>https://www.lbma.org.uk/prices-and-data</x:v>
      </x:c>
      <x:c r="L8" s="186" t="str">
        <x:v>未打包</x:v>
      </x:c>
      <x:c r="M8" s="186" t="str">
        <x:v>国际日频目标与事件窗</x:v>
      </x:c>
      <x:c r="N8" s="186" t="str">
        <x:v>公开网页可看不等于可批量再分发</x:v>
      </x:c>
    </x:row>
    <x:row r="9" ht="42" hidden="0" customHeight="1">
      <x:c r="A9" s="186" t="str">
        <x:v>WGC_CB</x:v>
      </x:c>
      <x:c r="B9" s="186" t="str">
        <x:v>央行黄金储备/净购金、黄金ETF流</x:v>
      </x:c>
      <x:c r="C9" s="186" t="str">
        <x:v>World Gold Council</x:v>
      </x:c>
      <x:c r="D9" s="186" t="str">
        <x:v>月/季</x:v>
      </x:c>
      <x:c r="E9" s="186" t="str">
        <x:v>储备/流量所属期</x:v>
      </x:c>
      <x:c r="F9" s="186" t="str">
        <x:v>央行数据通常滞后约2个月</x:v>
      </x:c>
      <x:c r="G9" s="186" t="str">
        <x:v>持续更新</x:v>
      </x:c>
      <x:c r="H9" s="186" t="str">
        <x:v>Tonnes、USD</x:v>
      </x:c>
      <x:c r="I9" s="186" t="str">
        <x:v>Goldhub条款较严格，默认仅目录</x:v>
      </x:c>
      <x:c r="J9" s="186" t="str">
        <x:v>仅目录/需授权</x:v>
      </x:c>
      <x:c r="K9" s="186" t="str">
        <x:v>https://www.gold.org/goldhub/data</x:v>
      </x:c>
      <x:c r="L9" s="186" t="str">
        <x:v>未打包</x:v>
      </x:c>
      <x:c r="M9" s="186" t="str">
        <x:v>黄金结构性需求</x:v>
      </x:c>
      <x:c r="N9" s="186" t="str">
        <x:v>回测必须按发布时点，不能按所属月回填</x:v>
      </x:c>
    </x:row>
    <x:row r="10" ht="42" hidden="0" customHeight="1">
      <x:c r="A10" s="186" t="str">
        <x:v>SILVER_SURVEY</x:v>
      </x:c>
      <x:c r="B10" s="186" t="str">
        <x:v>白银工业需求、供给、缺口、库存</x:v>
      </x:c>
      <x:c r="C10" s="186" t="str">
        <x:v>Silver Institute</x:v>
      </x:c>
      <x:c r="D10" s="186" t="str">
        <x:v>年</x:v>
      </x:c>
      <x:c r="E10" s="186" t="str">
        <x:v>年度供需估计</x:v>
      </x:c>
      <x:c r="F10" s="186" t="str">
        <x:v>次年调查报告；历史值会修订</x:v>
      </x:c>
      <x:c r="G10" s="186" t="str">
        <x:v>年度</x:v>
      </x:c>
      <x:c r="H10" s="186" t="str">
        <x:v>Million oz</x:v>
      </x:c>
      <x:c r="I10" s="186" t="str">
        <x:v>报告版权材料，默认仅目录/引用</x:v>
      </x:c>
      <x:c r="J10" s="186" t="str">
        <x:v>仅目录/需授权</x:v>
      </x:c>
      <x:c r="K10" s="186" t="str">
        <x:v>https://silverinstitute.org/all-world-silver-surveys/</x:v>
      </x:c>
      <x:c r="L10" s="186" t="str">
        <x:v>未打包</x:v>
      </x:c>
      <x:c r="M10" s="186" t="str">
        <x:v>白银产业与供需状态</x:v>
      </x:c>
      <x:c r="N10" s="186" t="str">
        <x:v>低频，不适合机械前向填充到每日</x:v>
      </x:c>
    </x:row>
    <x:row r="11" ht="42" hidden="0" customHeight="1">
      <x:c r="A11" s="186" t="str">
        <x:v>CME</x:v>
      </x:c>
      <x:c r="B11" s="186" t="str">
        <x:v>COMEX结算、库存、成交/持仓明细</x:v>
      </x:c>
      <x:c r="C11" s="186" t="str">
        <x:v>CME Group</x:v>
      </x:c>
      <x:c r="D11" s="186" t="str">
        <x:v>日</x:v>
      </x:c>
      <x:c r="E11" s="186" t="str">
        <x:v>交易日/合约</x:v>
      </x:c>
      <x:c r="F11" s="186" t="str">
        <x:v>交易所发布后</x:v>
      </x:c>
      <x:c r="G11" s="186" t="str">
        <x:v>历史/实时</x:v>
      </x:c>
      <x:c r="H11" s="186" t="str">
        <x:v>USD/oz、contracts</x:v>
      </x:c>
      <x:c r="I11" s="186" t="str">
        <x:v>商业数据，需许可</x:v>
      </x:c>
      <x:c r="J11" s="186" t="str">
        <x:v>仅目录/需授权</x:v>
      </x:c>
      <x:c r="K11" s="186" t="str">
        <x:v>https://www.cmegroup.com/markets/metals/precious.html</x:v>
      </x:c>
      <x:c r="L11" s="186" t="str">
        <x:v>未打包</x:v>
      </x:c>
      <x:c r="M11" s="186" t="str">
        <x:v>换月、库存、流动性</x:v>
      </x:c>
      <x:c r="N11" s="186" t="str">
        <x:v>必须处理合约换月与连续合约口径</x:v>
      </x:c>
    </x:row>
    <x:row r="12" ht="42" hidden="0" customHeight="1">
      <x:c r="A12" s="186" t="str">
        <x:v>CBOE_VOL</x:v>
      </x:c>
      <x:c r="B12" s="186" t="str">
        <x:v>VIX、GVZ等波动率指数</x:v>
      </x:c>
      <x:c r="C12" s="186" t="str">
        <x:v>Cboe</x:v>
      </x:c>
      <x:c r="D12" s="186" t="str">
        <x:v>日</x:v>
      </x:c>
      <x:c r="E12" s="186" t="str">
        <x:v>美股交易日</x:v>
      </x:c>
      <x:c r="F12" s="186" t="str">
        <x:v>美股收盘后</x:v>
      </x:c>
      <x:c r="G12" s="186" t="str">
        <x:v>历史/实时</x:v>
      </x:c>
      <x:c r="H12" s="186" t="str">
        <x:v>Index</x:v>
      </x:c>
      <x:c r="I12" s="186" t="str">
        <x:v>第三方版权</x:v>
      </x:c>
      <x:c r="J12" s="186" t="str">
        <x:v>仅目录/需授权</x:v>
      </x:c>
      <x:c r="K12" s="186" t="str">
        <x:v>https://www.cboe.com/tradable_products/vix/</x:v>
      </x:c>
      <x:c r="L12" s="186" t="str">
        <x:v>未打包</x:v>
      </x:c>
      <x:c r="M12" s="186" t="str">
        <x:v>风险偏好/波动状态</x:v>
      </x:c>
      <x:c r="N12" s="186" t="str">
        <x:v>不能因为FRED可见就默认可再分发</x:v>
      </x:c>
    </x:row>
    <x:row r="13" ht="42" hidden="0" customHeight="1">
      <x:c r="A13" s="186" t="str">
        <x:v>BLS_MACRO</x:v>
      </x:c>
      <x:c r="B13" s="186" t="str">
        <x:v>CPI、核心CPI、失业率、非农</x:v>
      </x:c>
      <x:c r="C13" s="186" t="str">
        <x:v>U.S. BLS</x:v>
      </x:c>
      <x:c r="D13" s="186" t="str">
        <x:v>月</x:v>
      </x:c>
      <x:c r="E13" s="186" t="str">
        <x:v>指标所属月</x:v>
      </x:c>
      <x:c r="F13" s="186" t="str">
        <x:v>次月按官方日历发布</x:v>
      </x:c>
      <x:c r="G13" s="186" t="str">
        <x:v>建议2016起</x:v>
      </x:c>
      <x:c r="H13" s="186" t="str">
        <x:v>Index、%、thousands</x:v>
      </x:c>
      <x:c r="I13" s="186" t="str">
        <x:v>美国政府官方数据</x:v>
      </x:c>
      <x:c r="J13" s="186" t="str">
        <x:v>待补（当前网络不可达）</x:v>
      </x:c>
      <x:c r="K13" s="186" t="str">
        <x:v>https://www.bls.gov/data/</x:v>
      </x:c>
      <x:c r="L13" s="186" t="str">
        <x:v>未打包</x:v>
      </x:c>
      <x:c r="M13" s="186" t="str">
        <x:v>通胀与就业反应函数</x:v>
      </x:c>
      <x:c r="N13" s="186" t="str">
        <x:v>生产版应保存vintage；本轮接口连接超时</x:v>
      </x:c>
    </x:row>
    <x:row r="14" ht="42" hidden="0" customHeight="1">
      <x:c r="A14" s="186" t="str">
        <x:v>FED_G17</x:v>
      </x:c>
      <x:c r="B14" s="186" t="str">
        <x:v>工业生产指数</x:v>
      </x:c>
      <x:c r="C14" s="186" t="str">
        <x:v>Federal Reserve Board</x:v>
      </x:c>
      <x:c r="D14" s="186" t="str">
        <x:v>月</x:v>
      </x:c>
      <x:c r="E14" s="186" t="str">
        <x:v>工业产出所属月</x:v>
      </x:c>
      <x:c r="F14" s="186" t="str">
        <x:v>次月中旬；可修订</x:v>
      </x:c>
      <x:c r="G14" s="186" t="str">
        <x:v>建议2016起</x:v>
      </x:c>
      <x:c r="H14" s="186" t="str">
        <x:v>2017=100</x:v>
      </x:c>
      <x:c r="I14" s="186" t="str">
        <x:v>美国政府官方数据</x:v>
      </x:c>
      <x:c r="J14" s="186" t="str">
        <x:v>待补（DDP临时不可用）</x:v>
      </x:c>
      <x:c r="K14" s="186" t="str">
        <x:v>https://www.federalreserve.gov/releases/g17/</x:v>
      </x:c>
      <x:c r="L14" s="186" t="str">
        <x:v>未打包</x:v>
      </x:c>
      <x:c r="M14" s="186" t="str">
        <x:v>白银工业周期</x:v>
      </x:c>
      <x:c r="N14" s="186" t="str">
        <x:v>当前可先用世界银行铜价作开放代理</x:v>
      </x:c>
    </x:row>
    <x:row r="15" ht="42" hidden="0" customHeight="1">
      <x:c r="A15" s="186" t="str">
        <x:v>FRED_CHECK</x:v>
      </x:c>
      <x:c r="B15" s="186" t="str">
        <x:v>DFII10/DGS10等核对副本</x:v>
      </x:c>
      <x:c r="C15" s="186" t="str">
        <x:v>FRED</x:v>
      </x:c>
      <x:c r="D15" s="186" t="str">
        <x:v>日</x:v>
      </x:c>
      <x:c r="E15" s="186" t="str">
        <x:v>镜像原始机构数据</x:v>
      </x:c>
      <x:c r="F15" s="186" t="str">
        <x:v>随FRED更新</x:v>
      </x:c>
      <x:c r="G15" s="186" t="str">
        <x:v>已下载</x:v>
      </x:c>
      <x:c r="H15" s="186" t="str">
        <x:v>%/Index</x:v>
      </x:c>
      <x:c r="I15" s="186" t="str">
        <x:v>FRED服务条款限制ML/AI用途</x:v>
      </x:c>
      <x:c r="J15" s="186" t="str">
        <x:v>核对用/禁止入模</x:v>
      </x:c>
      <x:c r="K15" s="186" t="str">
        <x:v>https://fred.stlouisfed.org/legal/</x:v>
      </x:c>
      <x:c r="L15" s="186" t="str">
        <x:v>data/raw/fred/*.csv</x:v>
      </x:c>
      <x:c r="M15" s="186" t="str">
        <x:v>仅核对</x:v>
      </x:c>
      <x:c r="N15" s="186" t="str">
        <x:v>最终训练表改用财政部/美联储原始发布端</x:v>
      </x:c>
    </x:row>
  </x:sheetData>
  <x:conditionalFormatting sqref="J2:J15">
    <x:cfRule type="containsText" dxfId="0" priority="1" operator="containsText" text="已收集"/>
    <x:cfRule type="containsText" dxfId="1" priority="2" operator="containsText" text="仅目录"/>
    <x:cfRule type="containsText" dxfId="2" priority="3" operator="containsText" text="待补"/>
  </x:conditionalFormatting>
  <x:pageMargins left="0.7" right="0.7" top="0.75" bottom="0.75" header="0.3" footer="0.3"/>
  <x:tableParts count="1">
    <x:tablePart xmlns:r="http://schemas.openxmlformats.org/officeDocument/2006/relationships" r:id="Rd7086be0302c4e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32" hidden="0" customWidth="1"/>
    <x:col min="4" max="4" width="16" hidden="0" customWidth="1"/>
    <x:col min="5" max="5" width="16" hidden="0" customWidth="1"/>
    <x:col min="6" max="6" width="34" hidden="0" customWidth="1"/>
    <x:col min="7" max="7" width="31" hidden="0" customWidth="1"/>
    <x:col min="8" max="8" width="13" hidden="0" customWidth="1"/>
    <x:col min="9" max="9" width="13" hidden="0" customWidth="1"/>
    <x:col min="10" max="10" width="31" hidden="0" customWidth="1"/>
  </x:cols>
  <x:sheetData>
    <x:row r="1" ht="24" hidden="0" customHeight="1">
      <x:c r="A1" s="185" t="str">
        <x:v>优先级</x:v>
      </x:c>
      <x:c r="B1" s="185" t="str">
        <x:v>因素</x:v>
      </x:c>
      <x:c r="C1" s="185" t="str">
        <x:v>传导机制</x:v>
      </x:c>
      <x:c r="D1" s="185" t="str">
        <x:v>黄金常态方向</x:v>
      </x:c>
      <x:c r="E1" s="185" t="str">
        <x:v>白银常态方向</x:v>
      </x:c>
      <x:c r="F1" s="185" t="str">
        <x:v>状态依赖/反例</x:v>
      </x:c>
      <x:c r="G1" s="185" t="str">
        <x:v>本版开放变量</x:v>
      </x:c>
      <x:c r="H1" s="185" t="str">
        <x:v>来源Sheet</x:v>
      </x:c>
      <x:c r="I1" s="185" t="str">
        <x:v>建议频率</x:v>
      </x:c>
      <x:c r="J1" s="185" t="str">
        <x:v>建模注意</x:v>
      </x:c>
    </x:row>
    <x:row r="2" ht="38" hidden="0" customHeight="1">
      <x:c r="A2" s="186" t="n">
        <x:v>1</x:v>
      </x:c>
      <x:c r="B2" s="186" t="str">
        <x:v>实际利率/货币政策</x:v>
      </x:c>
      <x:c r="C2" s="186" t="str">
        <x:v>实际利率上升→持有无息资产机会成本上升</x:v>
      </x:c>
      <x:c r="D2" s="186" t="str">
        <x:v>通常负向</x:v>
      </x:c>
      <x:c r="E2" s="186" t="str">
        <x:v>通常负向</x:v>
      </x:c>
      <x:c r="F2" s="186" t="str">
        <x:v>央行购金或强避险可抵消；油价冲击也可能推高实际利率</x:v>
      </x:c>
      <x:c r="G2" s="186" t="str">
        <x:v>real_10y_avg_pct_lag1</x:v>
      </x:c>
      <x:c r="H2" s="186" t="str">
        <x:v>05/07</x:v>
      </x:c>
      <x:c r="I2" s="186" t="str">
        <x:v>日→月</x:v>
      </x:c>
      <x:c r="J2" s="186" t="str">
        <x:v>用变化量、水平与市场状态交互</x:v>
      </x:c>
    </x:row>
    <x:row r="3" ht="38" hidden="0" customHeight="1">
      <x:c r="A3" s="186" t="n">
        <x:v>2</x:v>
      </x:c>
      <x:c r="B3" s="186" t="str">
        <x:v>广义美元与美元流动性</x:v>
      </x:c>
      <x:c r="C3" s="186" t="str">
        <x:v>美元升值提高非美元买家成本；现金荒触发去杠杆</x:v>
      </x:c>
      <x:c r="D3" s="186" t="str">
        <x:v>通常负向</x:v>
      </x:c>
      <x:c r="E3" s="186" t="str">
        <x:v>通常更负向</x:v>
      </x:c>
      <x:c r="F3" s="186" t="str">
        <x:v>2020年3月、2026年去杠杆期避险与美元现金需求冲突</x:v>
      </x:c>
      <x:c r="G3" s="186" t="str">
        <x:v>broad_dollar_avg_lag1</x:v>
      </x:c>
      <x:c r="H3" s="186" t="str">
        <x:v>05/08</x:v>
      </x:c>
      <x:c r="I3" s="186" t="str">
        <x:v>日→月</x:v>
      </x:c>
      <x:c r="J3" s="186" t="str">
        <x:v>中国15:30截止时点需将美市数据后移</x:v>
      </x:c>
    </x:row>
    <x:row r="4" ht="38" hidden="0" customHeight="1">
      <x:c r="A4" s="186" t="n">
        <x:v>3</x:v>
      </x:c>
      <x:c r="B4" s="186" t="str">
        <x:v>风险/地缘政治</x:v>
      </x:c>
      <x:c r="C4" s="186" t="str">
        <x:v>避险、尾部风险、储备资产偏好</x:v>
      </x:c>
      <x:c r="D4" s="186" t="str">
        <x:v>常态正向</x:v>
      </x:c>
      <x:c r="E4" s="186" t="str">
        <x:v>混合</x:v>
      </x:c>
      <x:c r="F4" s="186" t="str">
        <x:v>流动性紧张时可先跌；白银还受工业需求预期拖累</x:v>
      </x:c>
      <x:c r="G4" s="186" t="str">
        <x:v>gpr_global_lag1、威胁/行动分项</x:v>
      </x:c>
      <x:c r="H4" s="186" t="str">
        <x:v>05/10</x:v>
      </x:c>
      <x:c r="I4" s="186" t="str">
        <x:v>月</x:v>
      </x:c>
      <x:c r="J4" s="186" t="str">
        <x:v>事件窗和GPR指数分开使用</x:v>
      </x:c>
    </x:row>
    <x:row r="5" ht="38" hidden="0" customHeight="1">
      <x:c r="A5" s="186" t="n">
        <x:v>4</x:v>
      </x:c>
      <x:c r="B5" s="186" t="str">
        <x:v>CFTC仓位与资金流</x:v>
      </x:c>
      <x:c r="C5" s="186" t="str">
        <x:v>管理基金净多反映趋势资金；生产商空头反映套保</x:v>
      </x:c>
      <x:c r="D5" s="186" t="str">
        <x:v>正向/动量</x:v>
      </x:c>
      <x:c r="E5" s="186" t="str">
        <x:v>正向且弹性更大</x:v>
      </x:c>
      <x:c r="F5" s="186" t="str">
        <x:v>拥挤交易可能带来反转；持仓是周二快照、周五才发布</x:v>
      </x:c>
      <x:c r="G5" s="186" t="str">
        <x:v>managed_money_net、producer_net</x:v>
      </x:c>
      <x:c r="H5" s="186" t="str">
        <x:v>05/09</x:v>
      </x:c>
      <x:c r="I5" s="186" t="str">
        <x:v>周→月</x:v>
      </x:c>
      <x:c r="J5" s="186" t="str">
        <x:v>必须按实际发布日期as-of join</x:v>
      </x:c>
    </x:row>
    <x:row r="6" ht="38" hidden="0" customHeight="1">
      <x:c r="A6" s="186" t="n">
        <x:v>5</x:v>
      </x:c>
      <x:c r="B6" s="186" t="str">
        <x:v>央行购金/黄金ETF</x:v>
      </x:c>
      <x:c r="C6" s="186" t="str">
        <x:v>官方储备多元化与投资资金流</x:v>
      </x:c>
      <x:c r="D6" s="186" t="str">
        <x:v>结构性正向</x:v>
      </x:c>
      <x:c r="E6" s="186" t="str">
        <x:v>间接外溢</x:v>
      </x:c>
      <x:c r="F6" s="186" t="str">
        <x:v>2022—2024可抵消高实际利率；低频且滞后</x:v>
      </x:c>
      <x:c r="G6" s="186" t="str">
        <x:v>本版仅目录</x:v>
      </x:c>
      <x:c r="H6" s="186" t="str">
        <x:v>01</x:v>
      </x:c>
      <x:c r="I6" s="186" t="str">
        <x:v>月/季</x:v>
      </x:c>
      <x:c r="J6" s="186" t="str">
        <x:v>取得授权后按vintage加入</x:v>
      </x:c>
    </x:row>
    <x:row r="7" ht="38" hidden="0" customHeight="1">
      <x:c r="A7" s="186" t="n">
        <x:v>6</x:v>
      </x:c>
      <x:c r="B7" s="186" t="str">
        <x:v>工业周期/绿色电气化</x:v>
      </x:c>
      <x:c r="C7" s="186" t="str">
        <x:v>光伏、电网、汽车、电子需求影响白银工业消费</x:v>
      </x:c>
      <x:c r="D7" s="186" t="str">
        <x:v>弱</x:v>
      </x:c>
      <x:c r="E7" s="186" t="str">
        <x:v>强正向</x:v>
      </x:c>
      <x:c r="F7" s="186" t="str">
        <x:v>衰退或关税冲击会压制白银，造成金银分化</x:v>
      </x:c>
      <x:c r="G7" s="186" t="str">
        <x:v>铜价月收益、后续G17</x:v>
      </x:c>
      <x:c r="H7" s="186" t="str">
        <x:v>05/06</x:v>
      </x:c>
      <x:c r="I7" s="186" t="str">
        <x:v>月</x:v>
      </x:c>
      <x:c r="J7" s="186" t="str">
        <x:v>白银必须拥有独立特征组</x:v>
      </x:c>
    </x:row>
    <x:row r="8" ht="38" hidden="0" customHeight="1">
      <x:c r="A8" s="186" t="n">
        <x:v>7</x:v>
      </x:c>
      <x:c r="B8" s="186" t="str">
        <x:v>供需缺口/库存/租借利率</x:v>
      </x:c>
      <x:c r="C8" s="186" t="str">
        <x:v>可流通库存下降与租借紧张放大现货挤压</x:v>
      </x:c>
      <x:c r="D8" s="186" t="str">
        <x:v>中等</x:v>
      </x:c>
      <x:c r="E8" s="186" t="str">
        <x:v>强正向/非线性</x:v>
      </x:c>
      <x:c r="F8" s="186" t="str">
        <x:v>年度缺口不等于当年必涨；2022白银均价仍下跌</x:v>
      </x:c>
      <x:c r="G8" s="186" t="str">
        <x:v>本版仅目录</x:v>
      </x:c>
      <x:c r="H8" s="186" t="str">
        <x:v>01/03</x:v>
      </x:c>
      <x:c r="I8" s="186" t="str">
        <x:v>日/年</x:v>
      </x:c>
      <x:c r="J8" s="186" t="str">
        <x:v>库存地点和交割可用性比总库存更重要</x:v>
      </x:c>
    </x:row>
    <x:row r="9" ht="38" hidden="0" customHeight="1">
      <x:c r="A9" s="186" t="n">
        <x:v>8</x:v>
      </x:c>
      <x:c r="B9" s="186" t="str">
        <x:v>通胀与通胀预期</x:v>
      </x:c>
      <x:c r="C9" s="186" t="str">
        <x:v>保值需求正向；但通胀引发加息时机会成本负向</x:v>
      </x:c>
      <x:c r="D9" s="186" t="str">
        <x:v>符号不固定</x:v>
      </x:c>
      <x:c r="E9" s="186" t="str">
        <x:v>符号不固定</x:v>
      </x:c>
      <x:c r="F9" s="186" t="str">
        <x:v>2021—2022实际利率渠道阶段性压过通胀保值</x:v>
      </x:c>
      <x:c r="G9" s="186" t="str">
        <x:v>breakeven_10y_avg_pct_lag1、油价</x:v>
      </x:c>
      <x:c r="H9" s="186" t="str">
        <x:v>05/07</x:v>
      </x:c>
      <x:c r="I9" s="186" t="str">
        <x:v>日→月</x:v>
      </x:c>
      <x:c r="J9" s="186" t="str">
        <x:v>区分实际通胀、预期通胀与政策反应</x:v>
      </x:c>
    </x:row>
    <x:row r="10" ht="38" hidden="0" customHeight="1">
      <x:c r="A10" s="186" t="n">
        <x:v>9</x:v>
      </x:c>
      <x:c r="B10" s="186" t="str">
        <x:v>商品与能源价格</x:v>
      </x:c>
      <x:c r="C10" s="186" t="str">
        <x:v>油价影响通胀/利率，铜价反映工业景气</x:v>
      </x:c>
      <x:c r="D10" s="186" t="str">
        <x:v>油价间接</x:v>
      </x:c>
      <x:c r="E10" s="186" t="str">
        <x:v>铜价通常正向</x:v>
      </x:c>
      <x:c r="F10" s="186" t="str">
        <x:v>油价冲高也可能推升收益率从而压制贵金属</x:v>
      </x:c>
      <x:c r="G10" s="186" t="str">
        <x:v>brent_return、copper_return</x:v>
      </x:c>
      <x:c r="H10" s="186" t="str">
        <x:v>05/06</x:v>
      </x:c>
      <x:c r="I10" s="186" t="str">
        <x:v>月</x:v>
      </x:c>
      <x:c r="J10" s="186" t="str">
        <x:v>加入油价×实际利率、铜价×白银交互</x:v>
      </x:c>
    </x:row>
    <x:row r="11" ht="38" hidden="0" customHeight="1">
      <x:c r="A11" s="186" t="n">
        <x:v>10</x:v>
      </x:c>
      <x:c r="B11" s="186" t="str">
        <x:v>技术/市场状态</x:v>
      </x:c>
      <x:c r="C11" s="186" t="str">
        <x:v>动量、波动聚集、金银比均值回归或趋势</x:v>
      </x:c>
      <x:c r="D11" s="186" t="str">
        <x:v>状态变量</x:v>
      </x:c>
      <x:c r="E11" s="186" t="str">
        <x:v>状态变量</x:v>
      </x:c>
      <x:c r="F11" s="186" t="str">
        <x:v>极端金银比可表示流动性冲击，也可能持续</x:v>
      </x:c>
      <x:c r="G11" s="186" t="str">
        <x:v>金银比、滞后收益、滚动波动</x:v>
      </x:c>
      <x:c r="H11" s="186" t="str">
        <x:v>05/06</x:v>
      </x:c>
      <x:c r="I11" s="186" t="str">
        <x:v>日/月</x:v>
      </x:c>
      <x:c r="J11" s="186" t="str">
        <x:v>只能解释模型贡献，不能写成因果</x:v>
      </x:c>
    </x:row>
  </x:sheetData>
  <x:pageMargins left="0.7" right="0.7" top="0.75" bottom="0.75" header="0.3" footer="0.3"/>
  <x:tableParts count="1">
    <x:tablePart xmlns:r="http://schemas.openxmlformats.org/officeDocument/2006/relationships" r:id="R99c8b95e33c34a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35" hidden="0" customWidth="1"/>
    <x:col min="5" max="5" width="15" hidden="0" customWidth="1"/>
    <x:col min="6" max="6" width="15" hidden="0" customWidth="1"/>
    <x:col min="7" max="7" width="34" hidden="0" customWidth="1"/>
    <x:col min="8" max="8" width="34" hidden="0" customWidth="1"/>
    <x:col min="9" max="9" width="48" hidden="0" customWidth="1"/>
    <x:col min="10" max="10" width="40" hidden="0" customWidth="1"/>
    <x:col min="11" max="11" width="23" hidden="0" customWidth="1"/>
  </x:cols>
  <x:sheetData>
    <x:row r="1" ht="24" hidden="0" customHeight="1">
      <x:c r="A1" s="185" t="str">
        <x:v>开始日期</x:v>
      </x:c>
      <x:c r="B1" s="185" t="str">
        <x:v>结束日期</x:v>
      </x:c>
      <x:c r="C1" s="185" t="str">
        <x:v>事件</x:v>
      </x:c>
      <x:c r="D1" s="185" t="str">
        <x:v>主因子通道</x:v>
      </x:c>
      <x:c r="E1" s="185" t="str">
        <x:v>黄金反应</x:v>
      </x:c>
      <x:c r="F1" s="185" t="str">
        <x:v>白银反应</x:v>
      </x:c>
      <x:c r="G1" s="185" t="str">
        <x:v>关键事实</x:v>
      </x:c>
      <x:c r="H1" s="185" t="str">
        <x:v>证据性质</x:v>
      </x:c>
      <x:c r="I1" s="185" t="str">
        <x:v>官方/一手来源</x:v>
      </x:c>
      <x:c r="J1" s="185" t="str">
        <x:v>因果边界</x:v>
      </x:c>
      <x:c r="K1" s="185" t="str">
        <x:v>建模标签</x:v>
      </x:c>
    </x:row>
    <x:row r="2" ht="44" hidden="0" customHeight="1">
      <x:c r="A2" s="187" t="n">
        <x:v>43901</x:v>
      </x:c>
      <x:c r="B2" s="187" t="n">
        <x:v>43909</x:v>
      </x:c>
      <x:c r="C2" s="186" t="str">
        <x:v>COVID-19全球大流行与美元流动性冲击</x:v>
      </x:c>
      <x:c r="D2" s="186" t="str">
        <x:v>避险↑；现金需求↑；去杠杆；工业预期↓</x:v>
      </x:c>
      <x:c r="E2" s="186" t="str">
        <x:v>先跌后涨</x:v>
      </x:c>
      <x:c r="F2" s="186" t="str">
        <x:v>大幅下跌</x:v>
      </x:c>
      <x:c r="G2" s="186" t="str">
        <x:v>3月19日前后金银均触及年度低位；金银比一度极端上升</x:v>
      </x:c>
      <x:c r="H2" s="186" t="str">
        <x:v>事件共时+市场复盘</x:v>
      </x:c>
      <x:c r="I2" s="186" t="str">
        <x:v>https://www.who.int/news-room/speeches/item/who-director-general-s-opening-remarks-at-the-media-briefing-on-covid-19---11-march-2020</x:v>
      </x:c>
      <x:c r="J2" s="186" t="str">
        <x:v>不能把跌幅只归因于疫情声明，保证金与美元融资压力同样关键</x:v>
      </x:c>
      <x:c r="K2" s="186" t="str">
        <x:v>LIQUIDITY_SHOCK</x:v>
      </x:c>
    </x:row>
    <x:row r="3" ht="44" hidden="0" customHeight="1">
      <x:c r="A3" s="187" t="n">
        <x:v>43905</x:v>
      </x:c>
      <x:c r="B3" s="187" t="n">
        <x:v>44075</x:v>
      </x:c>
      <x:c r="C3" s="186" t="str">
        <x:v>零利率、QE与流动性支持</x:v>
      </x:c>
      <x:c r="D3" s="186" t="str">
        <x:v>政策利率↓；实际利率↓；流动性↑</x:v>
      </x:c>
      <x:c r="E3" s="186" t="str">
        <x:v>强升</x:v>
      </x:c>
      <x:c r="F3" s="186" t="str">
        <x:v>反弹更强</x:v>
      </x:c>
      <x:c r="G3" s="186" t="str">
        <x:v>美联储降至0—0.25%，随后按市场需要购买资产</x:v>
      </x:c>
      <x:c r="H3" s="186" t="str">
        <x:v>政策文件+价格复盘</x:v>
      </x:c>
      <x:c r="I3" s="186" t="str">
        <x:v>https://www.federalreserve.gov/newsevents/pressreleases/monetary20200315a1.htm</x:v>
      </x:c>
      <x:c r="J3" s="186" t="str">
        <x:v>同时存在财政刺激、疫情不确定性和仓位修复</x:v>
      </x:c>
      <x:c r="K3" s="186" t="str">
        <x:v>EASING_QE</x:v>
      </x:c>
    </x:row>
    <x:row r="4" ht="44" hidden="0" customHeight="1">
      <x:c r="A4" s="187" t="n">
        <x:v>44224</x:v>
      </x:c>
      <x:c r="B4" s="187" t="n">
        <x:v>44228</x:v>
      </x:c>
      <x:c r="C4" s="186" t="str">
        <x:v>白银短期资金流与交易量冲击</x:v>
      </x:c>
      <x:c r="D4" s="186" t="str">
        <x:v>零售资金流；空头回补；杠杆；流动性</x:v>
      </x:c>
      <x:c r="E4" s="186" t="str">
        <x:v>影响弱</x:v>
      </x:c>
      <x:c r="F4" s="186" t="str">
        <x:v>急升</x:v>
      </x:c>
      <x:c r="G4" s="186" t="str">
        <x:v>五个交易日伦敦银价上涨约15%，成交量异常放大</x:v>
      </x:c>
      <x:c r="H4" s="186" t="str">
        <x:v>市场复盘</x:v>
      </x:c>
      <x:c r="I4" s="186" t="str">
        <x:v>https://www.lbma.org.uk/articles/silver-trading-volume-exceeds-1-billion-oz-on-1-february</x:v>
      </x:c>
      <x:c r="J4" s="186" t="str">
        <x:v>是资金流事件，不是供需基本面突然改变</x:v>
      </x:c>
      <x:c r="K4" s="186" t="str">
        <x:v>SILVER_FLOW_SHOCK</x:v>
      </x:c>
    </x:row>
    <x:row r="5" ht="44" hidden="0" customHeight="1">
      <x:c r="A5" s="187" t="n">
        <x:v>44363</x:v>
      </x:c>
      <x:c r="B5" s="187" t="n">
        <x:v>44545</x:v>
      </x:c>
      <x:c r="C5" s="186" t="str">
        <x:v>通胀升温与缩减购债</x:v>
      </x:c>
      <x:c r="D5" s="186" t="str">
        <x:v>加息预期↑；实际利率预期↑；美元↑</x:v>
      </x:c>
      <x:c r="E5" s="186" t="str">
        <x:v>承压</x:v>
      </x:c>
      <x:c r="F5" s="186" t="str">
        <x:v>更弱</x:v>
      </x:c>
      <x:c r="G5" s="186" t="str">
        <x:v>11月启动缩减，12月进一步加速；白银年度跌幅大于黄金</x:v>
      </x:c>
      <x:c r="H5" s="186" t="str">
        <x:v>政策文件+年度统计</x:v>
      </x:c>
      <x:c r="I5" s="186" t="str">
        <x:v>https://www.federalreserve.gov/newsevents/pressreleases/monetary20211215a1.htm</x:v>
      </x:c>
      <x:c r="J5" s="186" t="str">
        <x:v>通胀有保值正向，也会通过政策反应产生负向</x:v>
      </x:c>
      <x:c r="K5" s="186" t="str">
        <x:v>TAPER_TIGHTENING</x:v>
      </x:c>
    </x:row>
    <x:row r="6" ht="44" hidden="0" customHeight="1">
      <x:c r="A6" s="187" t="n">
        <x:v>44616</x:v>
      </x:c>
      <x:c r="B6" s="187" t="n">
        <x:v>44628</x:v>
      </x:c>
      <x:c r="C6" s="186" t="str">
        <x:v>俄乌冲突升级与俄央行储备制裁</x:v>
      </x:c>
      <x:c r="D6" s="186" t="str">
        <x:v>地缘风险↑；能源/通胀风险↑；储备多元化</x:v>
      </x:c>
      <x:c r="E6" s="186" t="str">
        <x:v>急升</x:v>
      </x:c>
      <x:c r="F6" s="186" t="str">
        <x:v>上升</x:v>
      </x:c>
      <x:c r="G6" s="186" t="str">
        <x:v>黄金在3月初冲至年内高位</x:v>
      </x:c>
      <x:c r="H6" s="186" t="str">
        <x:v>官方事件+市场复盘</x:v>
      </x:c>
      <x:c r="I6" s="186" t="str">
        <x:v>https://home.treasury.gov/news/press-releases/jy0612</x:v>
      </x:c>
      <x:c r="J6" s="186" t="str">
        <x:v>还同时包含油价与通胀冲击</x:v>
      </x:c>
      <x:c r="K6" s="186" t="str">
        <x:v>WAR_SAFE_HAVEN</x:v>
      </x:c>
    </x:row>
    <x:row r="7" ht="44" hidden="0" customHeight="1">
      <x:c r="A7" s="187" t="n">
        <x:v>44636</x:v>
      </x:c>
      <x:c r="B7" s="187" t="n">
        <x:v>44909</x:v>
      </x:c>
      <x:c r="C7" s="186" t="str">
        <x:v>历史性快速加息</x:v>
      </x:c>
      <x:c r="D7" s="186" t="str">
        <x:v>政策利率↑；实际利率↑；美元↑</x:v>
      </x:c>
      <x:c r="E7" s="186" t="str">
        <x:v>年中大跌</x:v>
      </x:c>
      <x:c r="F7" s="186" t="str">
        <x:v>跌幅更大</x:v>
      </x:c>
      <x:c r="G7" s="186" t="str">
        <x:v>年内累计加息425bp；6月CPI同比达9.1%</x:v>
      </x:c>
      <x:c r="H7" s="186" t="str">
        <x:v>政策与统计文件</x:v>
      </x:c>
      <x:c r="I7" s="186" t="str">
        <x:v>https://www.federalreserve.gov/econres/notes/feds-notes/the-federal-reserves-responses-to-the-post-covid-period-of-high-inflation-20240214.html</x:v>
      </x:c>
      <x:c r="J7" s="186" t="str">
        <x:v>央行购金与四季度美元回落后来形成抵消</x:v>
      </x:c>
      <x:c r="K7" s="186" t="str">
        <x:v>AGGRESSIVE_HIKES</x:v>
      </x:c>
    </x:row>
    <x:row r="8" ht="44" hidden="0" customHeight="1">
      <x:c r="A8" s="187" t="n">
        <x:v>44562</x:v>
      </x:c>
      <x:c r="B8" s="187" t="n">
        <x:v>45657</x:v>
      </x:c>
      <x:c r="C8" s="186" t="str">
        <x:v>全球央行连续大规模净购金</x:v>
      </x:c>
      <x:c r="D8" s="186" t="str">
        <x:v>储备多元化；制裁风险认知；官方需求</x:v>
      </x:c>
      <x:c r="E8" s="186" t="str">
        <x:v>结构性支持</x:v>
      </x:c>
      <x:c r="F8" s="186" t="str">
        <x:v>间接</x:v>
      </x:c>
      <x:c r="G8" s="186" t="str">
        <x:v>WGC估算2022—2024央行净购金连续三年超1000吨</x:v>
      </x:c>
      <x:c r="H8" s="186" t="str">
        <x:v>行业估算（仅目录）</x:v>
      </x:c>
      <x:c r="I8" s="186" t="str">
        <x:v>https://www.gold.org/goldhub/research/gold-demand-trends/gold-demand-trends-full-year-2024/central-banks</x:v>
      </x:c>
      <x:c r="J8" s="186" t="str">
        <x:v>季度/年度估算会修订，更适合作为状态变量</x:v>
      </x:c>
      <x:c r="K8" s="186" t="str">
        <x:v>CENTRAL_BANK_BUYING</x:v>
      </x:c>
    </x:row>
    <x:row r="9" ht="44" hidden="0" customHeight="1">
      <x:c r="A9" s="187" t="n">
        <x:v>44197</x:v>
      </x:c>
      <x:c r="B9" s="187" t="n">
        <x:v>46022</x:v>
      </x:c>
      <x:c r="C9" s="186" t="str">
        <x:v>白银多年结构性供需缺口</x:v>
      </x:c>
      <x:c r="D9" s="186" t="str">
        <x:v>工业需求；库存；供应弹性</x:v>
      </x:c>
      <x:c r="E9" s="186" t="str">
        <x:v>间接</x:v>
      </x:c>
      <x:c r="F9" s="186" t="str">
        <x:v>结构性支持</x:v>
      </x:c>
      <x:c r="G9" s="186" t="str">
        <x:v>行业调查显示多年累计缺口显著，但年度均价并非年年上涨</x:v>
      </x:c>
      <x:c r="H9" s="186" t="str">
        <x:v>行业调查（仅目录）</x:v>
      </x:c>
      <x:c r="I9" s="186" t="str">
        <x:v>https://silverinstitute.org/all-world-silver-surveys/</x:v>
      </x:c>
      <x:c r="J9" s="186" t="str">
        <x:v>供需缺口不等于短期必涨；短期仍受利率、美元与仓位支配</x:v>
      </x:c>
      <x:c r="K9" s="186" t="str">
        <x:v>SILVER_DEFICIT</x:v>
      </x:c>
    </x:row>
    <x:row r="10" ht="44" hidden="0" customHeight="1">
      <x:c r="A10" s="187" t="n">
        <x:v>44995</x:v>
      </x:c>
      <x:c r="B10" s="187" t="n">
        <x:v>45016</x:v>
      </x:c>
      <x:c r="C10" s="186" t="str">
        <x:v>硅谷银行关闭与BTFP推出</x:v>
      </x:c>
      <x:c r="D10" s="186" t="str">
        <x:v>金融稳定风险↑；加息预期↓；收益率↓</x:v>
      </x:c>
      <x:c r="E10" s="186" t="str">
        <x:v>强升</x:v>
      </x:c>
      <x:c r="F10" s="186" t="str">
        <x:v>强升</x:v>
      </x:c>
      <x:c r="G10" s="186" t="str">
        <x:v>SVB关闭后，美联储3月12日推出BTFP</x:v>
      </x:c>
      <x:c r="H10" s="186" t="str">
        <x:v>官方事件+价格窗口</x:v>
      </x:c>
      <x:c r="I10" s="186" t="str">
        <x:v>https://www.federalreserve.gov/newsevents/pressreleases/monetary20230312a.htm</x:v>
      </x:c>
      <x:c r="J10" s="186" t="str">
        <x:v>银行风险与收益率、美元变化共同传导</x:v>
      </x:c>
      <x:c r="K10" s="186" t="str">
        <x:v>BANK_STRESS</x:v>
      </x:c>
    </x:row>
    <x:row r="11" ht="44" hidden="0" customHeight="1">
      <x:c r="A11" s="187" t="n">
        <x:v>45206</x:v>
      </x:c>
      <x:c r="B11" s="187" t="n">
        <x:v>45229</x:v>
      </x:c>
      <x:c r="C11" s="186" t="str">
        <x:v>以色列—哈马斯冲突与中东风险溢价</x:v>
      </x:c>
      <x:c r="D11" s="186" t="str">
        <x:v>地缘风险↑；避险↑；油价尾部风险</x:v>
      </x:c>
      <x:c r="E11" s="186" t="str">
        <x:v>明显上升</x:v>
      </x:c>
      <x:c r="F11" s="186" t="str">
        <x:v>弱/混合</x:v>
      </x:c>
      <x:c r="G11" s="186" t="str">
        <x:v>世界银行称冲突开始后黄金约上涨8%</x:v>
      </x:c>
      <x:c r="H11" s="186" t="str">
        <x:v>官方宏观评估</x:v>
      </x:c>
      <x:c r="I11" s="186" t="str">
        <x:v>https://www.worldbank.org/en/news/press-release/2023/10/26/commodity-markets-outlook-october-2023-press-release</x:v>
      </x:c>
      <x:c r="J11" s="186" t="str">
        <x:v>白银工业属性导致反应弱于黄金</x:v>
      </x:c>
      <x:c r="K11" s="186" t="str">
        <x:v>MIDEAST_RISK</x:v>
      </x:c>
    </x:row>
    <x:row r="12" ht="44" hidden="0" customHeight="1">
      <x:c r="A12" s="187" t="n">
        <x:v>45553</x:v>
      </x:c>
      <x:c r="B12" s="187" t="n">
        <x:v>45644</x:v>
      </x:c>
      <x:c r="C12" s="186" t="str">
        <x:v>美联储开启降息周期</x:v>
      </x:c>
      <x:c r="D12" s="186" t="str">
        <x:v>政策利率↓；机会成本↓；资金流↑</x:v>
      </x:c>
      <x:c r="E12" s="186" t="str">
        <x:v>高位偏强</x:v>
      </x:c>
      <x:c r="F12" s="186" t="str">
        <x:v>先升后回落</x:v>
      </x:c>
      <x:c r="G12" s="186" t="str">
        <x:v>9月首次降息50bp，随后两次各25bp</x:v>
      </x:c>
      <x:c r="H12" s="186" t="str">
        <x:v>政策文件</x:v>
      </x:c>
      <x:c r="I12" s="186" t="str">
        <x:v>https://www.federalreserve.gov/newsevents/pressreleases/monetary20240918a.htm</x:v>
      </x:c>
      <x:c r="J12" s="186" t="str">
        <x:v>2024黄金多数涨幅发生在首次降息前，不能全部归因于降息</x:v>
      </x:c>
      <x:c r="K12" s="186" t="str">
        <x:v>RATE_CUT_CYCLE</x:v>
      </x:c>
    </x:row>
    <x:row r="13" ht="44" hidden="0" customHeight="1">
      <x:c r="A13" s="187" t="n">
        <x:v>45749</x:v>
      </x:c>
      <x:c r="B13" s="187" t="n">
        <x:v>45769</x:v>
      </x:c>
      <x:c r="C13" s="186" t="str">
        <x:v>美国宣布对等关税</x:v>
      </x:c>
      <x:c r="D13" s="186" t="str">
        <x:v>贸易不确定性↑；增长预期↓；避险↑</x:v>
      </x:c>
      <x:c r="E13" s="186" t="str">
        <x:v>急升</x:v>
      </x:c>
      <x:c r="F13" s="186" t="str">
        <x:v>先跌后修复</x:v>
      </x:c>
      <x:c r="G13" s="186" t="str">
        <x:v>金银条被豁免，因此主要是风险与美元渠道而非直接关税</x:v>
      </x:c>
      <x:c r="H13" s="186" t="str">
        <x:v>政策文件+市场复盘</x:v>
      </x:c>
      <x:c r="I13" s="186" t="str">
        <x:v>https://www.whitehouse.gov/presidential-actions/2025/04/regulating-imports-with-a-reciprocal-tariff-to-rectify-trade-practices-that-contribute-to-large-and-persistent-annual-united-states-goods-trade-deficits/</x:v>
      </x:c>
      <x:c r="J13" s="186" t="str">
        <x:v>白银同时受到工业需求担忧</x:v>
      </x:c>
      <x:c r="K13" s="186" t="str">
        <x:v>TARIFF_UNCERTAINTY</x:v>
      </x:c>
    </x:row>
    <x:row r="14" ht="44" hidden="0" customHeight="1">
      <x:c r="A14" s="187" t="n">
        <x:v>45821</x:v>
      </x:c>
      <x:c r="B14" s="187" t="n">
        <x:v>45832</x:v>
      </x:c>
      <x:c r="C14" s="186" t="str">
        <x:v>以色列—伊朗军事冲突</x:v>
      </x:c>
      <x:c r="D14" s="186" t="str">
        <x:v>地缘风险↑；能源风险↑；通胀尾部风险</x:v>
      </x:c>
      <x:c r="E14" s="186" t="str">
        <x:v>上升</x:v>
      </x:c>
      <x:c r="F14" s="186" t="str">
        <x:v>上升/波动</x:v>
      </x:c>
      <x:c r="G14" s="186" t="str">
        <x:v>黄金与白银均在事件窗口维持高位</x:v>
      </x:c>
      <x:c r="H14" s="186" t="str">
        <x:v>官方事件+市场复盘</x:v>
      </x:c>
      <x:c r="I14" s="186" t="str">
        <x:v>https://www.iaea.org/sites/default/files/documents/gov2025-50.pdf</x:v>
      </x:c>
      <x:c r="J14" s="186" t="str">
        <x:v>美元、ETF流与美联储预期也在同步变化</x:v>
      </x:c>
      <x:c r="K14" s="186" t="str">
        <x:v>IRAN_RISK</x:v>
      </x:c>
    </x:row>
    <x:row r="15" ht="44" hidden="0" customHeight="1">
      <x:c r="A15" s="187" t="n">
        <x:v>45917</x:v>
      </x:c>
      <x:c r="B15" s="187" t="n">
        <x:v>46001</x:v>
      </x:c>
      <x:c r="C15" s="186" t="str">
        <x:v>年内连续三次降息</x:v>
      </x:c>
      <x:c r="D15" s="186" t="str">
        <x:v>机会成本↓；美元偏弱；趋势资金流入</x:v>
      </x:c>
      <x:c r="E15" s="186" t="str">
        <x:v>强升</x:v>
      </x:c>
      <x:c r="F15" s="186" t="str">
        <x:v>弹性更大</x:v>
      </x:c>
      <x:c r="G15" s="186" t="str">
        <x:v>9月、10月、12月各降25bp</x:v>
      </x:c>
      <x:c r="H15" s="186" t="str">
        <x:v>政策文件</x:v>
      </x:c>
      <x:c r="I15" s="186" t="str">
        <x:v>https://www.federalreserve.gov/newsevents/pressreleases/monetary20251210a.htm</x:v>
      </x:c>
      <x:c r="J15" s="186" t="str">
        <x:v>同期存在贸易、地缘和白银流动性冲击</x:v>
      </x:c>
      <x:c r="K15" s="186" t="str">
        <x:v>EASING_FLOW</x:v>
      </x:c>
    </x:row>
    <x:row r="16" ht="44" hidden="0" customHeight="1">
      <x:c r="A16" s="187" t="n">
        <x:v>45931</x:v>
      </x:c>
      <x:c r="B16" s="187" t="n">
        <x:v>46021</x:v>
      </x:c>
      <x:c r="C16" s="186" t="str">
        <x:v>伦敦白银流动性挤压与关键矿产叙事</x:v>
      </x:c>
      <x:c r="D16" s="186" t="str">
        <x:v>可流通库存↓；租借率↑；实物/ETP需求↑</x:v>
      </x:c>
      <x:c r="E16" s="186" t="str">
        <x:v>板块外溢</x:v>
      </x:c>
      <x:c r="F16" s="186" t="str">
        <x:v>急升</x:v>
      </x:c>
      <x:c r="G16" s="186" t="str">
        <x:v>白银租借和区域流动性显著紧张，白银涨幅远大于黄金</x:v>
      </x:c>
      <x:c r="H16" s="186" t="str">
        <x:v>行业复盘（仅目录）</x:v>
      </x:c>
      <x:c r="I16" s="186" t="str">
        <x:v>https://silverinstitute.org/elevated-lease-rates-regional-liquidity-tightness-and-robust-investor-interest-resulted-in-record-silver-prices-in-2025/</x:v>
      </x:c>
      <x:c r="J16" s="186" t="str">
        <x:v>关键矿产清单晚于挤压启动，不能当作单一起点</x:v>
      </x:c>
      <x:c r="K16" s="186" t="str">
        <x:v>SILVER_SQUEEZE</x:v>
      </x:c>
    </x:row>
    <x:row r="17" ht="44" hidden="0" customHeight="1">
      <x:c r="A17" s="187" t="n">
        <x:v>46023</x:v>
      </x:c>
      <x:c r="B17" s="187" t="n">
        <x:v>46051</x:v>
      </x:c>
      <x:c r="C17" s="186" t="str">
        <x:v>动量、实物投资与流动性推动历史性冲高</x:v>
      </x:c>
      <x:c r="D17" s="186" t="str">
        <x:v>动量；期权需求；实物投资；安全资产需求</x:v>
      </x:c>
      <x:c r="E17" s="186" t="str">
        <x:v>急升</x:v>
      </x:c>
      <x:c r="F17" s="186" t="str">
        <x:v>急升</x:v>
      </x:c>
      <x:c r="G17" s="186" t="str">
        <x:v>世界银行1月监测显示贵金属环比显著上涨</x:v>
      </x:c>
      <x:c r="H17" s="186" t="str">
        <x:v>官方月度监测+市场复盘</x:v>
      </x:c>
      <x:c r="I17" s="186" t="str">
        <x:v>https://thedocs.worldbank.org/en/doc/399f7262c01cf21e4918b6b22627ac19-0050012026/related/Global-Monthly-February-2026.pdf</x:v>
      </x:c>
      <x:c r="J17" s="186" t="str">
        <x:v>不同基准高点不同，建模必须固定价格口径</x:v>
      </x:c>
      <x:c r="K17" s="186" t="str">
        <x:v>MOMENTUM_SPIKE</x:v>
      </x:c>
    </x:row>
    <x:row r="18" ht="44" hidden="0" customHeight="1">
      <x:c r="A18" s="187" t="n">
        <x:v>46052</x:v>
      </x:c>
      <x:c r="B18" s="187" t="n">
        <x:v>46052</x:v>
      </x:c>
      <x:c r="C18" s="186" t="str">
        <x:v>美联储主席提名后利率路径重定价与去杠杆</x:v>
      </x:c>
      <x:c r="D18" s="186" t="str">
        <x:v>鹰派预期↑；收益率/美元↑；获利了结</x:v>
      </x:c>
      <x:c r="E18" s="186" t="str">
        <x:v>下跌</x:v>
      </x:c>
      <x:c r="F18" s="186" t="str">
        <x:v>更剧烈下跌</x:v>
      </x:c>
      <x:c r="G18" s="186" t="str">
        <x:v>极端超买与杠杆仓位放大单日波动</x:v>
      </x:c>
      <x:c r="H18" s="186" t="str">
        <x:v>政策事件+行业复盘</x:v>
      </x:c>
      <x:c r="I18" s="186" t="str">
        <x:v>https://www.whitehouse.gov/releases/2026/01/wide-acclaim-for-president-trumps-nomination-of-kevin-warsh-as-fed-chair/</x:v>
      </x:c>
      <x:c r="J18" s="186" t="str">
        <x:v>不能视为纯粹单因素实验</x:v>
      </x:c>
      <x:c r="K18" s="186" t="str">
        <x:v>DELEVERAGING</x:v>
      </x:c>
    </x:row>
    <x:row r="19" ht="44" hidden="0" customHeight="1">
      <x:c r="A19" s="187" t="n">
        <x:v>46081</x:v>
      </x:c>
      <x:c r="B19" s="187" t="n">
        <x:v>46120</x:v>
      </x:c>
      <x:c r="C19" s="186" t="str">
        <x:v>伊朗军事行动与阶段性停火</x:v>
      </x:c>
      <x:c r="D19" s="186" t="str">
        <x:v>地缘风险↑；油价/通胀↑；降息预期↓；去杠杆</x:v>
      </x:c>
      <x:c r="E19" s="186" t="str">
        <x:v>短升后跌</x:v>
      </x:c>
      <x:c r="F19" s="186" t="str">
        <x:v>短升后大跌</x:v>
      </x:c>
      <x:c r="G19" s="186" t="str">
        <x:v>重要反例：战争风险上升但利率/美元与去杠杆通道压过避险</x:v>
      </x:c>
      <x:c r="H19" s="186" t="str">
        <x:v>官方事件+市场复盘</x:v>
      </x:c>
      <x:c r="I19" s="186" t="str">
        <x:v>https://www.whitehouse.gov/releases/2026/04/peace-through-strength-operation-epic-fury-crushes-iranian-threat-as-ceasefire-takes-hold/</x:v>
      </x:c>
      <x:c r="J19" s="186" t="str">
        <x:v>高点在事件前，不能把全部回撤归因于战争</x:v>
      </x:c>
      <x:c r="K19" s="186" t="str">
        <x:v>RISK_WITH_TIGHTENING</x:v>
      </x:c>
    </x:row>
    <x:row r="20" ht="44" hidden="0" customHeight="1">
      <x:c r="A20" s="187" t="n">
        <x:v>46113</x:v>
      </x:c>
      <x:c r="B20" s="187" t="n">
        <x:v>46203</x:v>
      </x:c>
      <x:c r="C20" s="186" t="str">
        <x:v>加息预期与美元走强，贵金属从高位回撤</x:v>
      </x:c>
      <x:c r="D20" s="186" t="str">
        <x:v>实际利率预期↑；美元↑；仓位降温</x:v>
      </x:c>
      <x:c r="E20" s="186" t="str">
        <x:v>明显回撤</x:v>
      </x:c>
      <x:c r="F20" s="186" t="str">
        <x:v>回撤更大</x:v>
      </x:c>
      <x:c r="G20" s="186" t="str">
        <x:v>世界银行称贵金属在连续上涨后于二季度下跌</x:v>
      </x:c>
      <x:c r="H20" s="186" t="str">
        <x:v>世界银行官方评估</x:v>
      </x:c>
      <x:c r="I20" s="186" t="str">
        <x:v>https://blogs.worldbank.org/en/opendata/precious-metals-retreat-from-record-highs</x:v>
      </x:c>
      <x:c r="J20" s="186" t="str">
        <x:v>2026仅为截至6月的阶段性样本，后续可能修订</x:v>
      </x:c>
      <x:c r="K20" s="186" t="str">
        <x:v>Q2_PULLBACK</x:v>
      </x:c>
    </x:row>
  </x:sheetData>
  <x:pageMargins left="0.7" right="0.7" top="0.75" bottom="0.75" header="0.3" footer="0.3"/>
  <x:tableParts count="1">
    <x:tablePart xmlns:r="http://schemas.openxmlformats.org/officeDocument/2006/relationships" r:id="R1f5ba6b7a4744d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</x:cols>
  <x:sheetData>
    <x:row r="1" ht="48" hidden="0" customHeight="1">
      <x:c r="A1" s="185" t="str">
        <x:v>factor_field</x:v>
      </x:c>
      <x:c r="B1" s="185" t="str">
        <x:v>factor_cn</x:v>
      </x:c>
      <x:c r="C1" s="185" t="str">
        <x:v>asset</x:v>
      </x:c>
      <x:c r="D1" s="185" t="str">
        <x:v>sample_start</x:v>
      </x:c>
      <x:c r="E1" s="185" t="str">
        <x:v>n</x:v>
      </x:c>
      <x:c r="F1" s="185" t="str">
        <x:v>pearson_corr</x:v>
      </x:c>
      <x:c r="G1" s="185" t="str">
        <x:v>spearman_corr</x:v>
      </x:c>
      <x:c r="H1" s="185" t="str">
        <x:v>note</x:v>
      </x:c>
    </x:row>
    <x:row r="2" ht="15" hidden="0" customHeight="1">
      <x:c r="A2" s="186" t="str">
        <x:v>real_10y_change_1m</x:v>
      </x:c>
      <x:c r="B2" s="186" t="str">
        <x:v>10年实际利率月变动</x:v>
      </x:c>
      <x:c r="C2" s="186" t="str">
        <x:v>Gold</x:v>
      </x:c>
      <x:c r="D2" s="187" t="n">
        <x:v>43831</x:v>
      </x:c>
      <x:c r="E2" s="186" t="n">
        <x:v>78</x:v>
      </x:c>
      <x:c r="F2" s="190" t="n">
        <x:v>-0.4545551912480003</x:v>
      </x:c>
      <x:c r="G2" s="190" t="n">
        <x:v>-0.5237926630331693</x:v>
      </x:c>
      <x:c r="H2" s="186" t="str">
        <x:v>同期相关性筛查，不代表因果或预测力；预测表另行统一滞后1个月。</x:v>
      </x:c>
    </x:row>
    <x:row r="3" ht="15" hidden="0" customHeight="1">
      <x:c r="A3" s="186" t="str">
        <x:v>real_10y_change_1m</x:v>
      </x:c>
      <x:c r="B3" s="186" t="str">
        <x:v>10年实际利率月变动</x:v>
      </x:c>
      <x:c r="C3" s="186" t="str">
        <x:v>Silver</x:v>
      </x:c>
      <x:c r="D3" s="187" t="n">
        <x:v>43831</x:v>
      </x:c>
      <x:c r="E3" s="186" t="n">
        <x:v>78</x:v>
      </x:c>
      <x:c r="F3" s="190" t="n">
        <x:v>-0.2751508769494986</x:v>
      </x:c>
      <x:c r="G3" s="190" t="n">
        <x:v>-0.40208401834318425</x:v>
      </x:c>
      <x:c r="H3" s="186" t="str">
        <x:v>同期相关性筛查，不代表因果或预测力；预测表另行统一滞后1个月。</x:v>
      </x:c>
    </x:row>
    <x:row r="4" ht="15" hidden="0" customHeight="1">
      <x:c r="A4" s="186" t="str">
        <x:v>nominal_10y_change_1m</x:v>
      </x:c>
      <x:c r="B4" s="186" t="str">
        <x:v>10年名义利率月变动</x:v>
      </x:c>
      <x:c r="C4" s="186" t="str">
        <x:v>Gold</x:v>
      </x:c>
      <x:c r="D4" s="187" t="n">
        <x:v>43831</x:v>
      </x:c>
      <x:c r="E4" s="186" t="n">
        <x:v>78</x:v>
      </x:c>
      <x:c r="F4" s="190" t="n">
        <x:v>-0.2785889260378608</x:v>
      </x:c>
      <x:c r="G4" s="190" t="n">
        <x:v>-0.3746000834608429</x:v>
      </x:c>
      <x:c r="H4" s="186" t="str">
        <x:v>同期相关性筛查，不代表因果或预测力；预测表另行统一滞后1个月。</x:v>
      </x:c>
    </x:row>
    <x:row r="5" ht="15" hidden="0" customHeight="1">
      <x:c r="A5" s="186" t="str">
        <x:v>nominal_10y_change_1m</x:v>
      </x:c>
      <x:c r="B5" s="186" t="str">
        <x:v>10年名义利率月变动</x:v>
      </x:c>
      <x:c r="C5" s="186" t="str">
        <x:v>Silver</x:v>
      </x:c>
      <x:c r="D5" s="187" t="n">
        <x:v>43831</x:v>
      </x:c>
      <x:c r="E5" s="186" t="n">
        <x:v>78</x:v>
      </x:c>
      <x:c r="F5" s="190" t="n">
        <x:v>-0.01440103652070176</x:v>
      </x:c>
      <x:c r="G5" s="190" t="n">
        <x:v>-0.14049419561557355</x:v>
      </x:c>
      <x:c r="H5" s="186" t="str">
        <x:v>同期相关性筛查，不代表因果或预测力；预测表另行统一滞后1个月。</x:v>
      </x:c>
    </x:row>
    <x:row r="6" ht="15" hidden="0" customHeight="1">
      <x:c r="A6" s="186" t="str">
        <x:v>breakeven_10y_change_1m</x:v>
      </x:c>
      <x:c r="B6" s="186" t="str">
        <x:v>10年盈亏平衡通胀月变动</x:v>
      </x:c>
      <x:c r="C6" s="186" t="str">
        <x:v>Gold</x:v>
      </x:c>
      <x:c r="D6" s="187" t="n">
        <x:v>43831</x:v>
      </x:c>
      <x:c r="E6" s="186" t="n">
        <x:v>78</x:v>
      </x:c>
      <x:c r="F6" s="192" t="n">
        <x:v>0.21301994151202258</x:v>
      </x:c>
      <x:c r="G6" s="192" t="n">
        <x:v>0.11683253455405353</x:v>
      </x:c>
      <x:c r="H6" s="186" t="str">
        <x:v>同期相关性筛查，不代表因果或预测力；预测表另行统一滞后1个月。</x:v>
      </x:c>
    </x:row>
    <x:row r="7" ht="15" hidden="0" customHeight="1">
      <x:c r="A7" s="186" t="str">
        <x:v>breakeven_10y_change_1m</x:v>
      </x:c>
      <x:c r="B7" s="186" t="str">
        <x:v>10年盈亏平衡通胀月变动</x:v>
      </x:c>
      <x:c r="C7" s="186" t="str">
        <x:v>Silver</x:v>
      </x:c>
      <x:c r="D7" s="187" t="n">
        <x:v>43831</x:v>
      </x:c>
      <x:c r="E7" s="186" t="n">
        <x:v>78</x:v>
      </x:c>
      <x:c r="F7" s="192" t="n">
        <x:v>0.3957174550571084</x:v>
      </x:c>
      <x:c r="G7" s="192" t="n">
        <x:v>0.29778193684568194</x:v>
      </x:c>
      <x:c r="H7" s="186" t="str">
        <x:v>同期相关性筛查，不代表因果或预测力；预测表另行统一滞后1个月。</x:v>
      </x:c>
    </x:row>
    <x:row r="8" ht="15" hidden="0" customHeight="1">
      <x:c r="A8" s="186" t="str">
        <x:v>broad_dollar_return_1m</x:v>
      </x:c>
      <x:c r="B8" s="186" t="str">
        <x:v>广义美元指数月收益</x:v>
      </x:c>
      <x:c r="C8" s="186" t="str">
        <x:v>Gold</x:v>
      </x:c>
      <x:c r="D8" s="187" t="n">
        <x:v>43831</x:v>
      </x:c>
      <x:c r="E8" s="186" t="n">
        <x:v>78</x:v>
      </x:c>
      <x:c r="F8" s="190" t="n">
        <x:v>-0.42759566156875184</x:v>
      </x:c>
      <x:c r="G8" s="190" t="n">
        <x:v>-0.457732141276445</x:v>
      </x:c>
      <x:c r="H8" s="186" t="str">
        <x:v>同期相关性筛查，不代表因果或预测力；预测表另行统一滞后1个月。</x:v>
      </x:c>
    </x:row>
    <x:row r="9" ht="15" hidden="0" customHeight="1">
      <x:c r="A9" s="186" t="str">
        <x:v>broad_dollar_return_1m</x:v>
      </x:c>
      <x:c r="B9" s="186" t="str">
        <x:v>广义美元指数月收益</x:v>
      </x:c>
      <x:c r="C9" s="186" t="str">
        <x:v>Silver</x:v>
      </x:c>
      <x:c r="D9" s="187" t="n">
        <x:v>43831</x:v>
      </x:c>
      <x:c r="E9" s="186" t="n">
        <x:v>78</x:v>
      </x:c>
      <x:c r="F9" s="190" t="n">
        <x:v>-0.44906132833607565</x:v>
      </x:c>
      <x:c r="G9" s="190" t="n">
        <x:v>-0.49379094062978546</x:v>
      </x:c>
      <x:c r="H9" s="186" t="str">
        <x:v>同期相关性筛查，不代表因果或预测力；预测表另行统一滞后1个月。</x:v>
      </x:c>
    </x:row>
    <x:row r="10" ht="15" hidden="0" customHeight="1">
      <x:c r="A10" s="186" t="str">
        <x:v>gpr_change_1m</x:v>
      </x:c>
      <x:c r="B10" s="186" t="str">
        <x:v>全球地缘政治风险指数月变动</x:v>
      </x:c>
      <x:c r="C10" s="186" t="str">
        <x:v>Gold</x:v>
      </x:c>
      <x:c r="D10" s="187" t="n">
        <x:v>43831</x:v>
      </x:c>
      <x:c r="E10" s="186" t="n">
        <x:v>78</x:v>
      </x:c>
      <x:c r="F10" s="192" t="n">
        <x:v>0.1054899344430852</x:v>
      </x:c>
      <x:c r="G10" s="192" t="n">
        <x:v>0.149989251255074</x:v>
      </x:c>
      <x:c r="H10" s="186" t="str">
        <x:v>同期相关性筛查，不代表因果或预测力；预测表另行统一滞后1个月。</x:v>
      </x:c>
    </x:row>
    <x:row r="11" ht="15" hidden="0" customHeight="1">
      <x:c r="A11" s="186" t="str">
        <x:v>gpr_change_1m</x:v>
      </x:c>
      <x:c r="B11" s="186" t="str">
        <x:v>全球地缘政治风险指数月变动</x:v>
      </x:c>
      <x:c r="C11" s="186" t="str">
        <x:v>Silver</x:v>
      </x:c>
      <x:c r="D11" s="187" t="n">
        <x:v>43831</x:v>
      </x:c>
      <x:c r="E11" s="186" t="n">
        <x:v>78</x:v>
      </x:c>
      <x:c r="F11" s="192" t="n">
        <x:v>0.12240198029181791</x:v>
      </x:c>
      <x:c r="G11" s="192" t="n">
        <x:v>0.13978603405351486</x:v>
      </x:c>
      <x:c r="H11" s="186" t="str">
        <x:v>同期相关性筛查，不代表因果或预测力；预测表另行统一滞后1个月。</x:v>
      </x:c>
    </x:row>
    <x:row r="12" ht="15" hidden="0" customHeight="1">
      <x:c r="A12" s="186" t="str">
        <x:v>managed_money_net_change_gold</x:v>
      </x:c>
      <x:c r="B12" s="186" t="str">
        <x:v>CFTC黄金管理基金净持仓月变动</x:v>
      </x:c>
      <x:c r="C12" s="186" t="str">
        <x:v>Gold</x:v>
      </x:c>
      <x:c r="D12" s="187" t="n">
        <x:v>43831</x:v>
      </x:c>
      <x:c r="E12" s="186" t="n">
        <x:v>78</x:v>
      </x:c>
      <x:c r="F12" s="192" t="n">
        <x:v>0.33381268138452835</x:v>
      </x:c>
      <x:c r="G12" s="192" t="n">
        <x:v>0.39002769382516217</x:v>
      </x:c>
      <x:c r="H12" s="186" t="str">
        <x:v>同期相关性筛查，不代表因果或预测力；预测表另行统一滞后1个月。</x:v>
      </x:c>
    </x:row>
    <x:row r="13" ht="15" hidden="0" customHeight="1">
      <x:c r="A13" s="186" t="str">
        <x:v>managed_money_net_change_gold</x:v>
      </x:c>
      <x:c r="B13" s="186" t="str">
        <x:v>CFTC黄金管理基金净持仓月变动</x:v>
      </x:c>
      <x:c r="C13" s="186" t="str">
        <x:v>Silver</x:v>
      </x:c>
      <x:c r="D13" s="187" t="n">
        <x:v>43831</x:v>
      </x:c>
      <x:c r="E13" s="186" t="n">
        <x:v>78</x:v>
      </x:c>
      <x:c r="F13" s="192" t="n">
        <x:v>0.32175796401310497</x:v>
      </x:c>
      <x:c r="G13" s="192" t="n">
        <x:v>0.4944991021918441</x:v>
      </x:c>
      <x:c r="H13" s="186" t="str">
        <x:v>同期相关性筛查，不代表因果或预测力；预测表另行统一滞后1个月。</x:v>
      </x:c>
    </x:row>
    <x:row r="14" ht="15" hidden="0" customHeight="1">
      <x:c r="A14" s="186" t="str">
        <x:v>managed_money_net_change_silver</x:v>
      </x:c>
      <x:c r="B14" s="186" t="str">
        <x:v>CFTC白银管理基金净持仓月变动</x:v>
      </x:c>
      <x:c r="C14" s="186" t="str">
        <x:v>Gold</x:v>
      </x:c>
      <x:c r="D14" s="187" t="n">
        <x:v>43831</x:v>
      </x:c>
      <x:c r="E14" s="186" t="n">
        <x:v>78</x:v>
      </x:c>
      <x:c r="F14" s="192" t="n">
        <x:v>0.36601429348067027</x:v>
      </x:c>
      <x:c r="G14" s="192" t="n">
        <x:v>0.4063910772771532</x:v>
      </x:c>
      <x:c r="H14" s="186" t="str">
        <x:v>同期相关性筛查，不代表因果或预测力；预测表另行统一滞后1个月。</x:v>
      </x:c>
    </x:row>
    <x:row r="15" ht="15" hidden="0" customHeight="1">
      <x:c r="A15" s="186" t="str">
        <x:v>managed_money_net_change_silver</x:v>
      </x:c>
      <x:c r="B15" s="186" t="str">
        <x:v>CFTC白银管理基金净持仓月变动</x:v>
      </x:c>
      <x:c r="C15" s="186" t="str">
        <x:v>Silver</x:v>
      </x:c>
      <x:c r="D15" s="187" t="n">
        <x:v>43831</x:v>
      </x:c>
      <x:c r="E15" s="186" t="n">
        <x:v>78</x:v>
      </x:c>
      <x:c r="F15" s="192" t="n">
        <x:v>0.3972251901526118</x:v>
      </x:c>
      <x:c r="G15" s="192" t="n">
        <x:v>0.6022155340778437</x:v>
      </x:c>
      <x:c r="H15" s="186" t="str">
        <x:v>同期相关性筛查，不代表因果或预测力；预测表另行统一滞后1个月。</x:v>
      </x:c>
    </x:row>
    <x:row r="16" ht="15" hidden="0" customHeight="1">
      <x:c r="A16" s="186" t="str">
        <x:v>copper_return_1m</x:v>
      </x:c>
      <x:c r="B16" s="186" t="str">
        <x:v>铜价月收益</x:v>
      </x:c>
      <x:c r="C16" s="186" t="str">
        <x:v>Gold</x:v>
      </x:c>
      <x:c r="D16" s="187" t="n">
        <x:v>43831</x:v>
      </x:c>
      <x:c r="E16" s="186" t="n">
        <x:v>78</x:v>
      </x:c>
      <x:c r="F16" s="192" t="n">
        <x:v>0.421238527340779</x:v>
      </x:c>
      <x:c r="G16" s="192" t="n">
        <x:v>0.37260208146284096</x:v>
      </x:c>
      <x:c r="H16" s="186" t="str">
        <x:v>同期相关性筛查，不代表因果或预测力；预测表另行统一滞后1个月。</x:v>
      </x:c>
    </x:row>
    <x:row r="17" ht="15" hidden="0" customHeight="1">
      <x:c r="A17" s="186" t="str">
        <x:v>copper_return_1m</x:v>
      </x:c>
      <x:c r="B17" s="186" t="str">
        <x:v>铜价月收益</x:v>
      </x:c>
      <x:c r="C17" s="186" t="str">
        <x:v>Silver</x:v>
      </x:c>
      <x:c r="D17" s="187" t="n">
        <x:v>43831</x:v>
      </x:c>
      <x:c r="E17" s="186" t="n">
        <x:v>78</x:v>
      </x:c>
      <x:c r="F17" s="192" t="n">
        <x:v>0.6138289170101848</x:v>
      </x:c>
      <x:c r="G17" s="192" t="n">
        <x:v>0.6564784137705914</x:v>
      </x:c>
      <x:c r="H17" s="186" t="str">
        <x:v>同期相关性筛查，不代表因果或预测力；预测表另行统一滞后1个月。</x:v>
      </x:c>
    </x:row>
    <x:row r="18" ht="15" hidden="0" customHeight="1">
      <x:c r="A18" s="186" t="str">
        <x:v>brent_return_1m</x:v>
      </x:c>
      <x:c r="B18" s="186" t="str">
        <x:v>布伦特油价月收益</x:v>
      </x:c>
      <x:c r="C18" s="186" t="str">
        <x:v>Gold</x:v>
      </x:c>
      <x:c r="D18" s="187" t="n">
        <x:v>43831</x:v>
      </x:c>
      <x:c r="E18" s="186" t="n">
        <x:v>78</x:v>
      </x:c>
      <x:c r="F18" s="190" t="n">
        <x:v>-0.028749779073642293</x:v>
      </x:c>
      <x:c r="G18" s="190" t="n">
        <x:v>-0.03281528597984294</x:v>
      </x:c>
      <x:c r="H18" s="186" t="str">
        <x:v>同期相关性筛查，不代表因果或预测力；预测表另行统一滞后1个月。</x:v>
      </x:c>
    </x:row>
    <x:row r="19" ht="15" hidden="0" customHeight="1">
      <x:c r="A19" s="186" t="str">
        <x:v>brent_return_1m</x:v>
      </x:c>
      <x:c r="B19" s="186" t="str">
        <x:v>布伦特油价月收益</x:v>
      </x:c>
      <x:c r="C19" s="186" t="str">
        <x:v>Silver</x:v>
      </x:c>
      <x:c r="D19" s="187" t="n">
        <x:v>43831</x:v>
      </x:c>
      <x:c r="E19" s="186" t="n">
        <x:v>78</x:v>
      </x:c>
      <x:c r="F19" s="192" t="n">
        <x:v>0.21711365103552666</x:v>
      </x:c>
      <x:c r="G19" s="192" t="n">
        <x:v>0.20014416147683914</x:v>
      </x:c>
      <x:c r="H19" s="186" t="str">
        <x:v>同期相关性筛查，不代表因果或预测力；预测表另行统一滞后1个月。</x:v>
      </x:c>
    </x:row>
    <x:row r="20" ht="15" hidden="0" customHeight="1">
      <x:c r="A20" s="186" t="str">
        <x:v>gold_silver_ratio_change_1m</x:v>
      </x:c>
      <x:c r="B20" s="186" t="str">
        <x:v>金银比月变化率</x:v>
      </x:c>
      <x:c r="C20" s="186" t="str">
        <x:v>Gold</x:v>
      </x:c>
      <x:c r="D20" s="187" t="n">
        <x:v>43831</x:v>
      </x:c>
      <x:c r="E20" s="186" t="n">
        <x:v>78</x:v>
      </x:c>
      <x:c r="F20" s="190" t="n">
        <x:v>-0.3310234022572978</x:v>
      </x:c>
      <x:c r="G20" s="190" t="n">
        <x:v>-0.3229049431581077</x:v>
      </x:c>
      <x:c r="H20" s="186" t="str">
        <x:v>同期相关性筛查，不代表因果或预测力；预测表另行统一滞后1个月。</x:v>
      </x:c>
    </x:row>
    <x:row r="21" ht="15" hidden="0" customHeight="1">
      <x:c r="A21" s="186" t="str">
        <x:v>gold_silver_ratio_change_1m</x:v>
      </x:c>
      <x:c r="B21" s="186" t="str">
        <x:v>金银比月变化率</x:v>
      </x:c>
      <x:c r="C21" s="186" t="str">
        <x:v>Silver</x:v>
      </x:c>
      <x:c r="D21" s="187" t="n">
        <x:v>43831</x:v>
      </x:c>
      <x:c r="E21" s="186" t="n">
        <x:v>78</x:v>
      </x:c>
      <x:c r="F21" s="190" t="n">
        <x:v>-0.900450127789497</x:v>
      </x:c>
      <x:c r="G21" s="190" t="n">
        <x:v>-0.8832545082777093</x:v>
      </x:c>
      <x:c r="H21" s="186" t="str">
        <x:v>同期相关性筛查，不代表因果或预测力；预测表另行统一滞后1个月。</x:v>
      </x:c>
    </x:row>
  </x:sheetData>
  <x:pageMargins left="0.7" right="0.7" top="0.75" bottom="0.75" header="0.3" footer="0.3"/>
  <x:tableParts count="1">
    <x:tablePart xmlns:r="http://schemas.openxmlformats.org/officeDocument/2006/relationships" r:id="Rc308b363110846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</x:cols>
  <x:sheetData>
    <x:row r="1" ht="48" hidden="0" customHeight="1">
      <x:c r="A1" s="185" t="str">
        <x:v>sample_month</x:v>
      </x:c>
      <x:c r="B1" s="193" t="str">
        <x:v>target_gold_price_usd_oz</x:v>
      </x:c>
      <x:c r="C1" s="193" t="str">
        <x:v>target_silver_price_usd_oz</x:v>
      </x:c>
      <x:c r="D1" s="193" t="str">
        <x:v>target_gold_return_1m</x:v>
      </x:c>
      <x:c r="E1" s="193" t="str">
        <x:v>target_silver_return_1m</x:v>
      </x:c>
      <x:c r="F1" s="185" t="str">
        <x:v>feature_source_month</x:v>
      </x:c>
      <x:c r="G1" s="185" t="str">
        <x:v>brent_usd_bbl_lag1</x:v>
      </x:c>
      <x:c r="H1" s="185" t="str">
        <x:v>natural_gas_us_usd_mmbtu_lag1</x:v>
      </x:c>
      <x:c r="I1" s="185" t="str">
        <x:v>aluminum_usd_mt_lag1</x:v>
      </x:c>
      <x:c r="J1" s="185" t="str">
        <x:v>copper_usd_mt_lag1</x:v>
      </x:c>
      <x:c r="K1" s="185" t="str">
        <x:v>gold_usd_oz_lag1</x:v>
      </x:c>
      <x:c r="L1" s="185" t="str">
        <x:v>platinum_usd_oz_lag1</x:v>
      </x:c>
      <x:c r="M1" s="185" t="str">
        <x:v>silver_usd_oz_lag1</x:v>
      </x:c>
      <x:c r="N1" s="185" t="str">
        <x:v>gold_silver_ratio_lag1</x:v>
      </x:c>
      <x:c r="O1" s="185" t="str">
        <x:v>copper_return_1m_lag1</x:v>
      </x:c>
      <x:c r="P1" s="185" t="str">
        <x:v>brent_return_1m_lag1</x:v>
      </x:c>
      <x:c r="Q1" s="185" t="str">
        <x:v>nominal_10y_avg_pct_lag1</x:v>
      </x:c>
      <x:c r="R1" s="185" t="str">
        <x:v>real_10y_avg_pct_lag1</x:v>
      </x:c>
      <x:c r="S1" s="185" t="str">
        <x:v>breakeven_10y_avg_pct_lag1</x:v>
      </x:c>
      <x:c r="T1" s="185" t="str">
        <x:v>broad_dollar_avg_lag1</x:v>
      </x:c>
      <x:c r="U1" s="185" t="str">
        <x:v>gpr_global_lag1</x:v>
      </x:c>
      <x:c r="V1" s="185" t="str">
        <x:v>gpr_threats_lag1</x:v>
      </x:c>
      <x:c r="W1" s="185" t="str">
        <x:v>gpr_acts_lag1</x:v>
      </x:c>
      <x:c r="X1" s="185" t="str">
        <x:v>gpr_china_share_lag1</x:v>
      </x:c>
      <x:c r="Y1" s="185" t="str">
        <x:v>gpr_russia_share_lag1</x:v>
      </x:c>
      <x:c r="Z1" s="185" t="str">
        <x:v>gpr_usa_share_lag1</x:v>
      </x:c>
      <x:c r="AA1" s="185" t="str">
        <x:v>managed_money_net_avg_gold_lag1</x:v>
      </x:c>
      <x:c r="AB1" s="185" t="str">
        <x:v>managed_money_net_avg_silver_lag1</x:v>
      </x:c>
      <x:c r="AC1" s="185" t="str">
        <x:v>producer_net_avg_gold_lag1</x:v>
      </x:c>
      <x:c r="AD1" s="185" t="str">
        <x:v>producer_net_avg_silver_lag1</x:v>
      </x:c>
      <x:c r="AE1" s="185" t="str">
        <x:v>managed_money_net_pct_oi_avg_gold_lag1</x:v>
      </x:c>
      <x:c r="AF1" s="185" t="str">
        <x:v>managed_money_net_pct_oi_avg_silver_lag1</x:v>
      </x:c>
      <x:c r="AG1" s="185" t="str">
        <x:v>nominal_10y_change_1m_lag1</x:v>
      </x:c>
      <x:c r="AH1" s="185" t="str">
        <x:v>real_10y_change_1m_lag1</x:v>
      </x:c>
      <x:c r="AI1" s="185" t="str">
        <x:v>breakeven_10y_change_1m_lag1</x:v>
      </x:c>
      <x:c r="AJ1" s="185" t="str">
        <x:v>broad_dollar_return_1m_lag1</x:v>
      </x:c>
      <x:c r="AK1" s="185" t="str">
        <x:v>gpr_change_1m_lag1</x:v>
      </x:c>
      <x:c r="AL1" s="185" t="str">
        <x:v>managed_money_net_change_gold_lag1</x:v>
      </x:c>
      <x:c r="AM1" s="185" t="str">
        <x:v>managed_money_net_change_silver_lag1</x:v>
      </x:c>
      <x:c r="AN1" s="185" t="str">
        <x:v>gold_silver_ratio_change_1m_lag1</x:v>
      </x:c>
      <x:c r="AO1" s="185" t="str">
        <x:v>gold_up</x:v>
      </x:c>
      <x:c r="AP1" s="185" t="str">
        <x:v>silver_up</x:v>
      </x:c>
    </x:row>
    <x:row r="2" ht="15" hidden="0" customHeight="1">
      <x:c r="A2" s="187" t="n">
        <x:v>42401</x:v>
      </x:c>
      <x:c r="B2" s="186" t="n">
        <x:v>1200</x:v>
      </x:c>
      <x:c r="C2" s="186" t="n">
        <x:v>15.2</x:v>
      </x:c>
      <x:c r="D2" s="186" t="n">
        <x:v>0.09289617486338808</x:v>
      </x:c>
      <x:c r="E2" s="186" t="n">
        <x:v>0.07801418439716312</x:v>
      </x:c>
      <x:c r="F2" s="187" t="n">
        <x:v>42370</x:v>
      </x:c>
      <x:c r="G2" s="186" t="n">
        <x:v>30.8</x:v>
      </x:c>
      <x:c r="H2" s="186" t="n">
        <x:v>2.27</x:v>
      </x:c>
      <x:c r="I2" s="186" t="n">
        <x:v>1481</x:v>
      </x:c>
      <x:c r="J2" s="186" t="n">
        <x:v>4472</x:v>
      </x:c>
      <x:c r="K2" s="186" t="n">
        <x:v>1098</x:v>
      </x:c>
      <x:c r="L2" s="186" t="n">
        <x:v>855</x:v>
      </x:c>
      <x:c r="M2" s="186" t="n">
        <x:v>14.1</x:v>
      </x:c>
      <x:c r="N2" s="186" t="n">
        <x:v>77.87234042553192</x:v>
      </x:c>
      <x:c r="O2" s="186"/>
      <x:c r="P2" s="186"/>
      <x:c r="Q2" s="186" t="n">
        <x:v>2.0852631578947367</x:v>
      </x:c>
      <x:c r="R2" s="186" t="n">
        <x:v>0.6652631578947369</x:v>
      </x:c>
      <x:c r="S2" s="186" t="n">
        <x:v>1.42</x:v>
      </x:c>
      <x:c r="T2" s="186" t="n">
        <x:v>115.2343875</x:v>
      </x:c>
      <x:c r="U2" s="186" t="n">
        <x:v>118.21114</x:v>
      </x:c>
      <x:c r="V2" s="186" t="n">
        <x:v>124.23914</x:v>
      </x:c>
      <x:c r="W2" s="186" t="n">
        <x:v>109.5291</x:v>
      </x:c>
      <x:c r="X2" s="186" t="n">
        <x:v>0.6952169</x:v>
      </x:c>
      <x:c r="Y2" s="186" t="n">
        <x:v>0.7044865</x:v>
      </x:c>
      <x:c r="Z2" s="186" t="n">
        <x:v>2.5074155</x:v>
      </x:c>
      <x:c r="AA2" s="186" t="n">
        <x:v>351.75</x:v>
      </x:c>
      <x:c r="AB2" s="186" t="n">
        <x:v>14571.25</x:v>
      </x:c>
      <x:c r="AC2" s="186" t="n">
        <x:v>-49559.5</x:v>
      </x:c>
      <x:c r="AD2" s="186" t="n">
        <x:v>-24569.75</x:v>
      </x:c>
      <x:c r="AE2" s="186" t="n">
        <x:v>0.0016024194726623926</x:v>
      </x:c>
      <x:c r="AF2" s="186" t="n">
        <x:v>0.09144832289316956</x:v>
      </x:c>
      <x:c r="AG2" s="186"/>
      <x:c r="AH2" s="186"/>
      <x:c r="AI2" s="186"/>
      <x:c r="AJ2" s="186"/>
      <x:c r="AK2" s="186"/>
      <x:c r="AL2" s="186"/>
      <x:c r="AM2" s="186"/>
      <x:c r="AN2" s="186"/>
      <x:c r="AO2" s="186" t="n">
        <x:v>1</x:v>
      </x:c>
      <x:c r="AP2" s="186" t="n">
        <x:v>1</x:v>
      </x:c>
    </x:row>
    <x:row r="3" ht="15" hidden="0" customHeight="1">
      <x:c r="A3" s="187" t="n">
        <x:v>42430</x:v>
      </x:c>
      <x:c r="B3" s="186" t="n">
        <x:v>1245</x:v>
      </x:c>
      <x:c r="C3" s="186" t="n">
        <x:v>15.5</x:v>
      </x:c>
      <x:c r="D3" s="186" t="n">
        <x:v>0.03750000000000009</x:v>
      </x:c>
      <x:c r="E3" s="186" t="n">
        <x:v>0.019736842105263275</x:v>
      </x:c>
      <x:c r="F3" s="187" t="n">
        <x:v>42401</x:v>
      </x:c>
      <x:c r="G3" s="186" t="n">
        <x:v>33.2</x:v>
      </x:c>
      <x:c r="H3" s="186" t="n">
        <x:v>1.96</x:v>
      </x:c>
      <x:c r="I3" s="186" t="n">
        <x:v>1531</x:v>
      </x:c>
      <x:c r="J3" s="186" t="n">
        <x:v>4599</x:v>
      </x:c>
      <x:c r="K3" s="186" t="n">
        <x:v>1200</x:v>
      </x:c>
      <x:c r="L3" s="186" t="n">
        <x:v>919</x:v>
      </x:c>
      <x:c r="M3" s="186" t="n">
        <x:v>15.2</x:v>
      </x:c>
      <x:c r="N3" s="186" t="n">
        <x:v>78.94736842105263</x:v>
      </x:c>
      <x:c r="O3" s="186" t="n">
        <x:v>0.02839892665474064</x:v>
      </x:c>
      <x:c r="P3" s="186" t="n">
        <x:v>0.07792207792207795</x:v>
      </x:c>
      <x:c r="Q3" s="186" t="n">
        <x:v>1.7795</x:v>
      </x:c>
      <x:c r="R3" s="186" t="n">
        <x:v>0.472</x:v>
      </x:c>
      <x:c r="S3" s="186" t="n">
        <x:v>1.3074999999999999</x:v>
      </x:c>
      <x:c r="T3" s="186" t="n">
        <x:v>114.281735</x:v>
      </x:c>
      <x:c r="U3" s="186" t="n">
        <x:v>103.74965</x:v>
      </x:c>
      <x:c r="V3" s="186" t="n">
        <x:v>91.32202</x:v>
      </x:c>
      <x:c r="W3" s="186" t="n">
        <x:v>117.582016</x:v>
      </x:c>
      <x:c r="X3" s="186" t="n">
        <x:v>0.49907035</x:v>
      </x:c>
      <x:c r="Y3" s="186" t="n">
        <x:v>1.1938546</x:v>
      </x:c>
      <x:c r="Z3" s="186" t="n">
        <x:v>2.2458167</x:v>
      </x:c>
      <x:c r="AA3" s="186" t="n">
        <x:v>69945.5</x:v>
      </x:c>
      <x:c r="AB3" s="186" t="n">
        <x:v>40875.75</x:v>
      </x:c>
      <x:c r="AC3" s="186" t="n">
        <x:v>-78363.25</x:v>
      </x:c>
      <x:c r="AD3" s="186" t="n">
        <x:v>-39841.75</x:v>
      </x:c>
      <x:c r="AE3" s="186" t="n">
        <x:v>0.16451248662217166</x:v>
      </x:c>
      <x:c r="AF3" s="186" t="n">
        <x:v>0.24454582828164023</x:v>
      </x:c>
      <x:c r="AG3" s="186" t="n">
        <x:v>-0.3057631578947366</x:v>
      </x:c>
      <x:c r="AH3" s="186" t="n">
        <x:v>-0.19326315789473691</x:v>
      </x:c>
      <x:c r="AI3" s="186" t="n">
        <x:v>-0.11250000000000004</x:v>
      </x:c>
      <x:c r="AJ3" s="186" t="n">
        <x:v>-0.008267085204926361</x:v>
      </x:c>
      <x:c r="AK3" s="186" t="n">
        <x:v>-14.461494</x:v>
      </x:c>
      <x:c r="AL3" s="186" t="n">
        <x:v>69593.75</x:v>
      </x:c>
      <x:c r="AM3" s="186" t="n">
        <x:v>26304.5</x:v>
      </x:c>
      <x:c r="AN3" s="186" t="n">
        <x:v>0.01380500431406384</x:v>
      </x:c>
      <x:c r="AO3" s="186" t="n">
        <x:v>1</x:v>
      </x:c>
      <x:c r="AP3" s="186" t="n">
        <x:v>1</x:v>
      </x:c>
    </x:row>
    <x:row r="4" ht="15" hidden="0" customHeight="1">
      <x:c r="A4" s="187" t="n">
        <x:v>42461</x:v>
      </x:c>
      <x:c r="B4" s="186" t="n">
        <x:v>1242</x:v>
      </x:c>
      <x:c r="C4" s="186" t="n">
        <x:v>16.4</x:v>
      </x:c>
      <x:c r="D4" s="186" t="n">
        <x:v>-0.002409638554216831</x:v>
      </x:c>
      <x:c r="E4" s="186" t="n">
        <x:v>0.05806451612903207</x:v>
      </x:c>
      <x:c r="F4" s="187" t="n">
        <x:v>42430</x:v>
      </x:c>
      <x:c r="G4" s="186" t="n">
        <x:v>39.1</x:v>
      </x:c>
      <x:c r="H4" s="186" t="n">
        <x:v>1.7</x:v>
      </x:c>
      <x:c r="I4" s="186" t="n">
        <x:v>1531</x:v>
      </x:c>
      <x:c r="J4" s="186" t="n">
        <x:v>4954</x:v>
      </x:c>
      <x:c r="K4" s="186" t="n">
        <x:v>1245</x:v>
      </x:c>
      <x:c r="L4" s="186" t="n">
        <x:v>968</x:v>
      </x:c>
      <x:c r="M4" s="186" t="n">
        <x:v>15.5</x:v>
      </x:c>
      <x:c r="N4" s="186" t="n">
        <x:v>80.3225806451613</x:v>
      </x:c>
      <x:c r="O4" s="186" t="n">
        <x:v>0.07719069362904984</x:v>
      </x:c>
      <x:c r="P4" s="186" t="n">
        <x:v>0.17771084337349397</x:v>
      </x:c>
      <x:c r="Q4" s="186" t="n">
        <x:v>1.8890909090909092</x:v>
      </x:c>
      <x:c r="R4" s="186" t="n">
        <x:v>0.3372727272727273</x:v>
      </x:c>
      <x:c r="S4" s="186" t="n">
        <x:v>1.5518181818181818</x:v>
      </x:c>
      <x:c r="T4" s="186" t="n">
        <x:v>111.89339130434782</x:v>
      </x:c>
      <x:c r="U4" s="186" t="n">
        <x:v>109.72029</x:v>
      </x:c>
      <x:c r="V4" s="186" t="n">
        <x:v>98.02693</x:v>
      </x:c>
      <x:c r="W4" s="186" t="n">
        <x:v>127.76814</x:v>
      </x:c>
      <x:c r="X4" s="186" t="n">
        <x:v>0.5115205</x:v>
      </x:c>
      <x:c r="Y4" s="186" t="n">
        <x:v>0.7785976</x:v>
      </x:c>
      <x:c r="Z4" s="186" t="n">
        <x:v>2.448961</x:v>
      </x:c>
      <x:c r="AA4" s="186" t="n">
        <x:v>126618.25</x:v>
      </x:c>
      <x:c r="AB4" s="186" t="n">
        <x:v>50396.25</x:v>
      </x:c>
      <x:c r="AC4" s="186" t="n">
        <x:v>-123217.5</x:v>
      </x:c>
      <x:c r="AD4" s="186" t="n">
        <x:v>-45448.75</x:v>
      </x:c>
      <x:c r="AE4" s="186" t="n">
        <x:v>0.25848575492064063</x:v>
      </x:c>
      <x:c r="AF4" s="186" t="n">
        <x:v>0.29882625044935485</x:v>
      </x:c>
      <x:c r="AG4" s="186" t="n">
        <x:v>0.10959090909090907</x:v>
      </x:c>
      <x:c r="AH4" s="186" t="n">
        <x:v>-0.1347272727272727</x:v>
      </x:c>
      <x:c r="AI4" s="186" t="n">
        <x:v>0.24431818181818188</x:v>
      </x:c>
      <x:c r="AJ4" s="186" t="n">
        <x:v>-0.020898735004786007</x:v>
      </x:c>
      <x:c r="AK4" s="186" t="n">
        <x:v>5.970642</x:v>
      </x:c>
      <x:c r="AL4" s="186" t="n">
        <x:v>56672.75</x:v>
      </x:c>
      <x:c r="AM4" s="186" t="n">
        <x:v>9520.5</x:v>
      </x:c>
      <x:c r="AN4" s="186" t="n">
        <x:v>0.017419354838709822</x:v>
      </x:c>
      <x:c r="AO4" s="186" t="n">
        <x:v>0</x:v>
      </x:c>
      <x:c r="AP4" s="186" t="n">
        <x:v>1</x:v>
      </x:c>
    </x:row>
    <x:row r="5" ht="15" hidden="0" customHeight="1">
      <x:c r="A5" s="187" t="n">
        <x:v>42491</x:v>
      </x:c>
      <x:c r="B5" s="186" t="n">
        <x:v>1261</x:v>
      </x:c>
      <x:c r="C5" s="186" t="n">
        <x:v>16.9</x:v>
      </x:c>
      <x:c r="D5" s="186" t="n">
        <x:v>0.015297906602254496</x:v>
      </x:c>
      <x:c r="E5" s="186" t="n">
        <x:v>0.030487804878048808</x:v>
      </x:c>
      <x:c r="F5" s="187" t="n">
        <x:v>42461</x:v>
      </x:c>
      <x:c r="G5" s="186" t="n">
        <x:v>42.3</x:v>
      </x:c>
      <x:c r="H5" s="186" t="n">
        <x:v>1.9</x:v>
      </x:c>
      <x:c r="I5" s="186" t="n">
        <x:v>1571</x:v>
      </x:c>
      <x:c r="J5" s="186" t="n">
        <x:v>4873</x:v>
      </x:c>
      <x:c r="K5" s="186" t="n">
        <x:v>1242</x:v>
      </x:c>
      <x:c r="L5" s="186" t="n">
        <x:v>994</x:v>
      </x:c>
      <x:c r="M5" s="186" t="n">
        <x:v>16.4</x:v>
      </x:c>
      <x:c r="N5" s="186" t="n">
        <x:v>75.73170731707317</x:v>
      </x:c>
      <x:c r="O5" s="186" t="n">
        <x:v>-0.01635042389987884</x:v>
      </x:c>
      <x:c r="P5" s="186" t="n">
        <x:v>0.08184143222506379</x:v>
      </x:c>
      <x:c r="Q5" s="186" t="n">
        <x:v>1.805238095238095</x:v>
      </x:c>
      <x:c r="R5" s="186" t="n">
        <x:v>0.19047619047619047</x:v>
      </x:c>
      <x:c r="S5" s="186" t="n">
        <x:v>1.6147619047619048</x:v>
      </x:c>
      <x:c r="T5" s="186" t="n">
        <x:v>110.01707619047619</x:v>
      </x:c>
      <x:c r="U5" s="186" t="n">
        <x:v>85.22145</x:v>
      </x:c>
      <x:c r="V5" s="186" t="n">
        <x:v>80.82244</x:v>
      </x:c>
      <x:c r="W5" s="186" t="n">
        <x:v>93.122986</x:v>
      </x:c>
      <x:c r="X5" s="186" t="n">
        <x:v>0.36250407</x:v>
      </x:c>
      <x:c r="Y5" s="186" t="n">
        <x:v>0.7761305</x:v>
      </x:c>
      <x:c r="Z5" s="186" t="n">
        <x:v>2.0123622</x:v>
      </x:c>
      <x:c r="AA5" s="186" t="n">
        <x:v>164750.8</x:v>
      </x:c>
      <x:c r="AB5" s="186" t="n">
        <x:v>56552.8</x:v>
      </x:c>
      <x:c r="AC5" s="186" t="n">
        <x:v>-138469.8</x:v>
      </x:c>
      <x:c r="AD5" s="186" t="n">
        <x:v>-47835.2</x:v>
      </x:c>
      <x:c r="AE5" s="186" t="n">
        <x:v>0.33456861365089907</x:v>
      </x:c>
      <x:c r="AF5" s="186" t="n">
        <x:v>0.2980676070382116</x:v>
      </x:c>
      <x:c r="AG5" s="186" t="n">
        <x:v>-0.08385281385281407</x:v>
      </x:c>
      <x:c r="AH5" s="186" t="n">
        <x:v>-0.14679653679653681</x:v>
      </x:c>
      <x:c r="AI5" s="186" t="n">
        <x:v>0.06294372294372308</x:v>
      </x:c>
      <x:c r="AJ5" s="186" t="n">
        <x:v>-0.016768775099220035</x:v>
      </x:c>
      <x:c r="AK5" s="186" t="n">
        <x:v>-24.49884</x:v>
      </x:c>
      <x:c r="AL5" s="186" t="n">
        <x:v>38132.54999999999</x:v>
      </x:c>
      <x:c r="AM5" s="186" t="n">
        <x:v>6156.550000000003</x:v>
      </x:c>
      <x:c r="AN5" s="186" t="n">
        <x:v>-0.05715545107258302</x:v>
      </x:c>
      <x:c r="AO5" s="186" t="n">
        <x:v>1</x:v>
      </x:c>
      <x:c r="AP5" s="186" t="n">
        <x:v>1</x:v>
      </x:c>
    </x:row>
    <x:row r="6" ht="15" hidden="0" customHeight="1">
      <x:c r="A6" s="187" t="n">
        <x:v>42522</x:v>
      </x:c>
      <x:c r="B6" s="186" t="n">
        <x:v>1276</x:v>
      </x:c>
      <x:c r="C6" s="186" t="n">
        <x:v>17.3</x:v>
      </x:c>
      <x:c r="D6" s="186" t="n">
        <x:v>0.011895321173671647</x:v>
      </x:c>
      <x:c r="E6" s="186" t="n">
        <x:v>0.02366863905325456</x:v>
      </x:c>
      <x:c r="F6" s="187" t="n">
        <x:v>42491</x:v>
      </x:c>
      <x:c r="G6" s="186" t="n">
        <x:v>47.1</x:v>
      </x:c>
      <x:c r="H6" s="186" t="n">
        <x:v>1.92</x:v>
      </x:c>
      <x:c r="I6" s="186" t="n">
        <x:v>1551</x:v>
      </x:c>
      <x:c r="J6" s="186" t="n">
        <x:v>4695</x:v>
      </x:c>
      <x:c r="K6" s="186" t="n">
        <x:v>1261</x:v>
      </x:c>
      <x:c r="L6" s="186" t="n">
        <x:v>1036</x:v>
      </x:c>
      <x:c r="M6" s="186" t="n">
        <x:v>16.9</x:v>
      </x:c>
      <x:c r="N6" s="186" t="n">
        <x:v>74.61538461538463</x:v>
      </x:c>
      <x:c r="O6" s="186" t="n">
        <x:v>-0.03652780627949925</x:v>
      </x:c>
      <x:c r="P6" s="186" t="n">
        <x:v>0.1134751773049647</x:v>
      </x:c>
      <x:c r="Q6" s="186" t="n">
        <x:v>1.8061904761904761</x:v>
      </x:c>
      <x:c r="R6" s="186" t="n">
        <x:v>0.2119047619047619</x:v>
      </x:c>
      <x:c r="S6" s="186" t="n">
        <x:v>1.5942857142857145</x:v>
      </x:c>
      <x:c r="T6" s="186" t="n">
        <x:v>111.14051428571429</x:v>
      </x:c>
      <x:c r="U6" s="186" t="n">
        <x:v>88.33242</x:v>
      </x:c>
      <x:c r="V6" s="186" t="n">
        <x:v>84.461365</x:v>
      </x:c>
      <x:c r="W6" s="186" t="n">
        <x:v>93.639656</x:v>
      </x:c>
      <x:c r="X6" s="186" t="n">
        <x:v>0.44612372</x:v>
      </x:c>
      <x:c r="Y6" s="186" t="n">
        <x:v>0.6555287</x:v>
      </x:c>
      <x:c r="Z6" s="186" t="n">
        <x:v>1.9210634</x:v>
      </x:c>
      <x:c r="AA6" s="186" t="n">
        <x:v>199747</x:v>
      </x:c>
      <x:c r="AB6" s="186" t="n">
        <x:v>66874.75</x:v>
      </x:c>
      <x:c r="AC6" s="186" t="n">
        <x:v>-143489.25</x:v>
      </x:c>
      <x:c r="AD6" s="186" t="n">
        <x:v>-50097.25</x:v>
      </x:c>
      <x:c r="AE6" s="186" t="n">
        <x:v>0.34907970628150503</x:v>
      </x:c>
      <x:c r="AF6" s="186" t="n">
        <x:v>0.32839091831259276</x:v>
      </x:c>
      <x:c r="AG6" s="186" t="n">
        <x:v>0.0009523809523810378</x:v>
      </x:c>
      <x:c r="AH6" s="186" t="n">
        <x:v>0.021428571428571436</x:v>
      </x:c>
      <x:c r="AI6" s="186" t="n">
        <x:v>-0.020476190476190315</x:v>
      </x:c>
      <x:c r="AJ6" s="186" t="n">
        <x:v>0.01021148838106778</x:v>
      </x:c>
      <x:c r="AK6" s="186" t="n">
        <x:v>3.1109695</x:v>
      </x:c>
      <x:c r="AL6" s="186" t="n">
        <x:v>34996.20000000001</x:v>
      </x:c>
      <x:c r="AM6" s="186" t="n">
        <x:v>10321.949999999997</x:v>
      </x:c>
      <x:c r="AN6" s="186" t="n">
        <x:v>-0.014740493001362487</x:v>
      </x:c>
      <x:c r="AO6" s="186" t="n">
        <x:v>1</x:v>
      </x:c>
      <x:c r="AP6" s="186" t="n">
        <x:v>1</x:v>
      </x:c>
    </x:row>
    <x:row r="7" ht="15" hidden="0" customHeight="1">
      <x:c r="A7" s="187" t="n">
        <x:v>42552</x:v>
      </x:c>
      <x:c r="B7" s="186" t="n">
        <x:v>1337</x:v>
      </x:c>
      <x:c r="C7" s="186" t="n">
        <x:v>20</x:v>
      </x:c>
      <x:c r="D7" s="186" t="n">
        <x:v>0.04780564263322895</x:v>
      </x:c>
      <x:c r="E7" s="186" t="n">
        <x:v>0.15606936416184958</x:v>
      </x:c>
      <x:c r="F7" s="187" t="n">
        <x:v>42522</x:v>
      </x:c>
      <x:c r="G7" s="186" t="n">
        <x:v>48.5</x:v>
      </x:c>
      <x:c r="H7" s="186" t="n">
        <x:v>2.57</x:v>
      </x:c>
      <x:c r="I7" s="186" t="n">
        <x:v>1594</x:v>
      </x:c>
      <x:c r="J7" s="186" t="n">
        <x:v>4642</x:v>
      </x:c>
      <x:c r="K7" s="186" t="n">
        <x:v>1276</x:v>
      </x:c>
      <x:c r="L7" s="186" t="n">
        <x:v>984</x:v>
      </x:c>
      <x:c r="M7" s="186" t="n">
        <x:v>17.3</x:v>
      </x:c>
      <x:c r="N7" s="186" t="n">
        <x:v>73.757225433526</x:v>
      </x:c>
      <x:c r="O7" s="186" t="n">
        <x:v>-0.011288604898828547</x:v>
      </x:c>
      <x:c r="P7" s="186" t="n">
        <x:v>0.02972399150743099</x:v>
      </x:c>
      <x:c r="Q7" s="186" t="n">
        <x:v>1.6440909090909093</x:v>
      </x:c>
      <x:c r="R7" s="186" t="n">
        <x:v>0.1740909090909091</x:v>
      </x:c>
      <x:c r="S7" s="186" t="n">
        <x:v>1.4700000000000002</x:v>
      </x:c>
      <x:c r="T7" s="186" t="n">
        <x:v>111.55962727272727</x:v>
      </x:c>
      <x:c r="U7" s="186" t="n">
        <x:v>90.16813</x:v>
      </x:c>
      <x:c r="V7" s="186" t="n">
        <x:v>80.51286</x:v>
      </x:c>
      <x:c r="W7" s="186" t="n">
        <x:v>100.857376</x:v>
      </x:c>
      <x:c r="X7" s="186" t="n">
        <x:v>0.30207202</x:v>
      </x:c>
      <x:c r="Y7" s="186" t="n">
        <x:v>0.54278564</x:v>
      </x:c>
      <x:c r="Z7" s="186" t="n">
        <x:v>1.7746731</x:v>
      </x:c>
      <x:c r="AA7" s="186" t="n">
        <x:v>201406.25</x:v>
      </x:c>
      <x:c r="AB7" s="186" t="n">
        <x:v>60018.5</x:v>
      </x:c>
      <x:c r="AC7" s="186" t="n">
        <x:v>-128948.25</x:v>
      </x:c>
      <x:c r="AD7" s="186" t="n">
        <x:v>-45961.5</x:v>
      </x:c>
      <x:c r="AE7" s="186" t="n">
        <x:v>0.379121579745322</x:v>
      </x:c>
      <x:c r="AF7" s="186" t="n">
        <x:v>0.3009296259151013</x:v>
      </x:c>
      <x:c r="AG7" s="186" t="n">
        <x:v>-0.16209956709956685</x:v>
      </x:c>
      <x:c r="AH7" s="186" t="n">
        <x:v>-0.0378138528138528</x:v>
      </x:c>
      <x:c r="AI7" s="186" t="n">
        <x:v>-0.12428571428571433</x:v>
      </x:c>
      <x:c r="AJ7" s="186" t="n">
        <x:v>0.0037710189637556457</x:v>
      </x:c>
      <x:c r="AK7" s="186" t="n">
        <x:v>1.8357086</x:v>
      </x:c>
      <x:c r="AL7" s="186" t="n">
        <x:v>1659.25</x:v>
      </x:c>
      <x:c r="AM7" s="186" t="n">
        <x:v>-6856.25</x:v>
      </x:c>
      <x:c r="AN7" s="186" t="n">
        <x:v>-0.01150110243728053</x:v>
      </x:c>
      <x:c r="AO7" s="186" t="n">
        <x:v>1</x:v>
      </x:c>
      <x:c r="AP7" s="186" t="n">
        <x:v>1</x:v>
      </x:c>
    </x:row>
    <x:row r="8" ht="15" hidden="0" customHeight="1">
      <x:c r="A8" s="187" t="n">
        <x:v>42583</x:v>
      </x:c>
      <x:c r="B8" s="186" t="n">
        <x:v>1340</x:v>
      </x:c>
      <x:c r="C8" s="186" t="n">
        <x:v>19.6</x:v>
      </x:c>
      <x:c r="D8" s="186" t="n">
        <x:v>0.002243829468960401</x:v>
      </x:c>
      <x:c r="E8" s="186" t="n">
        <x:v>-0.019999999999999907</x:v>
      </x:c>
      <x:c r="F8" s="187" t="n">
        <x:v>42552</x:v>
      </x:c>
      <x:c r="G8" s="186" t="n">
        <x:v>45.1</x:v>
      </x:c>
      <x:c r="H8" s="186" t="n">
        <x:v>2.79</x:v>
      </x:c>
      <x:c r="I8" s="186" t="n">
        <x:v>1629</x:v>
      </x:c>
      <x:c r="J8" s="186" t="n">
        <x:v>4865</x:v>
      </x:c>
      <x:c r="K8" s="186" t="n">
        <x:v>1337</x:v>
      </x:c>
      <x:c r="L8" s="186" t="n">
        <x:v>1088</x:v>
      </x:c>
      <x:c r="M8" s="186" t="n">
        <x:v>20</x:v>
      </x:c>
      <x:c r="N8" s="186" t="n">
        <x:v>66.85</x:v>
      </x:c>
      <x:c r="O8" s="186" t="n">
        <x:v>0.04803963808703138</x:v>
      </x:c>
      <x:c r="P8" s="186" t="n">
        <x:v>-0.07010309278350513</x:v>
      </x:c>
      <x:c r="Q8" s="186" t="n">
        <x:v>1.504</x:v>
      </x:c>
      <x:c r="R8" s="186" t="n">
        <x:v>0.0385</x:v>
      </x:c>
      <x:c r="S8" s="186" t="n">
        <x:v>1.4655</x:v>
      </x:c>
      <x:c r="T8" s="186" t="n">
        <x:v>112.47729</x:v>
      </x:c>
      <x:c r="U8" s="186" t="n">
        <x:v>114.61045</x:v>
      </x:c>
      <x:c r="V8" s="186" t="n">
        <x:v>97.098045</x:v>
      </x:c>
      <x:c r="W8" s="186" t="n">
        <x:v>145.14874</x:v>
      </x:c>
      <x:c r="X8" s="186" t="n">
        <x:v>0.3781368</x:v>
      </x:c>
      <x:c r="Y8" s="186" t="n">
        <x:v>0.7562736</x:v>
      </x:c>
      <x:c r="Z8" s="186" t="n">
        <x:v>2.4603448</x:v>
      </x:c>
      <x:c r="AA8" s="186" t="n">
        <x:v>258614.6</x:v>
      </x:c>
      <x:c r="AB8" s="186" t="n">
        <x:v>86318</x:v>
      </x:c>
      <x:c r="AC8" s="186" t="n">
        <x:v>-142317.2</x:v>
      </x:c>
      <x:c r="AD8" s="186" t="n">
        <x:v>-55134.2</x:v>
      </x:c>
      <x:c r="AE8" s="186" t="n">
        <x:v>0.41823992179067454</x:v>
      </x:c>
      <x:c r="AF8" s="186" t="n">
        <x:v>0.40117993682799435</x:v>
      </x:c>
      <x:c r="AG8" s="186" t="n">
        <x:v>-0.14009090909090927</x:v>
      </x:c>
      <x:c r="AH8" s="186" t="n">
        <x:v>-0.1355909090909091</x:v>
      </x:c>
      <x:c r="AI8" s="186" t="n">
        <x:v>-0.0045000000000001705</x:v>
      </x:c>
      <x:c r="AJ8" s="186" t="n">
        <x:v>0.008225760068464094</x:v>
      </x:c>
      <x:c r="AK8" s="186" t="n">
        <x:v>24.442322</x:v>
      </x:c>
      <x:c r="AL8" s="186" t="n">
        <x:v>57208.350000000006</x:v>
      </x:c>
      <x:c r="AM8" s="186" t="n">
        <x:v>26299.5</x:v>
      </x:c>
      <x:c r="AN8" s="186" t="n">
        <x:v>-0.09364811912225701</x:v>
      </x:c>
      <x:c r="AO8" s="186" t="n">
        <x:v>1</x:v>
      </x:c>
      <x:c r="AP8" s="186" t="n">
        <x:v>0</x:v>
      </x:c>
    </x:row>
    <x:row r="9" ht="15" hidden="0" customHeight="1">
      <x:c r="A9" s="187" t="n">
        <x:v>42614</x:v>
      </x:c>
      <x:c r="B9" s="186" t="n">
        <x:v>1327</x:v>
      </x:c>
      <x:c r="C9" s="186" t="n">
        <x:v>19.4</x:v>
      </x:c>
      <x:c r="D9" s="186" t="n">
        <x:v>-0.00970149253731345</x:v>
      </x:c>
      <x:c r="E9" s="186" t="n">
        <x:v>-0.010204081632653184</x:v>
      </x:c>
      <x:c r="F9" s="187" t="n">
        <x:v>42583</x:v>
      </x:c>
      <x:c r="G9" s="186" t="n">
        <x:v>46.1</x:v>
      </x:c>
      <x:c r="H9" s="186" t="n">
        <x:v>2.79</x:v>
      </x:c>
      <x:c r="I9" s="186" t="n">
        <x:v>1639</x:v>
      </x:c>
      <x:c r="J9" s="186" t="n">
        <x:v>4752</x:v>
      </x:c>
      <x:c r="K9" s="186" t="n">
        <x:v>1340</x:v>
      </x:c>
      <x:c r="L9" s="186" t="n">
        <x:v>1122</x:v>
      </x:c>
      <x:c r="M9" s="186" t="n">
        <x:v>19.6</x:v>
      </x:c>
      <x:c r="N9" s="186" t="n">
        <x:v>68.36734693877551</x:v>
      </x:c>
      <x:c r="O9" s="186" t="n">
        <x:v>-0.02322713257965059</x:v>
      </x:c>
      <x:c r="P9" s="186" t="n">
        <x:v>0.022172949002217335</x:v>
      </x:c>
      <x:c r="Q9" s="186" t="n">
        <x:v>1.556521739130435</x:v>
      </x:c>
      <x:c r="R9" s="186" t="n">
        <x:v>0.0882608695652174</x:v>
      </x:c>
      <x:c r="S9" s="186" t="n">
        <x:v>1.4682608695652173</x:v>
      </x:c>
      <x:c r="T9" s="186" t="n">
        <x:v>111.43836956521739</x:v>
      </x:c>
      <x:c r="U9" s="186" t="n">
        <x:v>98.73849</x:v>
      </x:c>
      <x:c r="V9" s="186" t="n">
        <x:v>82.44047</x:v>
      </x:c>
      <x:c r="W9" s="186" t="n">
        <x:v>121.4537</x:v>
      </x:c>
      <x:c r="X9" s="186" t="n">
        <x:v>0.2894356</x:v>
      </x:c>
      <x:c r="Y9" s="186" t="n">
        <x:v>0.9354972</x:v>
      </x:c>
      <x:c r="Z9" s="186" t="n">
        <x:v>2.150093</x:v>
      </x:c>
      <x:c r="AA9" s="186" t="n">
        <x:v>249098</x:v>
      </x:c>
      <x:c r="AB9" s="186" t="n">
        <x:v>83564.25</x:v>
      </x:c>
      <x:c r="AC9" s="186" t="n">
        <x:v>-140669</x:v>
      </x:c>
      <x:c r="AD9" s="186" t="n">
        <x:v>-57508</x:v>
      </x:c>
      <x:c r="AE9" s="186" t="n">
        <x:v>0.4326200342277047</x:v>
      </x:c>
      <x:c r="AF9" s="186" t="n">
        <x:v>0.39425161364561395</x:v>
      </x:c>
      <x:c r="AG9" s="186" t="n">
        <x:v>0.0525217391304349</x:v>
      </x:c>
      <x:c r="AH9" s="186" t="n">
        <x:v>0.04976086956521741</x:v>
      </x:c>
      <x:c r="AI9" s="186" t="n">
        <x:v>0.002760869565217261</x:v>
      </x:c>
      <x:c r="AJ9" s="186" t="n">
        <x:v>-0.009236712893621601</x:v>
      </x:c>
      <x:c r="AK9" s="186" t="n">
        <x:v>-15.8719635</x:v>
      </x:c>
      <x:c r="AL9" s="186" t="n">
        <x:v>-9516.600000000006</x:v>
      </x:c>
      <x:c r="AM9" s="186" t="n">
        <x:v>-2753.75</x:v>
      </x:c>
      <x:c r="AN9" s="186" t="n">
        <x:v>0.022697785172408613</x:v>
      </x:c>
      <x:c r="AO9" s="186" t="n">
        <x:v>0</x:v>
      </x:c>
      <x:c r="AP9" s="186" t="n">
        <x:v>0</x:v>
      </x:c>
    </x:row>
    <x:row r="10" ht="15" hidden="0" customHeight="1">
      <x:c r="A10" s="187" t="n">
        <x:v>42644</x:v>
      </x:c>
      <x:c r="B10" s="186" t="n">
        <x:v>1267</x:v>
      </x:c>
      <x:c r="C10" s="186" t="n">
        <x:v>17.7</x:v>
      </x:c>
      <x:c r="D10" s="186" t="n">
        <x:v>-0.045214770158251705</x:v>
      </x:c>
      <x:c r="E10" s="186" t="n">
        <x:v>-0.08762886597938147</x:v>
      </x:c>
      <x:c r="F10" s="187" t="n">
        <x:v>42614</x:v>
      </x:c>
      <x:c r="G10" s="186" t="n">
        <x:v>46.2</x:v>
      </x:c>
      <x:c r="H10" s="186" t="n">
        <x:v>2.97</x:v>
      </x:c>
      <x:c r="I10" s="186" t="n">
        <x:v>1592</x:v>
      </x:c>
      <x:c r="J10" s="186" t="n">
        <x:v>4722</x:v>
      </x:c>
      <x:c r="K10" s="186" t="n">
        <x:v>1327</x:v>
      </x:c>
      <x:c r="L10" s="186" t="n">
        <x:v>1047</x:v>
      </x:c>
      <x:c r="M10" s="186" t="n">
        <x:v>19.4</x:v>
      </x:c>
      <x:c r="N10" s="186" t="n">
        <x:v>68.40206185567011</x:v>
      </x:c>
      <x:c r="O10" s="186" t="n">
        <x:v>-0.0063131313131312705</x:v>
      </x:c>
      <x:c r="P10" s="186" t="n">
        <x:v>0.002169197396963085</x:v>
      </x:c>
      <x:c r="Q10" s="186" t="n">
        <x:v>1.6304761904761906</x:v>
      </x:c>
      <x:c r="R10" s="186" t="n">
        <x:v>0.11571428571428573</x:v>
      </x:c>
      <x:c r="S10" s="186" t="n">
        <x:v>1.514761904761905</x:v>
      </x:c>
      <x:c r="T10" s="186" t="n">
        <x:v>112.31686190476191</x:v>
      </x:c>
      <x:c r="U10" s="186" t="n">
        <x:v>104.54523</x:v>
      </x:c>
      <x:c r="V10" s="186" t="n">
        <x:v>95.48959</x:v>
      </x:c>
      <x:c r="W10" s="186" t="n">
        <x:v>121.1505</x:v>
      </x:c>
      <x:c r="X10" s="186" t="n">
        <x:v>0.5847953</x:v>
      </x:c>
      <x:c r="Y10" s="186" t="n">
        <x:v>1.0485985</x:v>
      </x:c>
      <x:c r="Z10" s="186" t="n">
        <x:v>2.6114135</x:v>
      </x:c>
      <x:c r="AA10" s="186" t="n">
        <x:v>242486</x:v>
      </x:c>
      <x:c r="AB10" s="186" t="n">
        <x:v>74189.8</x:v>
      </x:c>
      <x:c r="AC10" s="186" t="n">
        <x:v>-145146.8</x:v>
      </x:c>
      <x:c r="AD10" s="186" t="n">
        <x:v>-59138.4</x:v>
      </x:c>
      <x:c r="AE10" s="186" t="n">
        <x:v>0.42253294538736663</x:v>
      </x:c>
      <x:c r="AF10" s="186" t="n">
        <x:v>0.37935097599719436</x:v>
      </x:c>
      <x:c r="AG10" s="186" t="n">
        <x:v>0.07395445134575573</x:v>
      </x:c>
      <x:c r="AH10" s="186" t="n">
        <x:v>0.02745341614906832</x:v>
      </x:c>
      <x:c r="AI10" s="186" t="n">
        <x:v>0.04650103519668769</x:v>
      </x:c>
      <x:c r="AJ10" s="186" t="n">
        <x:v>0.00788321242469725</x:v>
      </x:c>
      <x:c r="AK10" s="186" t="n">
        <x:v>5.80674</x:v>
      </x:c>
      <x:c r="AL10" s="186" t="n">
        <x:v>-6612</x:v>
      </x:c>
      <x:c r="AM10" s="186" t="n">
        <x:v>-9374.449999999997</x:v>
      </x:c>
      <x:c r="AN10" s="186" t="n">
        <x:v>0.0005077704262195226</x:v>
      </x:c>
      <x:c r="AO10" s="186" t="n">
        <x:v>0</x:v>
      </x:c>
      <x:c r="AP10" s="186" t="n">
        <x:v>0</x:v>
      </x:c>
    </x:row>
    <x:row r="11" ht="15" hidden="0" customHeight="1">
      <x:c r="A11" s="187" t="n">
        <x:v>42675</x:v>
      </x:c>
      <x:c r="B11" s="186" t="n">
        <x:v>1238</x:v>
      </x:c>
      <x:c r="C11" s="186" t="n">
        <x:v>17.4</x:v>
      </x:c>
      <x:c r="D11" s="186" t="n">
        <x:v>-0.022888713496448276</x:v>
      </x:c>
      <x:c r="E11" s="186" t="n">
        <x:v>-0.016949152542372947</x:v>
      </x:c>
      <x:c r="F11" s="187" t="n">
        <x:v>42644</x:v>
      </x:c>
      <x:c r="G11" s="186" t="n">
        <x:v>49.7</x:v>
      </x:c>
      <x:c r="H11" s="186" t="n">
        <x:v>2.95</x:v>
      </x:c>
      <x:c r="I11" s="186" t="n">
        <x:v>1666</x:v>
      </x:c>
      <x:c r="J11" s="186" t="n">
        <x:v>4731</x:v>
      </x:c>
      <x:c r="K11" s="186" t="n">
        <x:v>1267</x:v>
      </x:c>
      <x:c r="L11" s="186" t="n">
        <x:v>959</x:v>
      </x:c>
      <x:c r="M11" s="186" t="n">
        <x:v>17.7</x:v>
      </x:c>
      <x:c r="N11" s="186" t="n">
        <x:v>71.58192090395481</x:v>
      </x:c>
      <x:c r="O11" s="186" t="n">
        <x:v>0.001905972045743276</x:v>
      </x:c>
      <x:c r="P11" s="186" t="n">
        <x:v>0.07575757575757569</x:v>
      </x:c>
      <x:c r="Q11" s="186" t="n">
        <x:v>1.7645</x:v>
      </x:c>
      <x:c r="R11" s="186" t="n">
        <x:v>0.0975</x:v>
      </x:c>
      <x:c r="S11" s="186" t="n">
        <x:v>1.6669999999999998</x:v>
      </x:c>
      <x:c r="T11" s="186" t="n">
        <x:v>113.474695</x:v>
      </x:c>
      <x:c r="U11" s="186" t="n">
        <x:v>85.74779</x:v>
      </x:c>
      <x:c r="V11" s="186" t="n">
        <x:v>79.64809</x:v>
      </x:c>
      <x:c r="W11" s="186" t="n">
        <x:v>100.30768</x:v>
      </x:c>
      <x:c r="X11" s="186" t="n">
        <x:v>0.26504368</x:v>
      </x:c>
      <x:c r="Y11" s="186" t="n">
        <x:v>0.99636793</x:v>
      </x:c>
      <x:c r="Z11" s="186" t="n">
        <x:v>1.9976441</x:v>
      </x:c>
      <x:c r="AA11" s="186" t="n">
        <x:v>155943.25</x:v>
      </x:c>
      <x:c r="AB11" s="186" t="n">
        <x:v>47380</x:v>
      </x:c>
      <x:c r="AC11" s="186" t="n">
        <x:v>-115017.5</x:v>
      </x:c>
      <x:c r="AD11" s="186" t="n">
        <x:v>-50358.75</x:v>
      </x:c>
      <x:c r="AE11" s="186" t="n">
        <x:v>0.3029131474268074</x:v>
      </x:c>
      <x:c r="AF11" s="186" t="n">
        <x:v>0.2450377871879692</x:v>
      </x:c>
      <x:c r="AG11" s="186" t="n">
        <x:v>0.13402380952380932</x:v>
      </x:c>
      <x:c r="AH11" s="186" t="n">
        <x:v>-0.018214285714285725</x:v>
      </x:c>
      <x:c r="AI11" s="186" t="n">
        <x:v>0.15223809523809484</x:v>
      </x:c>
      <x:c r="AJ11" s="186" t="n">
        <x:v>0.010308631096013654</x:v>
      </x:c>
      <x:c r="AK11" s="186" t="n">
        <x:v>-18.79744</x:v>
      </x:c>
      <x:c r="AL11" s="186" t="n">
        <x:v>-86542.75</x:v>
      </x:c>
      <x:c r="AM11" s="186" t="n">
        <x:v>-26809.800000000003</x:v>
      </x:c>
      <x:c r="AN11" s="186" t="n">
        <x:v>0.046487766041238165</x:v>
      </x:c>
      <x:c r="AO11" s="186" t="n">
        <x:v>0</x:v>
      </x:c>
      <x:c r="AP11" s="186" t="n">
        <x:v>0</x:v>
      </x:c>
    </x:row>
    <x:row r="12" ht="15" hidden="0" customHeight="1">
      <x:c r="A12" s="187" t="n">
        <x:v>42705</x:v>
      </x:c>
      <x:c r="B12" s="186" t="n">
        <x:v>1157</x:v>
      </x:c>
      <x:c r="C12" s="186" t="n">
        <x:v>16.4</x:v>
      </x:c>
      <x:c r="D12" s="186" t="n">
        <x:v>-0.06542810985460423</x:v>
      </x:c>
      <x:c r="E12" s="186" t="n">
        <x:v>-0.05747126436781613</x:v>
      </x:c>
      <x:c r="F12" s="187" t="n">
        <x:v>42675</x:v>
      </x:c>
      <x:c r="G12" s="186" t="n">
        <x:v>46.4</x:v>
      </x:c>
      <x:c r="H12" s="186" t="n">
        <x:v>2.5</x:v>
      </x:c>
      <x:c r="I12" s="186" t="n">
        <x:v>1737</x:v>
      </x:c>
      <x:c r="J12" s="186" t="n">
        <x:v>5451</x:v>
      </x:c>
      <x:c r="K12" s="186" t="n">
        <x:v>1238</x:v>
      </x:c>
      <x:c r="L12" s="186" t="n">
        <x:v>955</x:v>
      </x:c>
      <x:c r="M12" s="186" t="n">
        <x:v>17.4</x:v>
      </x:c>
      <x:c r="N12" s="186" t="n">
        <x:v>71.14942528735632</x:v>
      </x:c>
      <x:c r="O12" s="186" t="n">
        <x:v>0.15218769816106525</x:v>
      </x:c>
      <x:c r="P12" s="186" t="n">
        <x:v>-0.06639839034205242</x:v>
      </x:c>
      <x:c r="Q12" s="186" t="n">
        <x:v>2.1420000000000003</x:v>
      </x:c>
      <x:c r="R12" s="186" t="n">
        <x:v>0.32</x:v>
      </x:c>
      <x:c r="S12" s="186" t="n">
        <x:v>1.8219999999999998</x:v>
      </x:c>
      <x:c r="T12" s="186" t="n">
        <x:v>116.107515</x:v>
      </x:c>
      <x:c r="U12" s="186" t="n">
        <x:v>82.918755</x:v>
      </x:c>
      <x:c r="V12" s="186" t="n">
        <x:v>81.22565</x:v>
      </x:c>
      <x:c r="W12" s="186" t="n">
        <x:v>83.97506</x:v>
      </x:c>
      <x:c r="X12" s="186" t="n">
        <x:v>0.4768986</x:v>
      </x:c>
      <x:c r="Y12" s="186" t="n">
        <x:v>0.97943693</x:v>
      </x:c>
      <x:c r="Z12" s="186" t="n">
        <x:v>1.9178504</x:v>
      </x:c>
      <x:c r="AA12" s="186" t="n">
        <x:v>149743.25</x:v>
      </x:c>
      <x:c r="AB12" s="186" t="n">
        <x:v>48540.5</x:v>
      </x:c>
      <x:c r="AC12" s="186" t="n">
        <x:v>-115379.75</x:v>
      </x:c>
      <x:c r="AD12" s="186" t="n">
        <x:v>-51000</x:v>
      </x:c>
      <x:c r="AE12" s="186" t="n">
        <x:v>0.29959262721531976</x:v>
      </x:c>
      <x:c r="AF12" s="186" t="n">
        <x:v>0.26612370825137993</x:v>
      </x:c>
      <x:c r="AG12" s="186" t="n">
        <x:v>0.3775000000000004</x:v>
      </x:c>
      <x:c r="AH12" s="186" t="n">
        <x:v>0.2225</x:v>
      </x:c>
      <x:c r="AI12" s="186" t="n">
        <x:v>0.15500000000000003</x:v>
      </x:c>
      <x:c r="AJ12" s="186" t="n">
        <x:v>0.023201824865006326</x:v>
      </x:c>
      <x:c r="AK12" s="186" t="n">
        <x:v>-2.829033</x:v>
      </x:c>
      <x:c r="AL12" s="186" t="n">
        <x:v>-6200</x:v>
      </x:c>
      <x:c r="AM12" s="186" t="n">
        <x:v>1160.5</x:v>
      </x:c>
      <x:c r="AN12" s="186" t="n">
        <x:v>-0.00604196717742167</x:v>
      </x:c>
      <x:c r="AO12" s="186" t="n">
        <x:v>0</x:v>
      </x:c>
      <x:c r="AP12" s="186" t="n">
        <x:v>0</x:v>
      </x:c>
    </x:row>
    <x:row r="13" ht="15" hidden="0" customHeight="1">
      <x:c r="A13" s="187" t="n">
        <x:v>42736</x:v>
      </x:c>
      <x:c r="B13" s="186" t="n">
        <x:v>1192</x:v>
      </x:c>
      <x:c r="C13" s="186" t="n">
        <x:v>16.9</x:v>
      </x:c>
      <x:c r="D13" s="186" t="n">
        <x:v>0.030250648228176358</x:v>
      </x:c>
      <x:c r="E13" s="186" t="n">
        <x:v>0.030487804878048808</x:v>
      </x:c>
      <x:c r="F13" s="187" t="n">
        <x:v>42705</x:v>
      </x:c>
      <x:c r="G13" s="186" t="n">
        <x:v>54.1</x:v>
      </x:c>
      <x:c r="H13" s="186" t="n">
        <x:v>3.58</x:v>
      </x:c>
      <x:c r="I13" s="186" t="n">
        <x:v>1728</x:v>
      </x:c>
      <x:c r="J13" s="186" t="n">
        <x:v>5660</x:v>
      </x:c>
      <x:c r="K13" s="186" t="n">
        <x:v>1157</x:v>
      </x:c>
      <x:c r="L13" s="186" t="n">
        <x:v>918</x:v>
      </x:c>
      <x:c r="M13" s="186" t="n">
        <x:v>16.4</x:v>
      </x:c>
      <x:c r="N13" s="186" t="n">
        <x:v>70.54878048780489</x:v>
      </x:c>
      <x:c r="O13" s="186" t="n">
        <x:v>0.03834158869932125</x:v>
      </x:c>
      <x:c r="P13" s="186" t="n">
        <x:v>0.16594827586206895</x:v>
      </x:c>
      <x:c r="Q13" s="186" t="n">
        <x:v>2.491904761904762</x:v>
      </x:c>
      <x:c r="R13" s="186" t="n">
        <x:v>0.5561904761904761</x:v>
      </x:c>
      <x:c r="S13" s="186" t="n">
        <x:v>1.9357142857142857</x:v>
      </x:c>
      <x:c r="T13" s="186" t="n">
        <x:v>117.90482857142858</x:v>
      </x:c>
      <x:c r="U13" s="186" t="n">
        <x:v>102.180466</x:v>
      </x:c>
      <x:c r="V13" s="186" t="n">
        <x:v>93.93662</x:v>
      </x:c>
      <x:c r="W13" s="186" t="n">
        <x:v>113.97946</x:v>
      </x:c>
      <x:c r="X13" s="186" t="n">
        <x:v>0.5850464</x:v>
      </x:c>
      <x:c r="Y13" s="186" t="n">
        <x:v>1.2559712</x:v>
      </x:c>
      <x:c r="Z13" s="186" t="n">
        <x:v>2.2972465</x:v>
      </x:c>
      <x:c r="AA13" s="186" t="n">
        <x:v>71029.6</x:v>
      </x:c>
      <x:c r="AB13" s="186" t="n">
        <x:v>42288.8</x:v>
      </x:c>
      <x:c r="AC13" s="186" t="n">
        <x:v>-81796</x:v>
      </x:c>
      <x:c r="AD13" s="186" t="n">
        <x:v>-49026</x:v>
      </x:c>
      <x:c r="AE13" s="186" t="n">
        <x:v>0.17777047619481146</x:v>
      </x:c>
      <x:c r="AF13" s="186" t="n">
        <x:v>0.2635872201160598</x:v>
      </x:c>
      <x:c r="AG13" s="186" t="n">
        <x:v>0.3499047619047615</x:v>
      </x:c>
      <x:c r="AH13" s="186" t="n">
        <x:v>0.23619047619047612</x:v>
      </x:c>
      <x:c r="AI13" s="186" t="n">
        <x:v>0.11371428571428588</x:v>
      </x:c>
      <x:c r="AJ13" s="186" t="n">
        <x:v>0.015479735066490585</x:v>
      </x:c>
      <x:c r="AK13" s="186" t="n">
        <x:v>19.261711</x:v>
      </x:c>
      <x:c r="AL13" s="186" t="n">
        <x:v>-78713.65</x:v>
      </x:c>
      <x:c r="AM13" s="186" t="n">
        <x:v>-6251.699999999997</x:v>
      </x:c>
      <x:c r="AN13" s="186" t="n">
        <x:v>-0.008442018992079858</x:v>
      </x:c>
      <x:c r="AO13" s="186" t="n">
        <x:v>1</x:v>
      </x:c>
      <x:c r="AP13" s="186" t="n">
        <x:v>1</x:v>
      </x:c>
    </x:row>
    <x:row r="14" ht="15" hidden="0" customHeight="1">
      <x:c r="A14" s="187" t="n">
        <x:v>42767</x:v>
      </x:c>
      <x:c r="B14" s="186" t="n">
        <x:v>1234</x:v>
      </x:c>
      <x:c r="C14" s="186" t="n">
        <x:v>17.9</x:v>
      </x:c>
      <x:c r="D14" s="186" t="n">
        <x:v>0.03523489932885915</x:v>
      </x:c>
      <x:c r="E14" s="186" t="n">
        <x:v>0.059171597633136175</x:v>
      </x:c>
      <x:c r="F14" s="187" t="n">
        <x:v>42736</x:v>
      </x:c>
      <x:c r="G14" s="186" t="n">
        <x:v>54.9</x:v>
      </x:c>
      <x:c r="H14" s="186" t="n">
        <x:v>3.26</x:v>
      </x:c>
      <x:c r="I14" s="186" t="n">
        <x:v>1791</x:v>
      </x:c>
      <x:c r="J14" s="186" t="n">
        <x:v>5755</x:v>
      </x:c>
      <x:c r="K14" s="186" t="n">
        <x:v>1192</x:v>
      </x:c>
      <x:c r="L14" s="186" t="n">
        <x:v>971</x:v>
      </x:c>
      <x:c r="M14" s="186" t="n">
        <x:v>16.9</x:v>
      </x:c>
      <x:c r="N14" s="186" t="n">
        <x:v>70.53254437869823</x:v>
      </x:c>
      <x:c r="O14" s="186" t="n">
        <x:v>0.016784452296819685</x:v>
      </x:c>
      <x:c r="P14" s="186" t="n">
        <x:v>0.014787430683918634</x:v>
      </x:c>
      <x:c r="Q14" s="186" t="n">
        <x:v>2.4325</x:v>
      </x:c>
      <x:c r="R14" s="186" t="n">
        <x:v>0.421</x:v>
      </x:c>
      <x:c r="S14" s="186" t="n">
        <x:v>2.0115</x:v>
      </x:c>
      <x:c r="T14" s="186" t="n">
        <x:v>117.78577894736841</x:v>
      </x:c>
      <x:c r="U14" s="186" t="n">
        <x:v>105.20123</x:v>
      </x:c>
      <x:c r="V14" s="186" t="n">
        <x:v>108.277</x:v>
      </x:c>
      <x:c r="W14" s="186" t="n">
        <x:v>103.17117</x:v>
      </x:c>
      <x:c r="X14" s="186" t="n">
        <x:v>0.64323336</x:v>
      </x:c>
      <x:c r="Y14" s="186" t="n">
        <x:v>1.2358185</x:v>
      </x:c>
      <x:c r="Z14" s="186" t="n">
        <x:v>2.5729334</x:v>
      </x:c>
      <x:c r="AA14" s="186" t="n">
        <x:v>52656.25</x:v>
      </x:c>
      <x:c r="AB14" s="186" t="n">
        <x:v>49246.5</x:v>
      </x:c>
      <x:c r="AC14" s="186" t="n">
        <x:v>-76566.5</x:v>
      </x:c>
      <x:c r="AD14" s="186" t="n">
        <x:v>-50745.5</x:v>
      </x:c>
      <x:c r="AE14" s="186" t="n">
        <x:v>0.11516643490484771</x:v>
      </x:c>
      <x:c r="AF14" s="186" t="n">
        <x:v>0.2896633317148229</x:v>
      </x:c>
      <x:c r="AG14" s="186" t="n">
        <x:v>-0.05940476190476174</x:v>
      </x:c>
      <x:c r="AH14" s="186" t="n">
        <x:v>-0.13519047619047614</x:v>
      </x:c>
      <x:c r="AI14" s="186" t="n">
        <x:v>0.07578571428571412</x:v>
      </x:c>
      <x:c r="AJ14" s="186" t="n">
        <x:v>-0.0010097094877504764</x:v>
      </x:c>
      <x:c r="AK14" s="186" t="n">
        <x:v>3.0207672</x:v>
      </x:c>
      <x:c r="AL14" s="186" t="n">
        <x:v>-18373.350000000006</x:v>
      </x:c>
      <x:c r="AM14" s="186" t="n">
        <x:v>6957.699999999997</x:v>
      </x:c>
      <x:c r="AN14" s="186" t="n">
        <x:v>-0.0002301401809413628</x:v>
      </x:c>
      <x:c r="AO14" s="186" t="n">
        <x:v>1</x:v>
      </x:c>
      <x:c r="AP14" s="186" t="n">
        <x:v>1</x:v>
      </x:c>
    </x:row>
    <x:row r="15" ht="15" hidden="0" customHeight="1">
      <x:c r="A15" s="187" t="n">
        <x:v>42795</x:v>
      </x:c>
      <x:c r="B15" s="186" t="n">
        <x:v>1231</x:v>
      </x:c>
      <x:c r="C15" s="186" t="n">
        <x:v>17.6</x:v>
      </x:c>
      <x:c r="D15" s="186" t="n">
        <x:v>-0.002431118314424663</x:v>
      </x:c>
      <x:c r="E15" s="186" t="n">
        <x:v>-0.016759776536312665</x:v>
      </x:c>
      <x:c r="F15" s="187" t="n">
        <x:v>42767</x:v>
      </x:c>
      <x:c r="G15" s="186" t="n">
        <x:v>55.5</x:v>
      </x:c>
      <x:c r="H15" s="186" t="n">
        <x:v>2.82</x:v>
      </x:c>
      <x:c r="I15" s="186" t="n">
        <x:v>1861</x:v>
      </x:c>
      <x:c r="J15" s="186" t="n">
        <x:v>5941</x:v>
      </x:c>
      <x:c r="K15" s="186" t="n">
        <x:v>1234</x:v>
      </x:c>
      <x:c r="L15" s="186" t="n">
        <x:v>1008</x:v>
      </x:c>
      <x:c r="M15" s="186" t="n">
        <x:v>17.9</x:v>
      </x:c>
      <x:c r="N15" s="186" t="n">
        <x:v>68.93854748603353</x:v>
      </x:c>
      <x:c r="O15" s="186" t="n">
        <x:v>0.032319721980886174</x:v>
      </x:c>
      <x:c r="P15" s="186" t="n">
        <x:v>0.010928961748633892</x:v>
      </x:c>
      <x:c r="Q15" s="186" t="n">
        <x:v>2.4189473684210525</x:v>
      </x:c>
      <x:c r="R15" s="186" t="n">
        <x:v>0.39999999999999997</x:v>
      </x:c>
      <x:c r="S15" s="186" t="n">
        <x:v>2.0189473684210526</x:v>
      </x:c>
      <x:c r="T15" s="186" t="n">
        <x:v>116.12038947368421</x:v>
      </x:c>
      <x:c r="U15" s="186" t="n">
        <x:v>114.20636</x:v>
      </x:c>
      <x:c r="V15" s="186" t="n">
        <x:v>125.66468</x:v>
      </x:c>
      <x:c r="W15" s="186" t="n">
        <x:v>97.1516</x:v>
      </x:c>
      <x:c r="X15" s="186" t="n">
        <x:v>0.7214451</x:v>
      </x:c>
      <x:c r="Y15" s="186" t="n">
        <x:v>1.079414</x:v>
      </x:c>
      <x:c r="Z15" s="186" t="n">
        <x:v>3.0234606</x:v>
      </x:c>
      <x:c r="AA15" s="186" t="n">
        <x:v>70413.25</x:v>
      </x:c>
      <x:c r="AB15" s="186" t="n">
        <x:v>69805.75</x:v>
      </x:c>
      <x:c r="AC15" s="186" t="n">
        <x:v>-92811</x:v>
      </x:c>
      <x:c r="AD15" s="186" t="n">
        <x:v>-60953.75</x:v>
      </x:c>
      <x:c r="AE15" s="186" t="n">
        <x:v>0.17001356514917826</x:v>
      </x:c>
      <x:c r="AF15" s="186" t="n">
        <x:v>0.3555916723309084</x:v>
      </x:c>
      <x:c r="AG15" s="186" t="n">
        <x:v>-0.013552631578947594</x:v>
      </x:c>
      <x:c r="AH15" s="186" t="n">
        <x:v>-0.02100000000000002</x:v>
      </x:c>
      <x:c r="AI15" s="186" t="n">
        <x:v>0.007447368421052758</x:v>
      </x:c>
      <x:c r="AJ15" s="186" t="n">
        <x:v>-0.014139138770125736</x:v>
      </x:c>
      <x:c r="AK15" s="186" t="n">
        <x:v>9.005127</x:v>
      </x:c>
      <x:c r="AL15" s="186" t="n">
        <x:v>17757</x:v>
      </x:c>
      <x:c r="AM15" s="186" t="n">
        <x:v>20559.25</x:v>
      </x:c>
      <x:c r="AN15" s="186" t="n">
        <x:v>-0.02259945258895435</x:v>
      </x:c>
      <x:c r="AO15" s="186" t="n">
        <x:v>0</x:v>
      </x:c>
      <x:c r="AP15" s="186" t="n">
        <x:v>0</x:v>
      </x:c>
    </x:row>
    <x:row r="16" ht="15" hidden="0" customHeight="1">
      <x:c r="A16" s="187" t="n">
        <x:v>42826</x:v>
      </x:c>
      <x:c r="B16" s="186" t="n">
        <x:v>1267</x:v>
      </x:c>
      <x:c r="C16" s="186" t="n">
        <x:v>18</x:v>
      </x:c>
      <x:c r="D16" s="186" t="n">
        <x:v>0.02924451665312744</x:v>
      </x:c>
      <x:c r="E16" s="186" t="n">
        <x:v>0.022727272727272707</x:v>
      </x:c>
      <x:c r="F16" s="187" t="n">
        <x:v>42795</x:v>
      </x:c>
      <x:c r="G16" s="186" t="n">
        <x:v>52</x:v>
      </x:c>
      <x:c r="H16" s="186" t="n">
        <x:v>2.89</x:v>
      </x:c>
      <x:c r="I16" s="186" t="n">
        <x:v>1901</x:v>
      </x:c>
      <x:c r="J16" s="186" t="n">
        <x:v>5825</x:v>
      </x:c>
      <x:c r="K16" s="186" t="n">
        <x:v>1231</x:v>
      </x:c>
      <x:c r="L16" s="186" t="n">
        <x:v>963</x:v>
      </x:c>
      <x:c r="M16" s="186" t="n">
        <x:v>17.6</x:v>
      </x:c>
      <x:c r="N16" s="186" t="n">
        <x:v>69.94318181818181</x:v>
      </x:c>
      <x:c r="O16" s="186" t="n">
        <x:v>-0.019525332435616938</x:v>
      </x:c>
      <x:c r="P16" s="186" t="n">
        <x:v>-0.06306306306306309</x:v>
      </x:c>
      <x:c r="Q16" s="186" t="n">
        <x:v>2.4817391304347827</x:v>
      </x:c>
      <x:c r="R16" s="186" t="n">
        <x:v>0.4856521739130435</x:v>
      </x:c>
      <x:c r="S16" s="186" t="n">
        <x:v>1.9960869565217394</x:v>
      </x:c>
      <x:c r="T16" s="186" t="n">
        <x:v>115.65584782608695</x:v>
      </x:c>
      <x:c r="U16" s="186" t="n">
        <x:v>96.63588</x:v>
      </x:c>
      <x:c r="V16" s="186" t="n">
        <x:v>95.838425</x:v>
      </x:c>
      <x:c r="W16" s="186" t="n">
        <x:v>95.674545</x:v>
      </x:c>
      <x:c r="X16" s="186" t="n">
        <x:v>0.6296866</x:v>
      </x:c>
      <x:c r="Y16" s="186" t="n">
        <x:v>0.7931167</x:v>
      </x:c>
      <x:c r="Z16" s="186" t="n">
        <x:v>2.1438184</x:v>
      </x:c>
      <x:c r="AA16" s="186" t="n">
        <x:v>79621</x:v>
      </x:c>
      <x:c r="AB16" s="186" t="n">
        <x:v>76343.4</x:v>
      </x:c>
      <x:c r="AC16" s="186" t="n">
        <x:v>-101152.8</x:v>
      </x:c>
      <x:c r="AD16" s="186" t="n">
        <x:v>-63392.2</x:v>
      </x:c>
      <x:c r="AE16" s="186" t="n">
        <x:v>0.18020120672807702</x:v>
      </x:c>
      <x:c r="AF16" s="186" t="n">
        <x:v>0.39313005018565594</x:v>
      </x:c>
      <x:c r="AG16" s="186" t="n">
        <x:v>0.06279176201373016</x:v>
      </x:c>
      <x:c r="AH16" s="186" t="n">
        <x:v>0.08565217391304353</x:v>
      </x:c>
      <x:c r="AI16" s="186" t="n">
        <x:v>-0.022860411899313204</x:v>
      </x:c>
      <x:c r="AJ16" s="186" t="n">
        <x:v>-0.00400051747761776</x:v>
      </x:c>
      <x:c r="AK16" s="186" t="n">
        <x:v>-17.57048</x:v>
      </x:c>
      <x:c r="AL16" s="186" t="n">
        <x:v>9207.75</x:v>
      </x:c>
      <x:c r="AM16" s="186" t="n">
        <x:v>6537.649999999994</x:v>
      </x:c>
      <x:c r="AN16" s="186" t="n">
        <x:v>0.014572896714306616</x:v>
      </x:c>
      <x:c r="AO16" s="186" t="n">
        <x:v>1</x:v>
      </x:c>
      <x:c r="AP16" s="186" t="n">
        <x:v>1</x:v>
      </x:c>
    </x:row>
    <x:row r="17" ht="15" hidden="0" customHeight="1">
      <x:c r="A17" s="187" t="n">
        <x:v>42856</x:v>
      </x:c>
      <x:c r="B17" s="186" t="n">
        <x:v>1246</x:v>
      </x:c>
      <x:c r="C17" s="186" t="n">
        <x:v>16.7</x:v>
      </x:c>
      <x:c r="D17" s="186" t="n">
        <x:v>-0.016574585635359074</x:v>
      </x:c>
      <x:c r="E17" s="186" t="n">
        <x:v>-0.0722222222222223</x:v>
      </x:c>
      <x:c r="F17" s="187" t="n">
        <x:v>42826</x:v>
      </x:c>
      <x:c r="G17" s="186" t="n">
        <x:v>53</x:v>
      </x:c>
      <x:c r="H17" s="186" t="n">
        <x:v>3.08</x:v>
      </x:c>
      <x:c r="I17" s="186" t="n">
        <x:v>1921</x:v>
      </x:c>
      <x:c r="J17" s="186" t="n">
        <x:v>5684</x:v>
      </x:c>
      <x:c r="K17" s="186" t="n">
        <x:v>1267</x:v>
      </x:c>
      <x:c r="L17" s="186" t="n">
        <x:v>961</x:v>
      </x:c>
      <x:c r="M17" s="186" t="n">
        <x:v>18</x:v>
      </x:c>
      <x:c r="N17" s="186" t="n">
        <x:v>70.38888888888889</x:v>
      </x:c>
      <x:c r="O17" s="186" t="n">
        <x:v>-0.02420600858369104</x:v>
      </x:c>
      <x:c r="P17" s="186" t="n">
        <x:v>0.019230769230769162</x:v>
      </x:c>
      <x:c r="Q17" s="186" t="n">
        <x:v>2.2973684210526315</x:v>
      </x:c>
      <x:c r="R17" s="186" t="n">
        <x:v>0.3910526315789474</x:v>
      </x:c>
      <x:c r="S17" s="186" t="n">
        <x:v>1.9063157894736842</x:v>
      </x:c>
      <x:c r="T17" s="186" t="n">
        <x:v>114.769795</x:v>
      </x:c>
      <x:c r="U17" s="186" t="n">
        <x:v>119.45992</x:v>
      </x:c>
      <x:c r="V17" s="186" t="n">
        <x:v>127.44655</x:v>
      </x:c>
      <x:c r="W17" s="186" t="n">
        <x:v>108.06884</x:v>
      </x:c>
      <x:c r="X17" s="186" t="n">
        <x:v>1.07702</x:v>
      </x:c>
      <x:c r="Y17" s="186" t="n">
        <x:v>1.4395293</x:v>
      </x:c>
      <x:c r="Z17" s="186" t="n">
        <x:v>3.0787013</x:v>
      </x:c>
      <x:c r="AA17" s="186" t="n">
        <x:v>138438.25</x:v>
      </x:c>
      <x:c r="AB17" s="186" t="n">
        <x:v>92038.75</x:v>
      </x:c>
      <x:c r="AC17" s="186" t="n">
        <x:v>-139993.75</x:v>
      </x:c>
      <x:c r="AD17" s="186" t="n">
        <x:v>-72043</x:v>
      </x:c>
      <x:c r="AE17" s="186" t="n">
        <x:v>0.3009672358944394</x:v>
      </x:c>
      <x:c r="AF17" s="186" t="n">
        <x:v>0.41705770288377036</x:v>
      </x:c>
      <x:c r="AG17" s="186" t="n">
        <x:v>-0.18437070938215117</x:v>
      </x:c>
      <x:c r="AH17" s="186" t="n">
        <x:v>-0.09459954233409612</x:v>
      </x:c>
      <x:c r="AI17" s="186" t="n">
        <x:v>-0.08977116704805521</x:v>
      </x:c>
      <x:c r="AJ17" s="186" t="n">
        <x:v>-0.007661115652529027</x:v>
      </x:c>
      <x:c r="AK17" s="186" t="n">
        <x:v>22.824043</x:v>
      </x:c>
      <x:c r="AL17" s="186" t="n">
        <x:v>58817.25</x:v>
      </x:c>
      <x:c r="AM17" s="186" t="n">
        <x:v>15695.350000000006</x:v>
      </x:c>
      <x:c r="AN17" s="186" t="n">
        <x:v>0.006372416283058069</x:v>
      </x:c>
      <x:c r="AO17" s="186" t="n">
        <x:v>0</x:v>
      </x:c>
      <x:c r="AP17" s="186" t="n">
        <x:v>0</x:v>
      </x:c>
    </x:row>
    <x:row r="18" ht="15" hidden="0" customHeight="1">
      <x:c r="A18" s="187" t="n">
        <x:v>42887</x:v>
      </x:c>
      <x:c r="B18" s="186" t="n">
        <x:v>1260</x:v>
      </x:c>
      <x:c r="C18" s="186" t="n">
        <x:v>16.9</x:v>
      </x:c>
      <x:c r="D18" s="186" t="n">
        <x:v>0.011235955056179803</x:v>
      </x:c>
      <x:c r="E18" s="186" t="n">
        <x:v>0.011976047904191489</x:v>
      </x:c>
      <x:c r="F18" s="187" t="n">
        <x:v>42856</x:v>
      </x:c>
      <x:c r="G18" s="186" t="n">
        <x:v>50.9</x:v>
      </x:c>
      <x:c r="H18" s="186" t="n">
        <x:v>3.12</x:v>
      </x:c>
      <x:c r="I18" s="186" t="n">
        <x:v>1913</x:v>
      </x:c>
      <x:c r="J18" s="186" t="n">
        <x:v>5600</x:v>
      </x:c>
      <x:c r="K18" s="186" t="n">
        <x:v>1246</x:v>
      </x:c>
      <x:c r="L18" s="186" t="n">
        <x:v>930</x:v>
      </x:c>
      <x:c r="M18" s="186" t="n">
        <x:v>16.7</x:v>
      </x:c>
      <x:c r="N18" s="186" t="n">
        <x:v>74.61077844311377</x:v>
      </x:c>
      <x:c r="O18" s="186" t="n">
        <x:v>-0.014778325123152691</x:v>
      </x:c>
      <x:c r="P18" s="186" t="n">
        <x:v>-0.03962264150943395</x:v>
      </x:c>
      <x:c r="Q18" s="186" t="n">
        <x:v>2.3036363636363637</x:v>
      </x:c>
      <x:c r="R18" s="186" t="n">
        <x:v>0.4668181818181818</x:v>
      </x:c>
      <x:c r="S18" s="186" t="n">
        <x:v>1.836818181818182</x:v>
      </x:c>
      <x:c r="T18" s="186" t="n">
        <x:v>114.25913181818181</x:v>
      </x:c>
      <x:c r="U18" s="186" t="n">
        <x:v>102.57996</x:v>
      </x:c>
      <x:c r="V18" s="186" t="n">
        <x:v>102.35461</x:v>
      </x:c>
      <x:c r="W18" s="186" t="n">
        <x:v>99.7048</x:v>
      </x:c>
      <x:c r="X18" s="186" t="n">
        <x:v>0.69049555</x:v>
      </x:c>
      <x:c r="Y18" s="186" t="n">
        <x:v>0.8681966</x:v>
      </x:c>
      <x:c r="Z18" s="186" t="n">
        <x:v>2.518278</x:v>
      </x:c>
      <x:c r="AA18" s="186" t="n">
        <x:v>104122.25</x:v>
      </x:c>
      <x:c r="AB18" s="186" t="n">
        <x:v>33796</x:v>
      </x:c>
      <x:c r="AC18" s="186" t="n">
        <x:v>-141676.5</x:v>
      </x:c>
      <x:c r="AD18" s="186" t="n">
        <x:v>-48398.25</x:v>
      </x:c>
      <x:c r="AE18" s="186" t="n">
        <x:v>0.2309986003830649</x:v>
      </x:c>
      <x:c r="AF18" s="186" t="n">
        <x:v>0.17146801225256458</x:v>
      </x:c>
      <x:c r="AG18" s="186" t="n">
        <x:v>0.0062679425837322</x:v>
      </x:c>
      <x:c r="AH18" s="186" t="n">
        <x:v>0.07576555023923442</x:v>
      </x:c>
      <x:c r="AI18" s="186" t="n">
        <x:v>-0.06949760765550228</x:v>
      </x:c>
      <x:c r="AJ18" s="186" t="n">
        <x:v>-0.004449456251256589</x:v>
      </x:c>
      <x:c r="AK18" s="186" t="n">
        <x:v>-16.87996</x:v>
      </x:c>
      <x:c r="AL18" s="186" t="n">
        <x:v>-34316</x:v>
      </x:c>
      <x:c r="AM18" s="186" t="n">
        <x:v>-58242.75</x:v>
      </x:c>
      <x:c r="AN18" s="186" t="n">
        <x:v>0.05997948853673862</x:v>
      </x:c>
      <x:c r="AO18" s="186" t="n">
        <x:v>1</x:v>
      </x:c>
      <x:c r="AP18" s="186" t="n">
        <x:v>1</x:v>
      </x:c>
    </x:row>
    <x:row r="19" ht="15" hidden="0" customHeight="1">
      <x:c r="A19" s="187" t="n">
        <x:v>42917</x:v>
      </x:c>
      <x:c r="B19" s="186" t="n">
        <x:v>1237</x:v>
      </x:c>
      <x:c r="C19" s="186" t="n">
        <x:v>16.2</x:v>
      </x:c>
      <x:c r="D19" s="186" t="n">
        <x:v>-0.0182539682539683</x:v>
      </x:c>
      <x:c r="E19" s="186" t="n">
        <x:v>-0.041420118343195256</x:v>
      </x:c>
      <x:c r="F19" s="187" t="n">
        <x:v>42887</x:v>
      </x:c>
      <x:c r="G19" s="186" t="n">
        <x:v>46.9</x:v>
      </x:c>
      <x:c r="H19" s="186" t="n">
        <x:v>2.94</x:v>
      </x:c>
      <x:c r="I19" s="186" t="n">
        <x:v>1885</x:v>
      </x:c>
      <x:c r="J19" s="186" t="n">
        <x:v>5720</x:v>
      </x:c>
      <x:c r="K19" s="186" t="n">
        <x:v>1260</x:v>
      </x:c>
      <x:c r="L19" s="186" t="n">
        <x:v>931</x:v>
      </x:c>
      <x:c r="M19" s="186" t="n">
        <x:v>16.9</x:v>
      </x:c>
      <x:c r="N19" s="186" t="n">
        <x:v>74.55621301775149</x:v>
      </x:c>
      <x:c r="O19" s="186" t="n">
        <x:v>0.021428571428571352</x:v>
      </x:c>
      <x:c r="P19" s="186" t="n">
        <x:v>-0.07858546168958747</x:v>
      </x:c>
      <x:c r="Q19" s="186" t="n">
        <x:v>2.186818181818182</x:v>
      </x:c>
      <x:c r="R19" s="186" t="n">
        <x:v>0.4581818181818182</x:v>
      </x:c>
      <x:c r="S19" s="186" t="n">
        <x:v>1.7286363636363637</x:v>
      </x:c>
      <x:c r="T19" s="186" t="n">
        <x:v>112.76027272727273</x:v>
      </x:c>
      <x:c r="U19" s="186" t="n">
        <x:v>126.78902</x:v>
      </x:c>
      <x:c r="V19" s="186" t="n">
        <x:v>113.168465</x:v>
      </x:c>
      <x:c r="W19" s="186" t="n">
        <x:v>146.67166</x:v>
      </x:c>
      <x:c r="X19" s="186" t="n">
        <x:v>0.5417957</x:v>
      </x:c>
      <x:c r="Y19" s="186" t="n">
        <x:v>0.8255934</x:v>
      </x:c>
      <x:c r="Z19" s="186" t="n">
        <x:v>2.858617</x:v>
      </x:c>
      <x:c r="AA19" s="186" t="n">
        <x:v>121941.8</x:v>
      </x:c>
      <x:c r="AB19" s="186" t="n">
        <x:v>34876.8</x:v>
      </x:c>
      <x:c r="AC19" s="186" t="n">
        <x:v>-156866.8</x:v>
      </x:c>
      <x:c r="AD19" s="186" t="n">
        <x:v>-51127.2</x:v>
      </x:c>
      <x:c r="AE19" s="186" t="n">
        <x:v>0.26365185290705473</x:v>
      </x:c>
      <x:c r="AF19" s="186" t="n">
        <x:v>0.170631669771765</x:v>
      </x:c>
      <x:c r="AG19" s="186" t="n">
        <x:v>-0.11681818181818171</x:v>
      </x:c>
      <x:c r="AH19" s="186" t="n">
        <x:v>-0.008636363636363609</x:v>
      </x:c>
      <x:c r="AI19" s="186" t="n">
        <x:v>-0.10818181818181816</x:v>
      </x:c>
      <x:c r="AJ19" s="186" t="n">
        <x:v>-0.013118068263411775</x:v>
      </x:c>
      <x:c r="AK19" s="186" t="n">
        <x:v>24.209053</x:v>
      </x:c>
      <x:c r="AL19" s="186" t="n">
        <x:v>17819.550000000003</x:v>
      </x:c>
      <x:c r="AM19" s="186" t="n">
        <x:v>1080.800000000003</x:v>
      </x:c>
      <x:c r="AN19" s="186" t="n">
        <x:v>-0.0007313343527689531</x:v>
      </x:c>
      <x:c r="AO19" s="186" t="n">
        <x:v>0</x:v>
      </x:c>
      <x:c r="AP19" s="186" t="n">
        <x:v>0</x:v>
      </x:c>
    </x:row>
    <x:row r="20" ht="15" hidden="0" customHeight="1">
      <x:c r="A20" s="187" t="n">
        <x:v>42948</x:v>
      </x:c>
      <x:c r="B20" s="186" t="n">
        <x:v>1283</x:v>
      </x:c>
      <x:c r="C20" s="186" t="n">
        <x:v>17</x:v>
      </x:c>
      <x:c r="D20" s="186" t="n">
        <x:v>0.037186742118027416</x:v>
      </x:c>
      <x:c r="E20" s="186" t="n">
        <x:v>0.04938271604938271</x:v>
      </x:c>
      <x:c r="F20" s="187" t="n">
        <x:v>42917</x:v>
      </x:c>
      <x:c r="G20" s="186" t="n">
        <x:v>48.7</x:v>
      </x:c>
      <x:c r="H20" s="186" t="n">
        <x:v>2.96</x:v>
      </x:c>
      <x:c r="I20" s="186" t="n">
        <x:v>1903</x:v>
      </x:c>
      <x:c r="J20" s="186" t="n">
        <x:v>5985</x:v>
      </x:c>
      <x:c r="K20" s="186" t="n">
        <x:v>1237</x:v>
      </x:c>
      <x:c r="L20" s="186" t="n">
        <x:v>919</x:v>
      </x:c>
      <x:c r="M20" s="186" t="n">
        <x:v>16.2</x:v>
      </x:c>
      <x:c r="N20" s="186" t="n">
        <x:v>76.35802469135803</x:v>
      </x:c>
      <x:c r="O20" s="186" t="n">
        <x:v>0.046328671328671245</x:v>
      </x:c>
      <x:c r="P20" s="186" t="n">
        <x:v>0.03837953091684443</x:v>
      </x:c>
      <x:c r="Q20" s="186" t="n">
        <x:v>2.318</x:v>
      </x:c>
      <x:c r="R20" s="186" t="n">
        <x:v>0.546</x:v>
      </x:c>
      <x:c r="S20" s="186" t="n">
        <x:v>1.7719999999999998</x:v>
      </x:c>
      <x:c r="T20" s="186" t="n">
        <x:v>111.060555</x:v>
      </x:c>
      <x:c r="U20" s="186" t="n">
        <x:v>102.81346</x:v>
      </x:c>
      <x:c r="V20" s="186" t="n">
        <x:v>125.599205</x:v>
      </x:c>
      <x:c r="W20" s="186" t="n">
        <x:v>71.955055</x:v>
      </x:c>
      <x:c r="X20" s="186" t="n">
        <x:v>0.9060563</x:v>
      </x:c>
      <x:c r="Y20" s="186" t="n">
        <x:v>1.3723308</x:v>
      </x:c>
      <x:c r="Z20" s="186" t="n">
        <x:v>2.6227944</x:v>
      </x:c>
      <x:c r="AA20" s="186" t="n">
        <x:v>39862</x:v>
      </x:c>
      <x:c r="AB20" s="186" t="n">
        <x:v>-1015.25</x:v>
      </x:c>
      <x:c r="AC20" s="186" t="n">
        <x:v>-126071.25</x:v>
      </x:c>
      <x:c r="AD20" s="186" t="n">
        <x:v>-35589.5</x:v>
      </x:c>
      <x:c r="AE20" s="186" t="n">
        <x:v>0.08523725234086252</x:v>
      </x:c>
      <x:c r="AF20" s="186" t="n">
        <x:v>-0.004717588152495133</x:v>
      </x:c>
      <x:c r="AG20" s="186" t="n">
        <x:v>0.13118181818181807</x:v>
      </x:c>
      <x:c r="AH20" s="186" t="n">
        <x:v>0.08781818181818185</x:v>
      </x:c>
      <x:c r="AI20" s="186" t="n">
        <x:v>0.04336363636363605</x:v>
      </x:c>
      <x:c r="AJ20" s="186" t="n">
        <x:v>-0.015073728416600707</x:v>
      </x:c>
      <x:c r="AK20" s="186" t="n">
        <x:v>-23.975555</x:v>
      </x:c>
      <x:c r="AL20" s="186" t="n">
        <x:v>-82079.8</x:v>
      </x:c>
      <x:c r="AM20" s="186" t="n">
        <x:v>-35892.05</x:v>
      </x:c>
      <x:c r="AN20" s="186" t="n">
        <x:v>0.02416715657456381</x:v>
      </x:c>
      <x:c r="AO20" s="186" t="n">
        <x:v>1</x:v>
      </x:c>
      <x:c r="AP20" s="186" t="n">
        <x:v>1</x:v>
      </x:c>
    </x:row>
    <x:row r="21" ht="15" hidden="0" customHeight="1">
      <x:c r="A21" s="187" t="n">
        <x:v>42979</x:v>
      </x:c>
      <x:c r="B21" s="186" t="n">
        <x:v>1314</x:v>
      </x:c>
      <x:c r="C21" s="186" t="n">
        <x:v>17.4</x:v>
      </x:c>
      <x:c r="D21" s="186" t="n">
        <x:v>0.024162120031177015</x:v>
      </x:c>
      <x:c r="E21" s="186" t="n">
        <x:v>0.0235294117647058</x:v>
      </x:c>
      <x:c r="F21" s="187" t="n">
        <x:v>42948</x:v>
      </x:c>
      <x:c r="G21" s="186" t="n">
        <x:v>51.4</x:v>
      </x:c>
      <x:c r="H21" s="186" t="n">
        <x:v>2.88</x:v>
      </x:c>
      <x:c r="I21" s="186" t="n">
        <x:v>2030</x:v>
      </x:c>
      <x:c r="J21" s="186" t="n">
        <x:v>6486</x:v>
      </x:c>
      <x:c r="K21" s="186" t="n">
        <x:v>1283</x:v>
      </x:c>
      <x:c r="L21" s="186" t="n">
        <x:v>973</x:v>
      </x:c>
      <x:c r="M21" s="186" t="n">
        <x:v>17</x:v>
      </x:c>
      <x:c r="N21" s="186" t="n">
        <x:v>75.47058823529412</x:v>
      </x:c>
      <x:c r="O21" s="186" t="n">
        <x:v>0.0837092731829574</x:v>
      </x:c>
      <x:c r="P21" s="186" t="n">
        <x:v>0.05544147843942504</x:v>
      </x:c>
      <x:c r="Q21" s="186" t="n">
        <x:v>2.2091304347826086</x:v>
      </x:c>
      <x:c r="R21" s="186" t="n">
        <x:v>0.43347826086956526</x:v>
      </x:c>
      <x:c r="S21" s="186" t="n">
        <x:v>1.7756521739130435</x:v>
      </x:c>
      <x:c r="T21" s="186" t="n">
        <x:v>109.90586086956522</x:v>
      </x:c>
      <x:c r="U21" s="186" t="n">
        <x:v>138.53162</x:v>
      </x:c>
      <x:c r="V21" s="186" t="n">
        <x:v>160.0231</x:v>
      </x:c>
      <x:c r="W21" s="186" t="n">
        <x:v>108.43595</x:v>
      </x:c>
      <x:c r="X21" s="186" t="n">
        <x:v>1.2550737</x:v>
      </x:c>
      <x:c r="Y21" s="186" t="n">
        <x:v>1.0841701</x:v>
      </x:c>
      <x:c r="Z21" s="186" t="n">
        <x:v>3.5569322</x:v>
      </x:c>
      <x:c r="AA21" s="186" t="n">
        <x:v>156269.5</x:v>
      </x:c>
      <x:c r="AB21" s="186" t="n">
        <x:v>32940.25</x:v>
      </x:c>
      <x:c r="AC21" s="186" t="n">
        <x:v>-159943.5</x:v>
      </x:c>
      <x:c r="AD21" s="186" t="n">
        <x:v>-44999</x:v>
      </x:c>
      <x:c r="AE21" s="186" t="n">
        <x:v>0.3310707551942829</x:v>
      </x:c>
      <x:c r="AF21" s="186" t="n">
        <x:v>0.17127952150706335</x:v>
      </x:c>
      <x:c r="AG21" s="186" t="n">
        <x:v>-0.10886956521739144</x:v>
      </x:c>
      <x:c r="AH21" s="186" t="n">
        <x:v>-0.11252173913043478</x:v>
      </x:c>
      <x:c r="AI21" s="186" t="n">
        <x:v>0.0036521739130437325</x:v>
      </x:c>
      <x:c r="AJ21" s="186" t="n">
        <x:v>-0.010396977850820055</x:v>
      </x:c>
      <x:c r="AK21" s="186" t="n">
        <x:v>35.718155</x:v>
      </x:c>
      <x:c r="AL21" s="186" t="n">
        <x:v>116407.5</x:v>
      </x:c>
      <x:c r="AM21" s="186" t="n">
        <x:v>33955.5</x:v>
      </x:c>
      <x:c r="AN21" s="186" t="n">
        <x:v>-0.011622045746350285</x:v>
      </x:c>
      <x:c r="AO21" s="186" t="n">
        <x:v>1</x:v>
      </x:c>
      <x:c r="AP21" s="186" t="n">
        <x:v>1</x:v>
      </x:c>
    </x:row>
    <x:row r="22" ht="15" hidden="0" customHeight="1">
      <x:c r="A22" s="187" t="n">
        <x:v>43009</x:v>
      </x:c>
      <x:c r="B22" s="186" t="n">
        <x:v>1280</x:v>
      </x:c>
      <x:c r="C22" s="186" t="n">
        <x:v>16.9</x:v>
      </x:c>
      <x:c r="D22" s="186" t="n">
        <x:v>-0.025875190258751957</x:v>
      </x:c>
      <x:c r="E22" s="186" t="n">
        <x:v>-0.028735632183908066</x:v>
      </x:c>
      <x:c r="F22" s="187" t="n">
        <x:v>42979</x:v>
      </x:c>
      <x:c r="G22" s="186" t="n">
        <x:v>55.2</x:v>
      </x:c>
      <x:c r="H22" s="186" t="n">
        <x:v>2.96</x:v>
      </x:c>
      <x:c r="I22" s="186" t="n">
        <x:v>2096</x:v>
      </x:c>
      <x:c r="J22" s="186" t="n">
        <x:v>6577</x:v>
      </x:c>
      <x:c r="K22" s="186" t="n">
        <x:v>1314</x:v>
      </x:c>
      <x:c r="L22" s="186" t="n">
        <x:v>964</x:v>
      </x:c>
      <x:c r="M22" s="186" t="n">
        <x:v>17.4</x:v>
      </x:c>
      <x:c r="N22" s="186" t="n">
        <x:v>75.51724137931035</x:v>
      </x:c>
      <x:c r="O22" s="186" t="n">
        <x:v>0.014030218933086758</x:v>
      </x:c>
      <x:c r="P22" s="186" t="n">
        <x:v>0.07392996108949434</x:v>
      </x:c>
      <x:c r="Q22" s="186" t="n">
        <x:v>2.202</x:v>
      </x:c>
      <x:c r="R22" s="186" t="n">
        <x:v>0.368</x:v>
      </x:c>
      <x:c r="S22" s="186" t="n">
        <x:v>1.834</x:v>
      </x:c>
      <x:c r="T22" s="186" t="n">
        <x:v>108.85424499999999</x:v>
      </x:c>
      <x:c r="U22" s="186" t="n">
        <x:v>115.53445</x:v>
      </x:c>
      <x:c r="V22" s="186" t="n">
        <x:v>142.1449</x:v>
      </x:c>
      <x:c r="W22" s="186" t="n">
        <x:v>84.09627</x:v>
      </x:c>
      <x:c r="X22" s="186" t="n">
        <x:v>1.2183552</x:v>
      </x:c>
      <x:c r="Y22" s="186" t="n">
        <x:v>1.1784091</x:v>
      </x:c>
      <x:c r="Z22" s="186" t="n">
        <x:v>2.8811104</x:v>
      </x:c>
      <x:c r="AA22" s="186" t="n">
        <x:v>228237.8</x:v>
      </x:c>
      <x:c r="AB22" s="186" t="n">
        <x:v>63250</x:v>
      </x:c>
      <x:c r="AC22" s="186" t="n">
        <x:v>-190750.4</x:v>
      </x:c>
      <x:c r="AD22" s="186" t="n">
        <x:v>-62364.4</x:v>
      </x:c>
      <x:c r="AE22" s="186" t="n">
        <x:v>0.4062748145983194</x:v>
      </x:c>
      <x:c r="AF22" s="186" t="n">
        <x:v>0.3381278840046847</x:v>
      </x:c>
      <x:c r="AG22" s="186" t="n">
        <x:v>-0.007130434782608663</x:v>
      </x:c>
      <x:c r="AH22" s="186" t="n">
        <x:v>-0.06547826086956526</x:v>
      </x:c>
      <x:c r="AI22" s="186" t="n">
        <x:v>0.058347826086956545</x:v>
      </x:c>
      <x:c r="AJ22" s="186" t="n">
        <x:v>-0.009568332946440994</x:v>
      </x:c>
      <x:c r="AK22" s="186" t="n">
        <x:v>-22.99717</x:v>
      </x:c>
      <x:c r="AL22" s="186" t="n">
        <x:v>71968.29999999999</x:v>
      </x:c>
      <x:c r="AM22" s="186" t="n">
        <x:v>30309.75</x:v>
      </x:c>
      <x:c r="AN22" s="186" t="n">
        <x:v>0.0006181632488511113</x:v>
      </x:c>
      <x:c r="AO22" s="186" t="n">
        <x:v>0</x:v>
      </x:c>
      <x:c r="AP22" s="186" t="n">
        <x:v>0</x:v>
      </x:c>
    </x:row>
    <x:row r="23" ht="15" hidden="0" customHeight="1">
      <x:c r="A23" s="187" t="n">
        <x:v>43040</x:v>
      </x:c>
      <x:c r="B23" s="186" t="n">
        <x:v>1282</x:v>
      </x:c>
      <x:c r="C23" s="186" t="n">
        <x:v>17</x:v>
      </x:c>
      <x:c r="D23" s="186" t="n">
        <x:v>0.0015624999999999112</x:v>
      </x:c>
      <x:c r="E23" s="186" t="n">
        <x:v>0.00591715976331364</x:v>
      </x:c>
      <x:c r="F23" s="187" t="n">
        <x:v>43009</x:v>
      </x:c>
      <x:c r="G23" s="186" t="n">
        <x:v>57.6</x:v>
      </x:c>
      <x:c r="H23" s="186" t="n">
        <x:v>2.86</x:v>
      </x:c>
      <x:c r="I23" s="186" t="n">
        <x:v>2131</x:v>
      </x:c>
      <x:c r="J23" s="186" t="n">
        <x:v>6808</x:v>
      </x:c>
      <x:c r="K23" s="186" t="n">
        <x:v>1280</x:v>
      </x:c>
      <x:c r="L23" s="186" t="n">
        <x:v>921</x:v>
      </x:c>
      <x:c r="M23" s="186" t="n">
        <x:v>16.9</x:v>
      </x:c>
      <x:c r="N23" s="186" t="n">
        <x:v>75.7396449704142</x:v>
      </x:c>
      <x:c r="O23" s="186" t="n">
        <x:v>0.035122396229283925</x:v>
      </x:c>
      <x:c r="P23" s="186" t="n">
        <x:v>0.04347826086956519</x:v>
      </x:c>
      <x:c r="Q23" s="186" t="n">
        <x:v>2.3600000000000003</x:v>
      </x:c>
      <x:c r="R23" s="186" t="n">
        <x:v>0.49809523809523815</x:v>
      </x:c>
      <x:c r="S23" s="186" t="n">
        <x:v>1.861904761904762</x:v>
      </x:c>
      <x:c r="T23" s="186" t="n">
        <x:v>110.88917619047619</x:v>
      </x:c>
      <x:c r="U23" s="186" t="n">
        <x:v>91.46157</x:v>
      </x:c>
      <x:c r="V23" s="186" t="n">
        <x:v>109.230606</x:v>
      </x:c>
      <x:c r="W23" s="186" t="n">
        <x:v>69.157</x:v>
      </x:c>
      <x:c r="X23" s="186" t="n">
        <x:v>0.6046587</x:v>
      </x:c>
      <x:c r="Y23" s="186" t="n">
        <x:v>0.74263453</x:v>
      </x:c>
      <x:c r="Z23" s="186" t="n">
        <x:v>2.098044</x:v>
      </x:c>
      <x:c r="AA23" s="186" t="n">
        <x:v>172164.25</x:v>
      </x:c>
      <x:c r="AB23" s="186" t="n">
        <x:v>59789.75</x:v>
      </x:c>
      <x:c r="AC23" s="186" t="n">
        <x:v>-184644.75</x:v>
      </x:c>
      <x:c r="AD23" s="186" t="n">
        <x:v>-59381</x:v>
      </x:c>
      <x:c r="AE23" s="186" t="n">
        <x:v>0.32786002241894335</x:v>
      </x:c>
      <x:c r="AF23" s="186" t="n">
        <x:v>0.3154184950874195</x:v>
      </x:c>
      <x:c r="AG23" s="186" t="n">
        <x:v>0.15800000000000036</x:v>
      </x:c>
      <x:c r="AH23" s="186" t="n">
        <x:v>0.13009523809523815</x:v>
      </x:c>
      <x:c r="AI23" s="186" t="n">
        <x:v>0.027904761904761877</x:v>
      </x:c>
      <x:c r="AJ23" s="186" t="n">
        <x:v>0.018694091263746326</x:v>
      </x:c>
      <x:c r="AK23" s="186" t="n">
        <x:v>-24.072876</x:v>
      </x:c>
      <x:c r="AL23" s="186" t="n">
        <x:v>-56073.54999999999</x:v>
      </x:c>
      <x:c r="AM23" s="186" t="n">
        <x:v>-3460.25</x:v>
      </x:c>
      <x:c r="AN23" s="186" t="n">
        <x:v>0.0029450703844802195</x:v>
      </x:c>
      <x:c r="AO23" s="186" t="n">
        <x:v>1</x:v>
      </x:c>
      <x:c r="AP23" s="186" t="n">
        <x:v>1</x:v>
      </x:c>
    </x:row>
    <x:row r="24" ht="15" hidden="0" customHeight="1">
      <x:c r="A24" s="187" t="n">
        <x:v>43070</x:v>
      </x:c>
      <x:c r="B24" s="186" t="n">
        <x:v>1264</x:v>
      </x:c>
      <x:c r="C24" s="186" t="n">
        <x:v>16.2</x:v>
      </x:c>
      <x:c r="D24" s="186" t="n">
        <x:v>-0.01404056162246492</x:v>
      </x:c>
      <x:c r="E24" s="186" t="n">
        <x:v>-0.04705882352941182</x:v>
      </x:c>
      <x:c r="F24" s="187" t="n">
        <x:v>43040</x:v>
      </x:c>
      <x:c r="G24" s="186" t="n">
        <x:v>62.6</x:v>
      </x:c>
      <x:c r="H24" s="186" t="n">
        <x:v>2.99</x:v>
      </x:c>
      <x:c r="I24" s="186" t="n">
        <x:v>2097</x:v>
      </x:c>
      <x:c r="J24" s="186" t="n">
        <x:v>6827</x:v>
      </x:c>
      <x:c r="K24" s="186" t="n">
        <x:v>1282</x:v>
      </x:c>
      <x:c r="L24" s="186" t="n">
        <x:v>934</x:v>
      </x:c>
      <x:c r="M24" s="186" t="n">
        <x:v>17</x:v>
      </x:c>
      <x:c r="N24" s="186" t="n">
        <x:v>75.41176470588235</x:v>
      </x:c>
      <x:c r="O24" s="186" t="n">
        <x:v>0.0027908343125735424</x:v>
      </x:c>
      <x:c r="P24" s="186" t="n">
        <x:v>0.08680555555555558</x:v>
      </x:c>
      <x:c r="Q24" s="186" t="n">
        <x:v>2.3533333333333335</x:v>
      </x:c>
      <x:c r="R24" s="186" t="n">
        <x:v>0.4957142857142857</x:v>
      </x:c>
      <x:c r="S24" s="186" t="n">
        <x:v>1.8576190476190475</x:v>
      </x:c>
      <x:c r="T24" s="186" t="n">
        <x:v>111.163525</x:v>
      </x:c>
      <x:c r="U24" s="186" t="n">
        <x:v>92.596016</x:v>
      </x:c>
      <x:c r="V24" s="186" t="n">
        <x:v>103.94398</x:v>
      </x:c>
      <x:c r="W24" s="186" t="n">
        <x:v>80.115875</x:v>
      </x:c>
      <x:c r="X24" s="186" t="n">
        <x:v>0.75324017</x:v>
      </x:c>
      <x:c r="Y24" s="186" t="n">
        <x:v>0.63120687</x:v>
      </x:c>
      <x:c r="Z24" s="186" t="n">
        <x:v>2.1755598</x:v>
      </x:c>
      <x:c r="AA24" s="186" t="n">
        <x:v>171482.5</x:v>
      </x:c>
      <x:c r="AB24" s="186" t="n">
        <x:v>64066</x:v>
      </x:c>
      <x:c r="AC24" s="186" t="n">
        <x:v>-183593.5</x:v>
      </x:c>
      <x:c r="AD24" s="186" t="n">
        <x:v>-62107.75</x:v>
      </x:c>
      <x:c r="AE24" s="186" t="n">
        <x:v>0.3215196099038492</x:v>
      </x:c>
      <x:c r="AF24" s="186" t="n">
        <x:v>0.3196853041073319</x:v>
      </x:c>
      <x:c r="AG24" s="186" t="n">
        <x:v>-0.006666666666666821</x:v>
      </x:c>
      <x:c r="AH24" s="186" t="n">
        <x:v>-0.002380952380952428</x:v>
      </x:c>
      <x:c r="AI24" s="186" t="n">
        <x:v>-0.004285714285714448</x:v>
      </x:c>
      <x:c r="AJ24" s="186" t="n">
        <x:v>0.0024740810505488042</x:v>
      </x:c>
      <x:c r="AK24" s="186" t="n">
        <x:v>1.1344452</x:v>
      </x:c>
      <x:c r="AL24" s="186" t="n">
        <x:v>-681.75</x:v>
      </x:c>
      <x:c r="AM24" s="186" t="n">
        <x:v>4276.25</x:v>
      </x:c>
      <x:c r="AN24" s="186" t="n">
        <x:v>-0.004329044117647118</x:v>
      </x:c>
      <x:c r="AO24" s="186" t="n">
        <x:v>0</x:v>
      </x:c>
      <x:c r="AP24" s="186" t="n">
        <x:v>0</x:v>
      </x:c>
    </x:row>
    <x:row r="25" ht="15" hidden="0" customHeight="1">
      <x:c r="A25" s="187" t="n">
        <x:v>43101</x:v>
      </x:c>
      <x:c r="B25" s="186" t="n">
        <x:v>1331</x:v>
      </x:c>
      <x:c r="C25" s="186" t="n">
        <x:v>17.1</x:v>
      </x:c>
      <x:c r="D25" s="186" t="n">
        <x:v>0.053006329113924</x:v>
      </x:c>
      <x:c r="E25" s="186" t="n">
        <x:v>0.05555555555555558</x:v>
      </x:c>
      <x:c r="F25" s="187" t="n">
        <x:v>43070</x:v>
      </x:c>
      <x:c r="G25" s="186" t="n">
        <x:v>64.2</x:v>
      </x:c>
      <x:c r="H25" s="186" t="n">
        <x:v>2.76</x:v>
      </x:c>
      <x:c r="I25" s="186" t="n">
        <x:v>2080</x:v>
      </x:c>
      <x:c r="J25" s="186" t="n">
        <x:v>6834</x:v>
      </x:c>
      <x:c r="K25" s="186" t="n">
        <x:v>1264</x:v>
      </x:c>
      <x:c r="L25" s="186" t="n">
        <x:v>907</x:v>
      </x:c>
      <x:c r="M25" s="186" t="n">
        <x:v>16.2</x:v>
      </x:c>
      <x:c r="N25" s="186" t="n">
        <x:v>78.0246913580247</x:v>
      </x:c>
      <x:c r="O25" s="186" t="n">
        <x:v>0.0010253405595430642</x:v>
      </x:c>
      <x:c r="P25" s="186" t="n">
        <x:v>0.025559105431310014</x:v>
      </x:c>
      <x:c r="Q25" s="186" t="n">
        <x:v>2.4025</x:v>
      </x:c>
      <x:c r="R25" s="186" t="n">
        <x:v>0.503</x:v>
      </x:c>
      <x:c r="S25" s="186" t="n">
        <x:v>1.8995000000000002</x:v>
      </x:c>
      <x:c r="T25" s="186" t="n">
        <x:v>110.87581</x:v>
      </x:c>
      <x:c r="U25" s="186" t="n">
        <x:v>82.718254</x:v>
      </x:c>
      <x:c r="V25" s="186" t="n">
        <x:v>95.90845</x:v>
      </x:c>
      <x:c r="W25" s="186" t="n">
        <x:v>62.65748</x:v>
      </x:c>
      <x:c r="X25" s="186" t="n">
        <x:v>0.731061</x:v>
      </x:c>
      <x:c r="Y25" s="186" t="n">
        <x:v>0.79045963</x:v>
      </x:c>
      <x:c r="Z25" s="186" t="n">
        <x:v>2.0012794</x:v>
      </x:c>
      <x:c r="AA25" s="186" t="n">
        <x:v>119655.8</x:v>
      </x:c>
      <x:c r="AB25" s="186" t="n">
        <x:v>10207</x:v>
      </x:c>
      <x:c r="AC25" s="186" t="n">
        <x:v>-149465.4</x:v>
      </x:c>
      <x:c r="AD25" s="186" t="n">
        <x:v>-39861</x:v>
      </x:c>
      <x:c r="AE25" s="186" t="n">
        <x:v>0.2528864381220727</x:v>
      </x:c>
      <x:c r="AF25" s="186" t="n">
        <x:v>0.05634002964142685</x:v>
      </x:c>
      <x:c r="AG25" s="186" t="n">
        <x:v>0.04916666666666636</x:v>
      </x:c>
      <x:c r="AH25" s="186" t="n">
        <x:v>0.007285714285714284</x:v>
      </x:c>
      <x:c r="AI25" s="186" t="n">
        <x:v>0.041880952380952685</x:v>
      </x:c>
      <x:c r="AJ25" s="186" t="n">
        <x:v>-0.0025882140747156557</x:v>
      </x:c>
      <x:c r="AK25" s="186" t="n">
        <x:v>-9.877762</x:v>
      </x:c>
      <x:c r="AL25" s="186" t="n">
        <x:v>-51826.7</x:v>
      </x:c>
      <x:c r="AM25" s="186" t="n">
        <x:v>-53859</x:v>
      </x:c>
      <x:c r="AN25" s="186" t="n">
        <x:v>0.03464879335914195</x:v>
      </x:c>
      <x:c r="AO25" s="186" t="n">
        <x:v>1</x:v>
      </x:c>
      <x:c r="AP25" s="186" t="n">
        <x:v>1</x:v>
      </x:c>
    </x:row>
    <x:row r="26" ht="15" hidden="0" customHeight="1">
      <x:c r="A26" s="187" t="n">
        <x:v>43132</x:v>
      </x:c>
      <x:c r="B26" s="186" t="n">
        <x:v>1331</x:v>
      </x:c>
      <x:c r="C26" s="186" t="n">
        <x:v>16.6</x:v>
      </x:c>
      <x:c r="D26" s="186" t="n">
        <x:v>0</x:v>
      </x:c>
      <x:c r="E26" s="186" t="n">
        <x:v>-0.029239766081871288</x:v>
      </x:c>
      <x:c r="F26" s="187" t="n">
        <x:v>43101</x:v>
      </x:c>
      <x:c r="G26" s="186" t="n">
        <x:v>69</x:v>
      </x:c>
      <x:c r="H26" s="186" t="n">
        <x:v>3.86</x:v>
      </x:c>
      <x:c r="I26" s="186" t="n">
        <x:v>2210</x:v>
      </x:c>
      <x:c r="J26" s="186" t="n">
        <x:v>7066</x:v>
      </x:c>
      <x:c r="K26" s="186" t="n">
        <x:v>1331</x:v>
      </x:c>
      <x:c r="L26" s="186" t="n">
        <x:v>990</x:v>
      </x:c>
      <x:c r="M26" s="186" t="n">
        <x:v>17.1</x:v>
      </x:c>
      <x:c r="N26" s="186" t="n">
        <x:v>77.83625730994152</x:v>
      </x:c>
      <x:c r="O26" s="186" t="n">
        <x:v>0.03394790752121746</x:v>
      </x:c>
      <x:c r="P26" s="186" t="n">
        <x:v>0.07476635514018692</x:v>
      </x:c>
      <x:c r="Q26" s="186" t="n">
        <x:v>2.583809523809524</x:v>
      </x:c>
      <x:c r="R26" s="186" t="n">
        <x:v>0.54</x:v>
      </x:c>
      <x:c r="S26" s="186" t="n">
        <x:v>2.0438095238095237</x:v>
      </x:c>
      <x:c r="T26" s="186" t="n">
        <x:v>108.35677619047618</x:v>
      </x:c>
      <x:c r="U26" s="186" t="n">
        <x:v>92.42679</x:v>
      </x:c>
      <x:c r="V26" s="186" t="n">
        <x:v>107.64432</x:v>
      </x:c>
      <x:c r="W26" s="186" t="n">
        <x:v>75.66629</x:v>
      </x:c>
      <x:c r="X26" s="186" t="n">
        <x:v>0.68546635</x:v>
      </x:c>
      <x:c r="Y26" s="186" t="n">
        <x:v>1.0325379</x:v>
      </x:c>
      <x:c r="Z26" s="186" t="n">
        <x:v>2.2039046</x:v>
      </x:c>
      <x:c r="AA26" s="186" t="n">
        <x:v>188823</x:v>
      </x:c>
      <x:c r="AB26" s="186" t="n">
        <x:v>27734</x:v>
      </x:c>
      <x:c r="AC26" s="186" t="n">
        <x:v>-179685.5</x:v>
      </x:c>
      <x:c r="AD26" s="186" t="n">
        <x:v>-43206.75</x:v>
      </x:c>
      <x:c r="AE26" s="186" t="n">
        <x:v>0.33867835120007106</x:v>
      </x:c>
      <x:c r="AF26" s="186" t="n">
        <x:v>0.14141102974764047</x:v>
      </x:c>
      <x:c r="AG26" s="186" t="n">
        <x:v>0.18130952380952392</x:v>
      </x:c>
      <x:c r="AH26" s="186" t="n">
        <x:v>0.03700000000000003</x:v>
      </x:c>
      <x:c r="AI26" s="186" t="n">
        <x:v>0.14430952380952355</x:v>
      </x:c>
      <x:c r="AJ26" s="186" t="n">
        <x:v>-0.022719417423185617</x:v>
      </x:c>
      <x:c r="AK26" s="186" t="n">
        <x:v>9.708534</x:v>
      </x:c>
      <x:c r="AL26" s="186" t="n">
        <x:v>69167.2</x:v>
      </x:c>
      <x:c r="AM26" s="186" t="n">
        <x:v>17527</x:v>
      </x:c>
      <x:c r="AN26" s="186" t="n">
        <x:v>-0.0024150566289141695</x:v>
      </x:c>
      <x:c r="AO26" s="186" t="n">
        <x:v>0</x:v>
      </x:c>
      <x:c r="AP26" s="186" t="n">
        <x:v>0</x:v>
      </x:c>
    </x:row>
    <x:row r="27" ht="15" hidden="0" customHeight="1">
      <x:c r="A27" s="187" t="n">
        <x:v>43160</x:v>
      </x:c>
      <x:c r="B27" s="186" t="n">
        <x:v>1325</x:v>
      </x:c>
      <x:c r="C27" s="186" t="n">
        <x:v>16.5</x:v>
      </x:c>
      <x:c r="D27" s="186" t="n">
        <x:v>-0.004507888805409421</x:v>
      </x:c>
      <x:c r="E27" s="186" t="n">
        <x:v>-0.006024096385542244</x:v>
      </x:c>
      <x:c r="F27" s="187" t="n">
        <x:v>43132</x:v>
      </x:c>
      <x:c r="G27" s="186" t="n">
        <x:v>65.4</x:v>
      </x:c>
      <x:c r="H27" s="186" t="n">
        <x:v>2.67</x:v>
      </x:c>
      <x:c r="I27" s="186" t="n">
        <x:v>2182</x:v>
      </x:c>
      <x:c r="J27" s="186" t="n">
        <x:v>7007</x:v>
      </x:c>
      <x:c r="K27" s="186" t="n">
        <x:v>1331</x:v>
      </x:c>
      <x:c r="L27" s="186" t="n">
        <x:v>987</x:v>
      </x:c>
      <x:c r="M27" s="186" t="n">
        <x:v>16.6</x:v>
      </x:c>
      <x:c r="N27" s="186" t="n">
        <x:v>80.18072289156626</x:v>
      </x:c>
      <x:c r="O27" s="186" t="n">
        <x:v>-0.00834984432493635</x:v>
      </x:c>
      <x:c r="P27" s="186" t="n">
        <x:v>-0.05217391304347818</x:v>
      </x:c>
      <x:c r="Q27" s="186" t="n">
        <x:v>2.8589473684210525</x:v>
      </x:c>
      <x:c r="R27" s="186" t="n">
        <x:v>0.7573684210526316</x:v>
      </x:c>
      <x:c r="S27" s="186" t="n">
        <x:v>2.101578947368421</x:v>
      </x:c>
      <x:c r="T27" s="186" t="n">
        <x:v>107.6500947368421</x:v>
      </x:c>
      <x:c r="U27" s="186" t="n">
        <x:v>64.49137</x:v>
      </x:c>
      <x:c r="V27" s="186" t="n">
        <x:v>74.68311</x:v>
      </x:c>
      <x:c r="W27" s="186" t="n">
        <x:v>52.0022</x:v>
      </x:c>
      <x:c r="X27" s="186" t="n">
        <x:v>0.2929415</x:v>
      </x:c>
      <x:c r="Y27" s="186" t="n">
        <x:v>0.74397844</x:v>
      </x:c>
      <x:c r="Z27" s="186" t="n">
        <x:v>1.5902538</x:v>
      </x:c>
      <x:c r="AA27" s="186" t="n">
        <x:v>183925.75</x:v>
      </x:c>
      <x:c r="AB27" s="186" t="n">
        <x:v>2658.25</x:v>
      </x:c>
      <x:c r="AC27" s="186" t="n">
        <x:v>-177570.75</x:v>
      </x:c>
      <x:c r="AD27" s="186" t="n">
        <x:v>-39741</x:v>
      </x:c>
      <x:c r="AE27" s="186" t="n">
        <x:v>0.34418337885991995</x:v>
      </x:c>
      <x:c r="AF27" s="186" t="n">
        <x:v>0.013381263157302464</x:v>
      </x:c>
      <x:c r="AG27" s="186" t="n">
        <x:v>0.2751378446115287</x:v>
      </x:c>
      <x:c r="AH27" s="186" t="n">
        <x:v>0.21736842105263154</x:v>
      </x:c>
      <x:c r="AI27" s="186" t="n">
        <x:v>0.05776942355889725</x:v>
      </x:c>
      <x:c r="AJ27" s="186" t="n">
        <x:v>-0.006521802128847232</x:v>
      </x:c>
      <x:c r="AK27" s="186" t="n">
        <x:v>-27.935417</x:v>
      </x:c>
      <x:c r="AL27" s="186" t="n">
        <x:v>-4897.25</x:v>
      </x:c>
      <x:c r="AM27" s="186" t="n">
        <x:v>-25075.75</x:v>
      </x:c>
      <x:c r="AN27" s="186" t="n">
        <x:v>0.030120481927710774</x:v>
      </x:c>
      <x:c r="AO27" s="186" t="n">
        <x:v>0</x:v>
      </x:c>
      <x:c r="AP27" s="186" t="n">
        <x:v>0</x:v>
      </x:c>
    </x:row>
    <x:row r="28" ht="15" hidden="0" customHeight="1">
      <x:c r="A28" s="187" t="n">
        <x:v>43191</x:v>
      </x:c>
      <x:c r="B28" s="186" t="n">
        <x:v>1335</x:v>
      </x:c>
      <x:c r="C28" s="186" t="n">
        <x:v>16.6</x:v>
      </x:c>
      <x:c r="D28" s="186" t="n">
        <x:v>0.007547169811320753</x:v>
      </x:c>
      <x:c r="E28" s="186" t="n">
        <x:v>0.0060606060606061</x:v>
      </x:c>
      <x:c r="F28" s="187" t="n">
        <x:v>43160</x:v>
      </x:c>
      <x:c r="G28" s="186" t="n">
        <x:v>66.5</x:v>
      </x:c>
      <x:c r="H28" s="186" t="n">
        <x:v>2.7</x:v>
      </x:c>
      <x:c r="I28" s="186" t="n">
        <x:v>2069</x:v>
      </x:c>
      <x:c r="J28" s="186" t="n">
        <x:v>6799</x:v>
      </x:c>
      <x:c r="K28" s="186" t="n">
        <x:v>1325</x:v>
      </x:c>
      <x:c r="L28" s="186" t="n">
        <x:v>955</x:v>
      </x:c>
      <x:c r="M28" s="186" t="n">
        <x:v>16.5</x:v>
      </x:c>
      <x:c r="N28" s="186" t="n">
        <x:v>80.3030303030303</x:v>
      </x:c>
      <x:c r="O28" s="186" t="n">
        <x:v>-0.029684601113172504</x:v>
      </x:c>
      <x:c r="P28" s="186" t="n">
        <x:v>0.01681957186544336</x:v>
      </x:c>
      <x:c r="Q28" s="186" t="n">
        <x:v>2.8423809523809522</x:v>
      </x:c>
      <x:c r="R28" s="186" t="n">
        <x:v>0.7519047619047619</x:v>
      </x:c>
      <x:c r="S28" s="186" t="n">
        <x:v>2.0904761904761906</x:v>
      </x:c>
      <x:c r="T28" s="186" t="n">
        <x:v>107.94717499999999</x:v>
      </x:c>
      <x:c r="U28" s="186" t="n">
        <x:v>111.962296</x:v>
      </x:c>
      <x:c r="V28" s="186" t="n">
        <x:v>146.92708</x:v>
      </x:c>
      <x:c r="W28" s="186" t="n">
        <x:v>64.55759</x:v>
      </x:c>
      <x:c r="X28" s="186" t="n">
        <x:v>0.94574016</x:v>
      </x:c>
      <x:c r="Y28" s="186" t="n">
        <x:v>1.4226177</x:v>
      </x:c>
      <x:c r="Z28" s="186" t="n">
        <x:v>2.7490582</x:v>
      </x:c>
      <x:c r="AA28" s="186" t="n">
        <x:v>142112</x:v>
      </x:c>
      <x:c r="AB28" s="186" t="n">
        <x:v>-22805</x:v>
      </x:c>
      <x:c r="AC28" s="186" t="n">
        <x:v>-170862</x:v>
      </x:c>
      <x:c r="AD28" s="186" t="n">
        <x:v>-32303.8</x:v>
      </x:c>
      <x:c r="AE28" s="186" t="n">
        <x:v>0.26943541467492205</x:v>
      </x:c>
      <x:c r="AF28" s="186" t="n">
        <x:v>-0.10906805795650867</x:v>
      </x:c>
      <x:c r="AG28" s="186" t="n">
        <x:v>-0.01656641604010023</x:v>
      </x:c>
      <x:c r="AH28" s="186" t="n">
        <x:v>-0.005463659147869726</x:v>
      </x:c>
      <x:c r="AI28" s="186" t="n">
        <x:v>-0.011102756892230392</x:v>
      </x:c>
      <x:c r="AJ28" s="186" t="n">
        <x:v>0.0027596841775578973</x:v>
      </x:c>
      <x:c r="AK28" s="186" t="n">
        <x:v>47.470924</x:v>
      </x:c>
      <x:c r="AL28" s="186" t="n">
        <x:v>-41813.75</x:v>
      </x:c>
      <x:c r="AM28" s="186" t="n">
        <x:v>-25463.25</x:v>
      </x:c>
      <x:c r="AN28" s="186" t="n">
        <x:v>0.0015253967169819305</x:v>
      </x:c>
      <x:c r="AO28" s="186" t="n">
        <x:v>1</x:v>
      </x:c>
      <x:c r="AP28" s="186" t="n">
        <x:v>1</x:v>
      </x:c>
    </x:row>
    <x:row r="29" ht="15" hidden="0" customHeight="1">
      <x:c r="A29" s="187" t="n">
        <x:v>43221</x:v>
      </x:c>
      <x:c r="B29" s="186" t="n">
        <x:v>1303</x:v>
      </x:c>
      <x:c r="C29" s="186" t="n">
        <x:v>16.5</x:v>
      </x:c>
      <x:c r="D29" s="186" t="n">
        <x:v>-0.02397003745318349</x:v>
      </x:c>
      <x:c r="E29" s="186" t="n">
        <x:v>-0.006024096385542244</x:v>
      </x:c>
      <x:c r="F29" s="187" t="n">
        <x:v>43191</x:v>
      </x:c>
      <x:c r="G29" s="186" t="n">
        <x:v>71.6</x:v>
      </x:c>
      <x:c r="H29" s="186" t="n">
        <x:v>2.78</x:v>
      </x:c>
      <x:c r="I29" s="186" t="n">
        <x:v>2255</x:v>
      </x:c>
      <x:c r="J29" s="186" t="n">
        <x:v>6852</x:v>
      </x:c>
      <x:c r="K29" s="186" t="n">
        <x:v>1335</x:v>
      </x:c>
      <x:c r="L29" s="186" t="n">
        <x:v>924</x:v>
      </x:c>
      <x:c r="M29" s="186" t="n">
        <x:v>16.6</x:v>
      </x:c>
      <x:c r="N29" s="186" t="n">
        <x:v>80.42168674698794</x:v>
      </x:c>
      <x:c r="O29" s="186" t="n">
        <x:v>0.007795264009413216</x:v>
      </x:c>
      <x:c r="P29" s="186" t="n">
        <x:v>0.07669172932330826</x:v>
      </x:c>
      <x:c r="Q29" s="186" t="n">
        <x:v>2.869047619047619</x:v>
      </x:c>
      <x:c r="R29" s="186" t="n">
        <x:v>0.7414285714285714</x:v>
      </x:c>
      <x:c r="S29" s="186" t="n">
        <x:v>2.1276190476190475</x:v>
      </x:c>
      <x:c r="T29" s="186" t="n">
        <x:v>107.94335714285714</x:v>
      </x:c>
      <x:c r="U29" s="186" t="n">
        <x:v>123.26347</x:v>
      </x:c>
      <x:c r="V29" s="186" t="n">
        <x:v>146.39566</x:v>
      </x:c>
      <x:c r="W29" s="186" t="n">
        <x:v>94.305855</x:v>
      </x:c>
      <x:c r="X29" s="186" t="n">
        <x:v>1.1056882</x:v>
      </x:c>
      <x:c r="Y29" s="186" t="n">
        <x:v>1.7665098</x:v>
      </x:c>
      <x:c r="Z29" s="186" t="n">
        <x:v>3.3602557</x:v>
      </x:c>
      <x:c r="AA29" s="186" t="n">
        <x:v>121125.75</x:v>
      </x:c>
      <x:c r="AB29" s="186" t="n">
        <x:v>-22001.75</x:v>
      </x:c>
      <x:c r="AC29" s="186" t="n">
        <x:v>-167291.75</x:v>
      </x:c>
      <x:c r="AD29" s="186" t="n">
        <x:v>-26018.75</x:v>
      </x:c>
      <x:c r="AE29" s="186" t="n">
        <x:v>0.24122369839365565</x:v>
      </x:c>
      <x:c r="AF29" s="186" t="n">
        <x:v>-0.09619105135719541</x:v>
      </x:c>
      <x:c r="AG29" s="186" t="n">
        <x:v>0.02666666666666684</x:v>
      </x:c>
      <x:c r="AH29" s="186" t="n">
        <x:v>-0.010476190476190417</x:v>
      </x:c>
      <x:c r="AI29" s="186" t="n">
        <x:v>0.03714285714285692</x:v>
      </x:c>
      <x:c r="AJ29" s="186" t="n">
        <x:v>-0.00003536782822566309</x:v>
      </x:c>
      <x:c r="AK29" s="186" t="n">
        <x:v>11.301178</x:v>
      </x:c>
      <x:c r="AL29" s="186" t="n">
        <x:v>-20986.25</x:v>
      </x:c>
      <x:c r="AM29" s="186" t="n">
        <x:v>803.25</x:v>
      </x:c>
      <x:c r="AN29" s="186" t="n">
        <x:v>0.0014776085473970912</x:v>
      </x:c>
      <x:c r="AO29" s="186" t="n">
        <x:v>0</x:v>
      </x:c>
      <x:c r="AP29" s="186" t="n">
        <x:v>0</x:v>
      </x:c>
    </x:row>
    <x:row r="30" ht="15" hidden="0" customHeight="1">
      <x:c r="A30" s="187" t="n">
        <x:v>43252</x:v>
      </x:c>
      <x:c r="B30" s="186" t="n">
        <x:v>1282</x:v>
      </x:c>
      <x:c r="C30" s="186" t="n">
        <x:v>16.5</x:v>
      </x:c>
      <x:c r="D30" s="186" t="n">
        <x:v>-0.016116653875671516</x:v>
      </x:c>
      <x:c r="E30" s="186" t="n">
        <x:v>0</x:v>
      </x:c>
      <x:c r="F30" s="187" t="n">
        <x:v>43221</x:v>
      </x:c>
      <x:c r="G30" s="186" t="n">
        <x:v>76.7</x:v>
      </x:c>
      <x:c r="H30" s="186" t="n">
        <x:v>2.8</x:v>
      </x:c>
      <x:c r="I30" s="186" t="n">
        <x:v>2300</x:v>
      </x:c>
      <x:c r="J30" s="186" t="n">
        <x:v>6825</x:v>
      </x:c>
      <x:c r="K30" s="186" t="n">
        <x:v>1303</x:v>
      </x:c>
      <x:c r="L30" s="186" t="n">
        <x:v>905</x:v>
      </x:c>
      <x:c r="M30" s="186" t="n">
        <x:v>16.5</x:v>
      </x:c>
      <x:c r="N30" s="186" t="n">
        <x:v>78.96969696969697</x:v>
      </x:c>
      <x:c r="O30" s="186" t="n">
        <x:v>-0.0039404553415061105</x:v>
      </x:c>
      <x:c r="P30" s="186" t="n">
        <x:v>0.0712290502793298</x:v>
      </x:c>
      <x:c r="Q30" s="186" t="n">
        <x:v>2.977727272727273</x:v>
      </x:c>
      <x:c r="R30" s="186" t="n">
        <x:v>0.8359090909090909</x:v>
      </x:c>
      <x:c r="S30" s="186" t="n">
        <x:v>2.141818181818182</x:v>
      </x:c>
      <x:c r="T30" s="186" t="n">
        <x:v>111.04704090909091</x:v>
      </x:c>
      <x:c r="U30" s="186" t="n">
        <x:v>125.66662</x:v>
      </x:c>
      <x:c r="V30" s="186" t="n">
        <x:v>172.2167</x:v>
      </x:c>
      <x:c r="W30" s="186" t="n">
        <x:v>63.217903</x:v>
      </x:c>
      <x:c r="X30" s="186" t="n">
        <x:v>1.5211363</x:v>
      </x:c>
      <x:c r="Y30" s="186" t="n">
        <x:v>1.2564081</x:v>
      </x:c>
      <x:c r="Z30" s="186" t="n">
        <x:v>3.3196068</x:v>
      </x:c>
      <x:c r="AA30" s="186" t="n">
        <x:v>29121.25</x:v>
      </x:c>
      <x:c r="AB30" s="186" t="n">
        <x:v>-15143</x:v>
      </x:c>
      <x:c r="AC30" s="186" t="n">
        <x:v>-141363</x:v>
      </x:c>
      <x:c r="AD30" s="186" t="n">
        <x:v>-30479.5</x:v>
      </x:c>
      <x:c r="AE30" s="186" t="n">
        <x:v>0.05789370592755038</x:v>
      </x:c>
      <x:c r="AF30" s="186" t="n">
        <x:v>-0.07725366260297314</x:v>
      </x:c>
      <x:c r="AG30" s="186" t="n">
        <x:v>0.10867965367965393</x:v>
      </x:c>
      <x:c r="AH30" s="186" t="n">
        <x:v>0.0944805194805195</x:v>
      </x:c>
      <x:c r="AI30" s="186" t="n">
        <x:v>0.014199134199134544</x:v>
      </x:c>
      <x:c r="AJ30" s="186" t="n">
        <x:v>0.028752892705812494</x:v>
      </x:c>
      <x:c r="AK30" s="186" t="n">
        <x:v>2.4031448</x:v>
      </x:c>
      <x:c r="AL30" s="186" t="n">
        <x:v>-92004.5</x:v>
      </x:c>
      <x:c r="AM30" s="186" t="n">
        <x:v>6858.75</x:v>
      </x:c>
      <x:c r="AN30" s="186" t="n">
        <x:v>-0.01805470434683909</x:v>
      </x:c>
      <x:c r="AO30" s="186" t="n">
        <x:v>0</x:v>
      </x:c>
      <x:c r="AP30" s="186" t="n">
        <x:v>0</x:v>
      </x:c>
    </x:row>
    <x:row r="31" ht="15" hidden="0" customHeight="1">
      <x:c r="A31" s="187" t="n">
        <x:v>43282</x:v>
      </x:c>
      <x:c r="B31" s="186" t="n">
        <x:v>1238</x:v>
      </x:c>
      <x:c r="C31" s="186" t="n">
        <x:v>15.7</x:v>
      </x:c>
      <x:c r="D31" s="186" t="n">
        <x:v>-0.03432137285491421</x:v>
      </x:c>
      <x:c r="E31" s="186" t="n">
        <x:v>-0.048484848484848575</x:v>
      </x:c>
      <x:c r="F31" s="187" t="n">
        <x:v>43252</x:v>
      </x:c>
      <x:c r="G31" s="186" t="n">
        <x:v>75.2</x:v>
      </x:c>
      <x:c r="H31" s="186" t="n">
        <x:v>2.95</x:v>
      </x:c>
      <x:c r="I31" s="186" t="n">
        <x:v>2238</x:v>
      </x:c>
      <x:c r="J31" s="186" t="n">
        <x:v>6966</x:v>
      </x:c>
      <x:c r="K31" s="186" t="n">
        <x:v>1282</x:v>
      </x:c>
      <x:c r="L31" s="186" t="n">
        <x:v>885</x:v>
      </x:c>
      <x:c r="M31" s="186" t="n">
        <x:v>16.5</x:v>
      </x:c>
      <x:c r="N31" s="186" t="n">
        <x:v>77.6969696969697</x:v>
      </x:c>
      <x:c r="O31" s="186" t="n">
        <x:v>0.02065934065934072</x:v>
      </x:c>
      <x:c r="P31" s="186" t="n">
        <x:v>-0.019556714471968717</x:v>
      </x:c>
      <x:c r="Q31" s="186" t="n">
        <x:v>2.9123809523809525</x:v>
      </x:c>
      <x:c r="R31" s="186" t="n">
        <x:v>0.7947619047619048</x:v>
      </x:c>
      <x:c r="S31" s="186" t="n">
        <x:v>2.1176190476190477</x:v>
      </x:c>
      <x:c r="T31" s="186" t="n">
        <x:v>112.84441904761906</x:v>
      </x:c>
      <x:c r="U31" s="186" t="n">
        <x:v>103.96859</x:v>
      </x:c>
      <x:c r="V31" s="186" t="n">
        <x:v>137.02446</x:v>
      </x:c>
      <x:c r="W31" s="186" t="n">
        <x:v>56.640434</x:v>
      </x:c>
      <x:c r="X31" s="186" t="n">
        <x:v>1.1688901</x:v>
      </x:c>
      <x:c r="Y31" s="186" t="n">
        <x:v>0.8921565</x:v>
      </x:c>
      <x:c r="Z31" s="186" t="n">
        <x:v>2.6227748</x:v>
      </x:c>
      <x:c r="AA31" s="186" t="n">
        <x:v>34177.8</x:v>
      </x:c>
      <x:c r="AB31" s="186" t="n">
        <x:v>19190.2</x:v>
      </x:c>
      <x:c r="AC31" s="186" t="n">
        <x:v>-94823.2</x:v>
      </x:c>
      <x:c r="AD31" s="186" t="n">
        <x:v>-45030</x:v>
      </x:c>
      <x:c r="AE31" s="186" t="n">
        <x:v>0.07481634976382492</x:v>
      </x:c>
      <x:c r="AF31" s="186" t="n">
        <x:v>0.08607724715092871</x:v>
      </x:c>
      <x:c r="AG31" s="186" t="n">
        <x:v>-0.06534632034632049</x:v>
      </x:c>
      <x:c r="AH31" s="186" t="n">
        <x:v>-0.041147186147186154</x:v>
      </x:c>
      <x:c r="AI31" s="186" t="n">
        <x:v>-0.02419913419913433</x:v>
      </x:c>
      <x:c r="AJ31" s="186" t="n">
        <x:v>0.016185736457395405</x:v>
      </x:c>
      <x:c r="AK31" s="186" t="n">
        <x:v>-21.698029</x:v>
      </x:c>
      <x:c r="AL31" s="186" t="n">
        <x:v>5056.550000000003</x:v>
      </x:c>
      <x:c r="AM31" s="186" t="n">
        <x:v>34333.2</x:v>
      </x:c>
      <x:c r="AN31" s="186" t="n">
        <x:v>-0.016116653875671405</x:v>
      </x:c>
      <x:c r="AO31" s="186" t="n">
        <x:v>0</x:v>
      </x:c>
      <x:c r="AP31" s="186" t="n">
        <x:v>0</x:v>
      </x:c>
    </x:row>
    <x:row r="32" ht="15" hidden="0" customHeight="1">
      <x:c r="A32" s="187" t="n">
        <x:v>43313</x:v>
      </x:c>
      <x:c r="B32" s="186" t="n">
        <x:v>1202</x:v>
      </x:c>
      <x:c r="C32" s="186" t="n">
        <x:v>15</x:v>
      </x:c>
      <x:c r="D32" s="186" t="n">
        <x:v>-0.029079159935379684</x:v>
      </x:c>
      <x:c r="E32" s="186" t="n">
        <x:v>-0.04458598726114649</x:v>
      </x:c>
      <x:c r="F32" s="187" t="n">
        <x:v>43282</x:v>
      </x:c>
      <x:c r="G32" s="186" t="n">
        <x:v>74.4</x:v>
      </x:c>
      <x:c r="H32" s="186" t="n">
        <x:v>2.83</x:v>
      </x:c>
      <x:c r="I32" s="186" t="n">
        <x:v>2082</x:v>
      </x:c>
      <x:c r="J32" s="186" t="n">
        <x:v>6251</x:v>
      </x:c>
      <x:c r="K32" s="186" t="n">
        <x:v>1238</x:v>
      </x:c>
      <x:c r="L32" s="186" t="n">
        <x:v>832</x:v>
      </x:c>
      <x:c r="M32" s="186" t="n">
        <x:v>15.7</x:v>
      </x:c>
      <x:c r="N32" s="186" t="n">
        <x:v>78.85350318471338</x:v>
      </x:c>
      <x:c r="O32" s="186" t="n">
        <x:v>-0.1026414010910135</x:v>
      </x:c>
      <x:c r="P32" s="186" t="n">
        <x:v>-0.010638297872340385</x:v>
      </x:c>
      <x:c r="Q32" s="186" t="n">
        <x:v>2.889047619047619</x:v>
      </x:c>
      <x:c r="R32" s="186" t="n">
        <x:v>0.7747619047619048</x:v>
      </x:c>
      <x:c r="S32" s="186" t="n">
        <x:v>2.1142857142857143</x:v>
      </x:c>
      <x:c r="T32" s="186" t="n">
        <x:v>113.05953333333333</x:v>
      </x:c>
      <x:c r="U32" s="186" t="n">
        <x:v>110.02843</x:v>
      </x:c>
      <x:c r="V32" s="186" t="n">
        <x:v>129.10234</x:v>
      </x:c>
      <x:c r="W32" s="186" t="n">
        <x:v>84.40847</x:v>
      </x:c>
      <x:c r="X32" s="186" t="n">
        <x:v>1.0246339</x:v>
      </x:c>
      <x:c r="Y32" s="186" t="n">
        <x:v>1.1441746</x:v>
      </x:c>
      <x:c r="Z32" s="186" t="n">
        <x:v>2.6853948</x:v>
      </x:c>
      <x:c r="AA32" s="186" t="n">
        <x:v>-16663</x:v>
      </x:c>
      <x:c r="AB32" s="186" t="n">
        <x:v>-899</x:v>
      </x:c>
      <x:c r="AC32" s="186" t="n">
        <x:v>-67545</x:v>
      </x:c>
      <x:c r="AD32" s="186" t="n">
        <x:v>-35520.75</x:v>
      </x:c>
      <x:c r="AE32" s="186" t="n">
        <x:v>-0.03274044483677352</x:v>
      </x:c>
      <x:c r="AF32" s="186" t="n">
        <x:v>-0.0034769846256823018</x:v>
      </x:c>
      <x:c r="AG32" s="186" t="n">
        <x:v>-0.023333333333333428</x:v>
      </x:c>
      <x:c r="AH32" s="186" t="n">
        <x:v>-0.020000000000000018</x:v>
      </x:c>
      <x:c r="AI32" s="186" t="n">
        <x:v>-0.0033333333333334103</x:v>
      </x:c>
      <x:c r="AJ32" s="186" t="n">
        <x:v>0.001906290869586602</x:v>
      </x:c>
      <x:c r="AK32" s="186" t="n">
        <x:v>6.0598373</x:v>
      </x:c>
      <x:c r="AL32" s="186" t="n">
        <x:v>-50840.8</x:v>
      </x:c>
      <x:c r="AM32" s="186" t="n">
        <x:v>-20089.2</x:v>
      </x:c>
      <x:c r="AN32" s="186" t="n">
        <x:v>0.014885181394516778</x:v>
      </x:c>
      <x:c r="AO32" s="186" t="n">
        <x:v>0</x:v>
      </x:c>
      <x:c r="AP32" s="186" t="n">
        <x:v>0</x:v>
      </x:c>
    </x:row>
    <x:row r="33" ht="15" hidden="0" customHeight="1">
      <x:c r="A33" s="187" t="n">
        <x:v>43344</x:v>
      </x:c>
      <x:c r="B33" s="186" t="n">
        <x:v>1198</x:v>
      </x:c>
      <x:c r="C33" s="186" t="n">
        <x:v>14.3</x:v>
      </x:c>
      <x:c r="D33" s="186" t="n">
        <x:v>-0.0033277870216306127</x:v>
      </x:c>
      <x:c r="E33" s="186" t="n">
        <x:v>-0.046666666666666634</x:v>
      </x:c>
      <x:c r="F33" s="187" t="n">
        <x:v>43313</x:v>
      </x:c>
      <x:c r="G33" s="186" t="n">
        <x:v>73.1</x:v>
      </x:c>
      <x:c r="H33" s="186" t="n">
        <x:v>2.96</x:v>
      </x:c>
      <x:c r="I33" s="186" t="n">
        <x:v>2052</x:v>
      </x:c>
      <x:c r="J33" s="186" t="n">
        <x:v>6051</x:v>
      </x:c>
      <x:c r="K33" s="186" t="n">
        <x:v>1202</x:v>
      </x:c>
      <x:c r="L33" s="186" t="n">
        <x:v>805</x:v>
      </x:c>
      <x:c r="M33" s="186" t="n">
        <x:v>15</x:v>
      </x:c>
      <x:c r="N33" s="186" t="n">
        <x:v>80.13333333333334</x:v>
      </x:c>
      <x:c r="O33" s="186" t="n">
        <x:v>-0.03199488081906898</x:v>
      </x:c>
      <x:c r="P33" s="186" t="n">
        <x:v>-0.0174731182795701</x:v>
      </x:c>
      <x:c r="Q33" s="186" t="n">
        <x:v>2.889130434782609</x:v>
      </x:c>
      <x:c r="R33" s="186" t="n">
        <x:v>0.79</x:v>
      </x:c>
      <x:c r="S33" s="186" t="n">
        <x:v>2.0991304347826087</x:v>
      </x:c>
      <x:c r="T33" s="186" t="n">
        <x:v>113.83163043478261</x:v>
      </x:c>
      <x:c r="U33" s="186" t="n">
        <x:v>112.741684</x:v>
      </x:c>
      <x:c r="V33" s="186" t="n">
        <x:v>145.11407</x:v>
      </x:c>
      <x:c r="W33" s="186" t="n">
        <x:v>68.57559</x:v>
      </x:c>
      <x:c r="X33" s="186" t="n">
        <x:v>0.96295965</x:v>
      </x:c>
      <x:c r="Y33" s="186" t="n">
        <x:v>1.1645093</x:v>
      </x:c>
      <x:c r="Z33" s="186" t="n">
        <x:v>2.808259</x:v>
      </x:c>
      <x:c r="AA33" s="186" t="n">
        <x:v>-71553.6</x:v>
      </x:c>
      <x:c r="AB33" s="186" t="n">
        <x:v>-21526.6</x:v>
      </x:c>
      <x:c r="AC33" s="186" t="n">
        <x:v>-43525.8</x:v>
      </x:c>
      <x:c r="AD33" s="186" t="n">
        <x:v>-26580.8</x:v>
      </x:c>
      <x:c r="AE33" s="186" t="n">
        <x:v>-0.1513665939310474</x:v>
      </x:c>
      <x:c r="AF33" s="186" t="n">
        <x:v>-0.09157250256757563</x:v>
      </x:c>
      <x:c r="AG33" s="186" t="n">
        <x:v>0.00008281573498969408</x:v>
      </x:c>
      <x:c r="AH33" s="186" t="n">
        <x:v>0.015238095238095273</x:v>
      </x:c>
      <x:c r="AI33" s="186" t="n">
        <x:v>-0.015155279503105579</x:v>
      </x:c>
      <x:c r="AJ33" s="186" t="n">
        <x:v>0.006829119833467789</x:v>
      </x:c>
      <x:c r="AK33" s="186" t="n">
        <x:v>2.7132568</x:v>
      </x:c>
      <x:c r="AL33" s="186" t="n">
        <x:v>-54890.600000000006</x:v>
      </x:c>
      <x:c r="AM33" s="186" t="n">
        <x:v>-20627.6</x:v>
      </x:c>
      <x:c r="AN33" s="186" t="n">
        <x:v>0.01623047926763599</x:v>
      </x:c>
      <x:c r="AO33" s="186" t="n">
        <x:v>0</x:v>
      </x:c>
      <x:c r="AP33" s="186" t="n">
        <x:v>0</x:v>
      </x:c>
    </x:row>
    <x:row r="34" ht="15" hidden="0" customHeight="1">
      <x:c r="A34" s="187" t="n">
        <x:v>43374</x:v>
      </x:c>
      <x:c r="B34" s="186" t="n">
        <x:v>1215</x:v>
      </x:c>
      <x:c r="C34" s="186" t="n">
        <x:v>14.6</x:v>
      </x:c>
      <x:c r="D34" s="186" t="n">
        <x:v>0.014190317195325486</x:v>
      </x:c>
      <x:c r="E34" s="186" t="n">
        <x:v>0.020979020979020824</x:v>
      </x:c>
      <x:c r="F34" s="187" t="n">
        <x:v>43344</x:v>
      </x:c>
      <x:c r="G34" s="186" t="n">
        <x:v>78.9</x:v>
      </x:c>
      <x:c r="H34" s="186" t="n">
        <x:v>2.98</x:v>
      </x:c>
      <x:c r="I34" s="186" t="n">
        <x:v>2026</x:v>
      </x:c>
      <x:c r="J34" s="186" t="n">
        <x:v>6051</x:v>
      </x:c>
      <x:c r="K34" s="186" t="n">
        <x:v>1198</x:v>
      </x:c>
      <x:c r="L34" s="186" t="n">
        <x:v>805</x:v>
      </x:c>
      <x:c r="M34" s="186" t="n">
        <x:v>14.3</x:v>
      </x:c>
      <x:c r="N34" s="186" t="n">
        <x:v>83.77622377622377</x:v>
      </x:c>
      <x:c r="O34" s="186" t="n">
        <x:v>0</x:v>
      </x:c>
      <x:c r="P34" s="186" t="n">
        <x:v>0.07934336525307817</x:v>
      </x:c>
      <x:c r="Q34" s="186" t="n">
        <x:v>3.004210526315789</x:v>
      </x:c>
      <x:c r="R34" s="186" t="n">
        <x:v>0.8810526315789474</x:v>
      </x:c>
      <x:c r="S34" s="186" t="n">
        <x:v>2.1231578947368424</x:v>
      </x:c>
      <x:c r="T34" s="186" t="n">
        <x:v>114.07866315789474</x:v>
      </x:c>
      <x:c r="U34" s="186" t="n">
        <x:v>75.05391</x:v>
      </x:c>
      <x:c r="V34" s="186" t="n">
        <x:v>88.62364</x:v>
      </x:c>
      <x:c r="W34" s="186" t="n">
        <x:v>51.163918</x:v>
      </x:c>
      <x:c r="X34" s="186" t="n">
        <x:v>0.77278453</x:v>
      </x:c>
      <x:c r="Y34" s="186" t="n">
        <x:v>0.8189836</x:v>
      </x:c>
      <x:c r="Z34" s="186" t="n">
        <x:v>1.8185636</x:v>
      </x:c>
      <x:c r="AA34" s="186" t="n">
        <x:v>-81020.25</x:v>
      </x:c>
      <x:c r="AB34" s="186" t="n">
        <x:v>-46608</x:v>
      </x:c>
      <x:c r="AC34" s="186" t="n">
        <x:v>-39617.25</x:v>
      </x:c>
      <x:c r="AD34" s="186" t="n">
        <x:v>-11450.5</x:v>
      </x:c>
      <x:c r="AE34" s="186" t="n">
        <x:v>-0.17313312587954968</x:v>
      </x:c>
      <x:c r="AF34" s="186" t="n">
        <x:v>-0.22416146276259835</x:v>
      </x:c>
      <x:c r="AG34" s="186" t="n">
        <x:v>0.11508009153318044</x:v>
      </x:c>
      <x:c r="AH34" s="186" t="n">
        <x:v>0.09105263157894739</x:v>
      </x:c>
      <x:c r="AI34" s="186" t="n">
        <x:v>0.02402745995423361</x:v>
      </x:c>
      <x:c r="AJ34" s="186" t="n">
        <x:v>0.0021701588756006807</x:v>
      </x:c>
      <x:c r="AK34" s="186" t="n">
        <x:v>-37.687775</x:v>
      </x:c>
      <x:c r="AL34" s="186" t="n">
        <x:v>-9466.649999999994</x:v>
      </x:c>
      <x:c r="AM34" s="186" t="n">
        <x:v>-25081.4</x:v>
      </x:c>
      <x:c r="AN34" s="186" t="n">
        <x:v>0.045460363264023806</x:v>
      </x:c>
      <x:c r="AO34" s="186" t="n">
        <x:v>1</x:v>
      </x:c>
      <x:c r="AP34" s="186" t="n">
        <x:v>1</x:v>
      </x:c>
    </x:row>
    <x:row r="35" ht="15" hidden="0" customHeight="1">
      <x:c r="A35" s="187" t="n">
        <x:v>43405</x:v>
      </x:c>
      <x:c r="B35" s="186" t="n">
        <x:v>1221</x:v>
      </x:c>
      <x:c r="C35" s="186" t="n">
        <x:v>14.4</x:v>
      </x:c>
      <x:c r="D35" s="186" t="n">
        <x:v>0.004938271604938205</x:v>
      </x:c>
      <x:c r="E35" s="186" t="n">
        <x:v>-0.013698630136986245</x:v>
      </x:c>
      <x:c r="F35" s="187" t="n">
        <x:v>43374</x:v>
      </x:c>
      <x:c r="G35" s="186" t="n">
        <x:v>80.5</x:v>
      </x:c>
      <x:c r="H35" s="186" t="n">
        <x:v>3.28</x:v>
      </x:c>
      <x:c r="I35" s="186" t="n">
        <x:v>2030</x:v>
      </x:c>
      <x:c r="J35" s="186" t="n">
        <x:v>6220</x:v>
      </x:c>
      <x:c r="K35" s="186" t="n">
        <x:v>1215</x:v>
      </x:c>
      <x:c r="L35" s="186" t="n">
        <x:v>830</x:v>
      </x:c>
      <x:c r="M35" s="186" t="n">
        <x:v>14.6</x:v>
      </x:c>
      <x:c r="N35" s="186" t="n">
        <x:v>83.21917808219179</x:v>
      </x:c>
      <x:c r="O35" s="186" t="n">
        <x:v>0.027929267889605036</x:v>
      </x:c>
      <x:c r="P35" s="186" t="n">
        <x:v>0.020278833967046772</x:v>
      </x:c>
      <x:c r="Q35" s="186" t="n">
        <x:v>3.152272727272727</x:v>
      </x:c>
      <x:c r="R35" s="186" t="n">
        <x:v>1.040909090909091</x:v>
      </x:c>
      <x:c r="S35" s="186" t="n">
        <x:v>2.1113636363636363</x:v>
      </x:c>
      <x:c r="T35" s="186" t="n">
        <x:v>114.83125909090909</x:v>
      </x:c>
      <x:c r="U35" s="186" t="n">
        <x:v>92.01648</x:v>
      </x:c>
      <x:c r="V35" s="186" t="n">
        <x:v>115.21215</x:v>
      </x:c>
      <x:c r="W35" s="186" t="n">
        <x:v>61.150475</x:v>
      </x:c>
      <x:c r="X35" s="186" t="n">
        <x:v>1.0380623</x:v>
      </x:c>
      <x:c r="Y35" s="186" t="n">
        <x:v>1.0133466</x:v>
      </x:c>
      <x:c r="Z35" s="186" t="n">
        <x:v>2.389191</x:v>
      </x:c>
      <x:c r="AA35" s="186" t="n">
        <x:v>-69138.75</x:v>
      </x:c>
      <x:c r="AB35" s="186" t="n">
        <x:v>-32939.5</x:v>
      </x:c>
      <x:c r="AC35" s="186" t="n">
        <x:v>-50656</x:v>
      </x:c>
      <x:c r="AD35" s="186" t="n">
        <x:v>-23680.75</x:v>
      </x:c>
      <x:c r="AE35" s="186" t="n">
        <x:v>-0.1480623797940726</x:v>
      </x:c>
      <x:c r="AF35" s="186" t="n">
        <x:v>-0.16485593496198367</x:v>
      </x:c>
      <x:c r="AG35" s="186" t="n">
        <x:v>0.14806220095693767</x:v>
      </x:c>
      <x:c r="AH35" s="186" t="n">
        <x:v>0.15985645933014359</x:v>
      </x:c>
      <x:c r="AI35" s="186" t="n">
        <x:v>-0.011794258373206024</x:v>
      </x:c>
      <x:c r="AJ35" s="186" t="n">
        <x:v>0.006597166483031991</x:v>
      </x:c>
      <x:c r="AK35" s="186" t="n">
        <x:v>16.96257</x:v>
      </x:c>
      <x:c r="AL35" s="186" t="n">
        <x:v>11881.5</x:v>
      </x:c>
      <x:c r="AM35" s="186" t="n">
        <x:v>13668.5</x:v>
      </x:c>
      <x:c r="AN35" s="186" t="n">
        <x:v>-0.006649209870331685</x:v>
      </x:c>
      <x:c r="AO35" s="186" t="n">
        <x:v>1</x:v>
      </x:c>
      <x:c r="AP35" s="186" t="n">
        <x:v>0</x:v>
      </x:c>
    </x:row>
    <x:row r="36" ht="15" hidden="0" customHeight="1">
      <x:c r="A36" s="187" t="n">
        <x:v>43435</x:v>
      </x:c>
      <x:c r="B36" s="186" t="n">
        <x:v>1250</x:v>
      </x:c>
      <x:c r="C36" s="186" t="n">
        <x:v>14.8</x:v>
      </x:c>
      <x:c r="D36" s="186" t="n">
        <x:v>0.02375102375102367</x:v>
      </x:c>
      <x:c r="E36" s="186" t="n">
        <x:v>0.0277777777777779</x:v>
      </x:c>
      <x:c r="F36" s="187" t="n">
        <x:v>43405</x:v>
      </x:c>
      <x:c r="G36" s="186" t="n">
        <x:v>65.2</x:v>
      </x:c>
      <x:c r="H36" s="186" t="n">
        <x:v>4.13</x:v>
      </x:c>
      <x:c r="I36" s="186" t="n">
        <x:v>1939</x:v>
      </x:c>
      <x:c r="J36" s="186" t="n">
        <x:v>6196</x:v>
      </x:c>
      <x:c r="K36" s="186" t="n">
        <x:v>1221</x:v>
      </x:c>
      <x:c r="L36" s="186" t="n">
        <x:v>846</x:v>
      </x:c>
      <x:c r="M36" s="186" t="n">
        <x:v>14.4</x:v>
      </x:c>
      <x:c r="N36" s="186" t="n">
        <x:v>84.79166666666667</x:v>
      </x:c>
      <x:c r="O36" s="186" t="n">
        <x:v>-0.0038585209003215715</x:v>
      </x:c>
      <x:c r="P36" s="186" t="n">
        <x:v>-0.19006211180124222</x:v>
      </x:c>
      <x:c r="Q36" s="186" t="n">
        <x:v>3.117</x:v>
      </x:c>
      <x:c r="R36" s="186" t="n">
        <x:v>1.113</x:v>
      </x:c>
      <x:c r="S36" s="186" t="n">
        <x:v>2.004</x:v>
      </x:c>
      <x:c r="T36" s="186" t="n">
        <x:v>116.16904500000001</x:v>
      </x:c>
      <x:c r="U36" s="186" t="n">
        <x:v>80.407585</x:v>
      </x:c>
      <x:c r="V36" s="186" t="n">
        <x:v>105.166855</x:v>
      </x:c>
      <x:c r="W36" s="186" t="n">
        <x:v>47.40217</x:v>
      </x:c>
      <x:c r="X36" s="186" t="n">
        <x:v>0.66545165</x:v>
      </x:c>
      <x:c r="Y36" s="186" t="n">
        <x:v>0.82651633</x:v>
      </x:c>
      <x:c r="Z36" s="186" t="n">
        <x:v>1.9454923</x:v>
      </x:c>
      <x:c r="AA36" s="186" t="n">
        <x:v>-58480.8</x:v>
      </x:c>
      <x:c r="AB36" s="186" t="n">
        <x:v>-30241.8</x:v>
      </x:c>
      <x:c r="AC36" s="186" t="n">
        <x:v>-50490.4</x:v>
      </x:c>
      <x:c r="AD36" s="186" t="n">
        <x:v>-24882</x:v>
      </x:c>
      <x:c r="AE36" s="186" t="n">
        <x:v>-0.11800224331470781</x:v>
      </x:c>
      <x:c r="AF36" s="186" t="n">
        <x:v>-0.1410259771148419</x:v>
      </x:c>
      <x:c r="AG36" s="186" t="n">
        <x:v>-0.0352727272727269</x:v>
      </x:c>
      <x:c r="AH36" s="186" t="n">
        <x:v>0.07209090909090898</x:v>
      </x:c>
      <x:c r="AI36" s="186" t="n">
        <x:v>-0.10736363636363633</x:v>
      </x:c>
      <x:c r="AJ36" s="186" t="n">
        <x:v>0.011650015158606086</x:v>
      </x:c>
      <x:c r="AK36" s="186" t="n">
        <x:v>-11.608894</x:v>
      </x:c>
      <x:c r="AL36" s="186" t="n">
        <x:v>10657.949999999997</x:v>
      </x:c>
      <x:c r="AM36" s="186" t="n">
        <x:v>2697.7000000000007</x:v>
      </x:c>
      <x:c r="AN36" s="186" t="n">
        <x:v>0.01889574759945134</x:v>
      </x:c>
      <x:c r="AO36" s="186" t="n">
        <x:v>1</x:v>
      </x:c>
      <x:c r="AP36" s="186" t="n">
        <x:v>1</x:v>
      </x:c>
    </x:row>
    <x:row r="37" ht="15" hidden="0" customHeight="1">
      <x:c r="A37" s="187" t="n">
        <x:v>43466</x:v>
      </x:c>
      <x:c r="B37" s="186" t="n">
        <x:v>1292</x:v>
      </x:c>
      <x:c r="C37" s="186" t="n">
        <x:v>15.6</x:v>
      </x:c>
      <x:c r="D37" s="186" t="n">
        <x:v>0.033600000000000074</x:v>
      </x:c>
      <x:c r="E37" s="186" t="n">
        <x:v>0.054054054054053946</x:v>
      </x:c>
      <x:c r="F37" s="187" t="n">
        <x:v>43435</x:v>
      </x:c>
      <x:c r="G37" s="186" t="n">
        <x:v>56.5</x:v>
      </x:c>
      <x:c r="H37" s="186" t="n">
        <x:v>3.98</x:v>
      </x:c>
      <x:c r="I37" s="186" t="n">
        <x:v>1920</x:v>
      </x:c>
      <x:c r="J37" s="186" t="n">
        <x:v>6075</x:v>
      </x:c>
      <x:c r="K37" s="186" t="n">
        <x:v>1250</x:v>
      </x:c>
      <x:c r="L37" s="186" t="n">
        <x:v>791</x:v>
      </x:c>
      <x:c r="M37" s="186" t="n">
        <x:v>14.8</x:v>
      </x:c>
      <x:c r="N37" s="186" t="n">
        <x:v>84.45945945945945</x:v>
      </x:c>
      <x:c r="O37" s="186" t="n">
        <x:v>-0.019528728211749558</x:v>
      </x:c>
      <x:c r="P37" s="186" t="n">
        <x:v>-0.1334355828220859</x:v>
      </x:c>
      <x:c r="Q37" s="186" t="n">
        <x:v>2.8326315789473684</x:v>
      </x:c>
      <x:c r="R37" s="186" t="n">
        <x:v>1.016315789473684</x:v>
      </x:c>
      <x:c r="S37" s="186" t="n">
        <x:v>1.816315789473684</x:v>
      </x:c>
      <x:c r="T37" s="186" t="n">
        <x:v>116.2118052631579</x:v>
      </x:c>
      <x:c r="U37" s="186" t="n">
        <x:v>90.607666</x:v>
      </x:c>
      <x:c r="V37" s="186" t="n">
        <x:v>106.0627</x:v>
      </x:c>
      <x:c r="W37" s="186" t="n">
        <x:v>66.24093</x:v>
      </x:c>
      <x:c r="X37" s="186" t="n">
        <x:v>0.8167097</x:v>
      </x:c>
      <x:c r="Y37" s="186" t="n">
        <x:v>0.93405306</x:v>
      </x:c>
      <x:c r="Z37" s="186" t="n">
        <x:v>2.2342174</x:v>
      </x:c>
      <x:c r="AA37" s="186" t="n">
        <x:v>10828.25</x:v>
      </x:c>
      <x:c r="AB37" s="186" t="n">
        <x:v>-5207.5</x:v>
      </x:c>
      <x:c r="AC37" s="186" t="n">
        <x:v>-61515</x:v>
      </x:c>
      <x:c r="AD37" s="186" t="n">
        <x:v>-28350.25</x:v>
      </x:c>
      <x:c r="AE37" s="186" t="n">
        <x:v>0.024326357505875872</x:v>
      </x:c>
      <x:c r="AF37" s="186" t="n">
        <x:v>-0.028831626347972587</x:v>
      </x:c>
      <x:c r="AG37" s="186" t="n">
        <x:v>-0.2843684210526316</x:v>
      </x:c>
      <x:c r="AH37" s="186" t="n">
        <x:v>-0.09668421052631593</x:v>
      </x:c>
      <x:c r="AI37" s="186" t="n">
        <x:v>-0.1876842105263159</x:v>
      </x:c>
      <x:c r="AJ37" s="186" t="n">
        <x:v>0.00036808655143794056</x:v>
      </x:c>
      <x:c r="AK37" s="186" t="n">
        <x:v>10.200081</x:v>
      </x:c>
      <x:c r="AL37" s="186" t="n">
        <x:v>69309.05</x:v>
      </x:c>
      <x:c r="AM37" s="186" t="n">
        <x:v>25034.3</x:v>
      </x:c>
      <x:c r="AN37" s="186" t="n">
        <x:v>-0.003917922836841892</x:v>
      </x:c>
      <x:c r="AO37" s="186" t="n">
        <x:v>1</x:v>
      </x:c>
      <x:c r="AP37" s="186" t="n">
        <x:v>1</x:v>
      </x:c>
    </x:row>
    <x:row r="38" ht="15" hidden="0" customHeight="1">
      <x:c r="A38" s="187" t="n">
        <x:v>43497</x:v>
      </x:c>
      <x:c r="B38" s="186" t="n">
        <x:v>1320</x:v>
      </x:c>
      <x:c r="C38" s="186" t="n">
        <x:v>15.8</x:v>
      </x:c>
      <x:c r="D38" s="186" t="n">
        <x:v>0.021671826625387025</x:v>
      </x:c>
      <x:c r="E38" s="186" t="n">
        <x:v>0.012820512820512997</x:v>
      </x:c>
      <x:c r="F38" s="187" t="n">
        <x:v>43466</x:v>
      </x:c>
      <x:c r="G38" s="186" t="n">
        <x:v>59.3</x:v>
      </x:c>
      <x:c r="H38" s="186" t="n">
        <x:v>3.08</x:v>
      </x:c>
      <x:c r="I38" s="186" t="n">
        <x:v>1854</x:v>
      </x:c>
      <x:c r="J38" s="186" t="n">
        <x:v>5939</x:v>
      </x:c>
      <x:c r="K38" s="186" t="n">
        <x:v>1292</x:v>
      </x:c>
      <x:c r="L38" s="186" t="n">
        <x:v>807</x:v>
      </x:c>
      <x:c r="M38" s="186" t="n">
        <x:v>15.6</x:v>
      </x:c>
      <x:c r="N38" s="186" t="n">
        <x:v>82.82051282051282</x:v>
      </x:c>
      <x:c r="O38" s="186" t="n">
        <x:v>-0.022386831275720165</x:v>
      </x:c>
      <x:c r="P38" s="186" t="n">
        <x:v>0.04955752212389375</x:v>
      </x:c>
      <x:c r="Q38" s="186" t="n">
        <x:v>2.713809523809524</x:v>
      </x:c>
      <x:c r="R38" s="186" t="n">
        <x:v>0.92</x:v>
      </x:c>
      <x:c r="S38" s="186" t="n">
        <x:v>1.793809523809524</x:v>
      </x:c>
      <x:c r="T38" s="186" t="n">
        <x:v>114.44248999999999</x:v>
      </x:c>
      <x:c r="U38" s="186" t="n">
        <x:v>87.4241</x:v>
      </x:c>
      <x:c r="V38" s="186" t="n">
        <x:v>112.98045</x:v>
      </x:c>
      <x:c r="W38" s="186" t="n">
        <x:v>55.73351</x:v>
      </x:c>
      <x:c r="X38" s="186" t="n">
        <x:v>0.92647684</x:v>
      </x:c>
      <x:c r="Y38" s="186" t="n">
        <x:v>0.99872506</x:v>
      </x:c>
      <x:c r="Z38" s="186" t="n">
        <x:v>2.2481937</x:v>
      </x:c>
      <x:c r="AA38" s="186" t="n">
        <x:v>30950</x:v>
      </x:c>
      <x:c r="AB38" s="186" t="n">
        <x:v>36790.25</x:v>
      </x:c>
      <x:c r="AC38" s="186" t="n">
        <x:v>-63735.5</x:v>
      </x:c>
      <x:c r="AD38" s="186" t="n">
        <x:v>-42264.25</x:v>
      </x:c>
      <x:c r="AE38" s="186" t="n">
        <x:v>0.06594749797090164</x:v>
      </x:c>
      <x:c r="AF38" s="186" t="n">
        <x:v>0.19760027722503634</x:v>
      </x:c>
      <x:c r="AG38" s="186" t="n">
        <x:v>-0.11882205513784427</x:v>
      </x:c>
      <x:c r="AH38" s="186" t="n">
        <x:v>-0.09631578947368402</x:v>
      </x:c>
      <x:c r="AI38" s="186" t="n">
        <x:v>-0.02250626566416014</x:v>
      </x:c>
      <x:c r="AJ38" s="186" t="n">
        <x:v>-0.015224918493877193</x:v>
      </x:c>
      <x:c r="AK38" s="186" t="n">
        <x:v>-3.1835632</x:v>
      </x:c>
      <x:c r="AL38" s="186" t="n">
        <x:v>20121.75</x:v>
      </x:c>
      <x:c r="AM38" s="186" t="n">
        <x:v>41997.75</x:v>
      </x:c>
      <x:c r="AN38" s="186" t="n">
        <x:v>-0.019405128205128186</x:v>
      </x:c>
      <x:c r="AO38" s="186" t="n">
        <x:v>1</x:v>
      </x:c>
      <x:c r="AP38" s="186" t="n">
        <x:v>1</x:v>
      </x:c>
    </x:row>
    <x:row r="39" ht="15" hidden="0" customHeight="1">
      <x:c r="A39" s="187" t="n">
        <x:v>43525</x:v>
      </x:c>
      <x:c r="B39" s="186" t="n">
        <x:v>1301</x:v>
      </x:c>
      <x:c r="C39" s="186" t="n">
        <x:v>15.3</x:v>
      </x:c>
      <x:c r="D39" s="186" t="n">
        <x:v>-0.014393939393939403</x:v>
      </x:c>
      <x:c r="E39" s="186" t="n">
        <x:v>-0.03164556962025311</x:v>
      </x:c>
      <x:c r="F39" s="187" t="n">
        <x:v>43497</x:v>
      </x:c>
      <x:c r="G39" s="186" t="n">
        <x:v>64.1</x:v>
      </x:c>
      <x:c r="H39" s="186" t="n">
        <x:v>2.72</x:v>
      </x:c>
      <x:c r="I39" s="186" t="n">
        <x:v>1863</x:v>
      </x:c>
      <x:c r="J39" s="186" t="n">
        <x:v>6300</x:v>
      </x:c>
      <x:c r="K39" s="186" t="n">
        <x:v>1320</x:v>
      </x:c>
      <x:c r="L39" s="186" t="n">
        <x:v>818</x:v>
      </x:c>
      <x:c r="M39" s="186" t="n">
        <x:v>15.8</x:v>
      </x:c>
      <x:c r="N39" s="186" t="n">
        <x:v>83.54430379746834</x:v>
      </x:c>
      <x:c r="O39" s="186" t="n">
        <x:v>0.06078464387944105</x:v>
      </x:c>
      <x:c r="P39" s="186" t="n">
        <x:v>0.0809443507588532</x:v>
      </x:c>
      <x:c r="Q39" s="186" t="n">
        <x:v>2.6763157894736844</x:v>
      </x:c>
      <x:c r="R39" s="186" t="n">
        <x:v>0.7994736842105263</x:v>
      </x:c>
      <x:c r="S39" s="186" t="n">
        <x:v>1.8768421052631576</x:v>
      </x:c>
      <x:c r="T39" s="186" t="n">
        <x:v>114.41300555555556</x:v>
      </x:c>
      <x:c r="U39" s="186" t="n">
        <x:v>96.80016</x:v>
      </x:c>
      <x:c r="V39" s="186" t="n">
        <x:v>127.85742</x:v>
      </x:c>
      <x:c r="W39" s="186" t="n">
        <x:v>57.5117</x:v>
      </x:c>
      <x:c r="X39" s="186" t="n">
        <x:v>1.0716646</x:v>
      </x:c>
      <x:c r="Y39" s="186" t="n">
        <x:v>1.0575017</x:v>
      </x:c>
      <x:c r="Z39" s="186" t="n">
        <x:v>2.4313097</x:v>
      </x:c>
      <x:c r="AA39" s="186" t="n">
        <x:v>50567</x:v>
      </x:c>
      <x:c r="AB39" s="186" t="n">
        <x:v>42087.25</x:v>
      </x:c>
      <x:c r="AC39" s="186" t="n">
        <x:v>-76707.25</x:v>
      </x:c>
      <x:c r="AD39" s="186" t="n">
        <x:v>-45898.5</x:v>
      </x:c>
      <x:c r="AE39" s="186" t="n">
        <x:v>0.10333025453360617</x:v>
      </x:c>
      <x:c r="AF39" s="186" t="n">
        <x:v>0.20081631068060854</x:v>
      </x:c>
      <x:c r="AG39" s="186" t="n">
        <x:v>-0.03749373433583969</x:v>
      </x:c>
      <x:c r="AH39" s="186" t="n">
        <x:v>-0.1205263157894737</x:v>
      </x:c>
      <x:c r="AI39" s="186" t="n">
        <x:v>0.08303258145363368</x:v>
      </x:c>
      <x:c r="AJ39" s="186" t="n">
        <x:v>-0.00025763546777457513</x:v>
      </x:c>
      <x:c r="AK39" s="186" t="n">
        <x:v>9.3760605</x:v>
      </x:c>
      <x:c r="AL39" s="186" t="n">
        <x:v>19617</x:v>
      </x:c>
      <x:c r="AM39" s="186" t="n">
        <x:v>5297</x:v>
      </x:c>
      <x:c r="AN39" s="186" t="n">
        <x:v>0.00873927185797685</x:v>
      </x:c>
      <x:c r="AO39" s="186" t="n">
        <x:v>0</x:v>
      </x:c>
      <x:c r="AP39" s="186" t="n">
        <x:v>0</x:v>
      </x:c>
    </x:row>
    <x:row r="40" ht="15" hidden="0" customHeight="1">
      <x:c r="A40" s="187" t="n">
        <x:v>43556</x:v>
      </x:c>
      <x:c r="B40" s="186" t="n">
        <x:v>1286</x:v>
      </x:c>
      <x:c r="C40" s="186" t="n">
        <x:v>15.1</x:v>
      </x:c>
      <x:c r="D40" s="186" t="n">
        <x:v>-0.01152959262106068</x:v>
      </x:c>
      <x:c r="E40" s="186" t="n">
        <x:v>-0.013071895424836666</x:v>
      </x:c>
      <x:c r="F40" s="187" t="n">
        <x:v>43525</x:v>
      </x:c>
      <x:c r="G40" s="186" t="n">
        <x:v>66.4</x:v>
      </x:c>
      <x:c r="H40" s="186" t="n">
        <x:v>2.94</x:v>
      </x:c>
      <x:c r="I40" s="186" t="n">
        <x:v>1871</x:v>
      </x:c>
      <x:c r="J40" s="186" t="n">
        <x:v>6439</x:v>
      </x:c>
      <x:c r="K40" s="186" t="n">
        <x:v>1301</x:v>
      </x:c>
      <x:c r="L40" s="186" t="n">
        <x:v>843</x:v>
      </x:c>
      <x:c r="M40" s="186" t="n">
        <x:v>15.3</x:v>
      </x:c>
      <x:c r="N40" s="186" t="n">
        <x:v>85.03267973856208</x:v>
      </x:c>
      <x:c r="O40" s="186" t="n">
        <x:v>0.02206349206349212</x:v>
      </x:c>
      <x:c r="P40" s="186" t="n">
        <x:v>0.03588143525741039</x:v>
      </x:c>
      <x:c r="Q40" s="186" t="n">
        <x:v>2.570952380952381</x:v>
      </x:c>
      <x:c r="R40" s="186" t="n">
        <x:v>0.6580952380952381</x:v>
      </x:c>
      <x:c r="S40" s="186" t="n">
        <x:v>1.912857142857143</x:v>
      </x:c>
      <x:c r="T40" s="186" t="n">
        <x:v>114.78351904761905</x:v>
      </x:c>
      <x:c r="U40" s="186" t="n">
        <x:v>82.32829</x:v>
      </x:c>
      <x:c r="V40" s="186" t="n">
        <x:v>90.7896</x:v>
      </x:c>
      <x:c r="W40" s="186" t="n">
        <x:v>66.641205</x:v>
      </x:c>
      <x:c r="X40" s="186" t="n">
        <x:v>0.7716693</x:v>
      </x:c>
      <x:c r="Y40" s="186" t="n">
        <x:v>0.56311005</x:v>
      </x:c>
      <x:c r="Z40" s="186" t="n">
        <x:v>1.8770335</x:v>
      </x:c>
      <x:c r="AA40" s="186" t="n">
        <x:v>43135</x:v>
      </x:c>
      <x:c r="AB40" s="186" t="n">
        <x:v>19425.4</x:v>
      </x:c>
      <x:c r="AC40" s="186" t="n">
        <x:v>-70319.4</x:v>
      </x:c>
      <x:c r="AD40" s="186" t="n">
        <x:v>-38077</x:v>
      </x:c>
      <x:c r="AE40" s="186" t="n">
        <x:v>0.08578521192632309</x:v>
      </x:c>
      <x:c r="AF40" s="186" t="n">
        <x:v>0.09811092748536601</x:v>
      </x:c>
      <x:c r="AG40" s="186" t="n">
        <x:v>-0.10536340852130355</x:v>
      </x:c>
      <x:c r="AH40" s="186" t="n">
        <x:v>-0.14137844611528827</x:v>
      </x:c>
      <x:c r="AI40" s="186" t="n">
        <x:v>0.03601503759398539</x:v>
      </x:c>
      <x:c r="AJ40" s="186" t="n">
        <x:v>0.003238386145564487</x:v>
      </x:c>
      <x:c r="AK40" s="186" t="n">
        <x:v>-14.47187</x:v>
      </x:c>
      <x:c r="AL40" s="186" t="n">
        <x:v>-7432</x:v>
      </x:c>
      <x:c r="AM40" s="186" t="n">
        <x:v>-22661.85</x:v>
      </x:c>
      <x:c r="AN40" s="186" t="n">
        <x:v>0.01781540899187961</x:v>
      </x:c>
      <x:c r="AO40" s="186" t="n">
        <x:v>0</x:v>
      </x:c>
      <x:c r="AP40" s="186" t="n">
        <x:v>0</x:v>
      </x:c>
    </x:row>
    <x:row r="41">
      <x:c r="A41" s="187" t="n">
        <x:v>43586</x:v>
      </x:c>
      <x:c r="B41" s="186" t="n">
        <x:v>1284</x:v>
      </x:c>
      <x:c r="C41" s="186" t="n">
        <x:v>14.7</x:v>
      </x:c>
      <x:c r="D41" s="186" t="n">
        <x:v>-0.0015552099533436836</x:v>
      </x:c>
      <x:c r="E41" s="186" t="n">
        <x:v>-0.026490066225165587</x:v>
      </x:c>
      <x:c r="F41" s="187" t="n">
        <x:v>43556</x:v>
      </x:c>
      <x:c r="G41" s="186" t="n">
        <x:v>71.2</x:v>
      </x:c>
      <x:c r="H41" s="186" t="n">
        <x:v>2.65</x:v>
      </x:c>
      <x:c r="I41" s="186" t="n">
        <x:v>1845</x:v>
      </x:c>
      <x:c r="J41" s="186" t="n">
        <x:v>6438</x:v>
      </x:c>
      <x:c r="K41" s="186" t="n">
        <x:v>1286</x:v>
      </x:c>
      <x:c r="L41" s="186" t="n">
        <x:v>887</x:v>
      </x:c>
      <x:c r="M41" s="186" t="n">
        <x:v>15.1</x:v>
      </x:c>
      <x:c r="N41" s="186" t="n">
        <x:v>85.16556291390728</x:v>
      </x:c>
      <x:c r="O41" s="186" t="n">
        <x:v>-0.00015530361857429842</x:v>
      </x:c>
      <x:c r="P41" s="186" t="n">
        <x:v>0.07228915662650603</x:v>
      </x:c>
      <x:c r="Q41" s="186" t="n">
        <x:v>2.532380952380952</x:v>
      </x:c>
      <x:c r="R41" s="186" t="n">
        <x:v>0.5957142857142858</x:v>
      </x:c>
      <x:c r="S41" s="186" t="n">
        <x:v>1.9366666666666668</x:v>
      </x:c>
      <x:c r="T41" s="186" t="n">
        <x:v>114.90375454545455</x:v>
      </x:c>
      <x:c r="U41" s="186" t="n">
        <x:v>79.25345</x:v>
      </x:c>
      <x:c r="V41" s="186" t="n">
        <x:v>95.4554</x:v>
      </x:c>
      <x:c r="W41" s="186" t="n">
        <x:v>57.51553</x:v>
      </x:c>
      <x:c r="X41" s="186" t="n">
        <x:v>0.55958456</x:v>
      </x:c>
      <x:c r="Y41" s="186" t="n">
        <x:v>0.80580175</x:v>
      </x:c>
      <x:c r="Z41" s="186" t="n">
        <x:v>1.938401</x:v>
      </x:c>
      <x:c r="AA41" s="186" t="n">
        <x:v>3109.75</x:v>
      </x:c>
      <x:c r="AB41" s="186" t="n">
        <x:v>-8180.75</x:v>
      </x:c>
      <x:c r="AC41" s="186" t="n">
        <x:v>-49256.25</x:v>
      </x:c>
      <x:c r="AD41" s="186" t="n">
        <x:v>-29082</x:v>
      </x:c>
      <x:c r="AE41" s="186" t="n">
        <x:v>0.006721345439029813</x:v>
      </x:c>
      <x:c r="AF41" s="186" t="n">
        <x:v>-0.03735655473241742</x:v>
      </x:c>
      <x:c r="AG41" s="186" t="n">
        <x:v>-0.0385714285714287</x:v>
      </x:c>
      <x:c r="AH41" s="186" t="n">
        <x:v>-0.062380952380952315</x:v>
      </x:c>
      <x:c r="AI41" s="186" t="n">
        <x:v>0.023809523809523725</x:v>
      </x:c>
      <x:c r="AJ41" s="186" t="n">
        <x:v>0.00104749792333525</x:v>
      </x:c>
      <x:c r="AK41" s="186" t="n">
        <x:v>-3.0748444</x:v>
      </x:c>
      <x:c r="AL41" s="186" t="n">
        <x:v>-40025.25</x:v>
      </x:c>
      <x:c r="AM41" s="186" t="n">
        <x:v>-27606.15</x:v>
      </x:c>
      <x:c r="AN41" s="186" t="n">
        <x:v>0.0015627306554815146</x:v>
      </x:c>
      <x:c r="AO41" s="186" t="n">
        <x:v>0</x:v>
      </x:c>
      <x:c r="AP41" s="186" t="n">
        <x:v>0</x:v>
      </x:c>
    </x:row>
    <x:row r="42">
      <x:c r="A42" s="187" t="n">
        <x:v>43617</x:v>
      </x:c>
      <x:c r="B42" s="186" t="n">
        <x:v>1359</x:v>
      </x:c>
      <x:c r="C42" s="186" t="n">
        <x:v>15</x:v>
      </x:c>
      <x:c r="D42" s="186" t="n">
        <x:v>0.05841121495327095</x:v>
      </x:c>
      <x:c r="E42" s="186" t="n">
        <x:v>0.020408163265306145</x:v>
      </x:c>
      <x:c r="F42" s="187" t="n">
        <x:v>43586</x:v>
      </x:c>
      <x:c r="G42" s="186" t="n">
        <x:v>70.5</x:v>
      </x:c>
      <x:c r="H42" s="186" t="n">
        <x:v>2.63</x:v>
      </x:c>
      <x:c r="I42" s="186" t="n">
        <x:v>1781</x:v>
      </x:c>
      <x:c r="J42" s="186" t="n">
        <x:v>6018</x:v>
      </x:c>
      <x:c r="K42" s="186" t="n">
        <x:v>1284</x:v>
      </x:c>
      <x:c r="L42" s="186" t="n">
        <x:v>834</x:v>
      </x:c>
      <x:c r="M42" s="186" t="n">
        <x:v>14.7</x:v>
      </x:c>
      <x:c r="N42" s="186" t="n">
        <x:v>87.34693877551021</x:v>
      </x:c>
      <x:c r="O42" s="186" t="n">
        <x:v>-0.06523765144454796</x:v>
      </x:c>
      <x:c r="P42" s="186" t="n">
        <x:v>-0.0098314606741573</x:v>
      </x:c>
      <x:c r="Q42" s="186" t="n">
        <x:v>2.395</x:v>
      </x:c>
      <x:c r="R42" s="186" t="n">
        <x:v>0.5686363636363636</x:v>
      </x:c>
      <x:c r="S42" s="186" t="n">
        <x:v>1.8263636363636364</x:v>
      </x:c>
      <x:c r="T42" s="186" t="n">
        <x:v>115.95738181818182</x:v>
      </x:c>
      <x:c r="U42" s="186" t="n">
        <x:v>106.4719</x:v>
      </x:c>
      <x:c r="V42" s="186" t="n">
        <x:v>134.97252</x:v>
      </x:c>
      <x:c r="W42" s="186" t="n">
        <x:v>64.66344</x:v>
      </x:c>
      <x:c r="X42" s="186" t="n">
        <x:v>1.1733861</x:v>
      </x:c>
      <x:c r="Y42" s="186" t="n">
        <x:v>0.9713745</x:v>
      </x:c>
      <x:c r="Z42" s="186" t="n">
        <x:v>2.776584</x:v>
      </x:c>
      <x:c r="AA42" s="186" t="n">
        <x:v>20876</x:v>
      </x:c>
      <x:c r="AB42" s="186" t="n">
        <x:v>-21902.4</x:v>
      </x:c>
      <x:c r="AC42" s="186" t="n">
        <x:v>-57867.4</x:v>
      </x:c>
      <x:c r="AD42" s="186" t="n">
        <x:v>-19764.6</x:v>
      </x:c>
      <x:c r="AE42" s="186" t="n">
        <x:v>0.04123574469421333</x:v>
      </x:c>
      <x:c r="AF42" s="186" t="n">
        <x:v>-0.1049989514450262</x:v>
      </x:c>
      <x:c r="AG42" s="186" t="n">
        <x:v>-0.13738095238095216</x:v>
      </x:c>
      <x:c r="AH42" s="186" t="n">
        <x:v>-0.027077922077922145</x:v>
      </x:c>
      <x:c r="AI42" s="186" t="n">
        <x:v>-0.11030303030303035</x:v>
      </x:c>
      <x:c r="AJ42" s="186" t="n">
        <x:v>0.009169650520953754</x:v>
      </x:c>
      <x:c r="AK42" s="186" t="n">
        <x:v>27.218452</x:v>
      </x:c>
      <x:c r="AL42" s="186" t="n">
        <x:v>17766.25</x:v>
      </x:c>
      <x:c r="AM42" s="186" t="n">
        <x:v>-13721.650000000001</x:v>
      </x:c>
      <x:c r="AN42" s="186" t="n">
        <x:v>0.025613355762211798</x:v>
      </x:c>
      <x:c r="AO42" s="186" t="n">
        <x:v>1</x:v>
      </x:c>
      <x:c r="AP42" s="186" t="n">
        <x:v>1</x:v>
      </x:c>
    </x:row>
    <x:row r="43">
      <x:c r="A43" s="187" t="n">
        <x:v>43647</x:v>
      </x:c>
      <x:c r="B43" s="186" t="n">
        <x:v>1413</x:v>
      </x:c>
      <x:c r="C43" s="186" t="n">
        <x:v>15.8</x:v>
      </x:c>
      <x:c r="D43" s="186" t="n">
        <x:v>0.039735099337748325</x:v>
      </x:c>
      <x:c r="E43" s="186" t="n">
        <x:v>0.053333333333333455</x:v>
      </x:c>
      <x:c r="F43" s="187" t="n">
        <x:v>43617</x:v>
      </x:c>
      <x:c r="G43" s="186" t="n">
        <x:v>63.3</x:v>
      </x:c>
      <x:c r="H43" s="186" t="n">
        <x:v>2.4</x:v>
      </x:c>
      <x:c r="I43" s="186" t="n">
        <x:v>1756</x:v>
      </x:c>
      <x:c r="J43" s="186" t="n">
        <x:v>5882</x:v>
      </x:c>
      <x:c r="K43" s="186" t="n">
        <x:v>1359</x:v>
      </x:c>
      <x:c r="L43" s="186" t="n">
        <x:v>808</x:v>
      </x:c>
      <x:c r="M43" s="186" t="n">
        <x:v>15</x:v>
      </x:c>
      <x:c r="N43" s="186" t="n">
        <x:v>90.6</x:v>
      </x:c>
      <x:c r="O43" s="186" t="n">
        <x:v>-0.02259887005649719</x:v>
      </x:c>
      <x:c r="P43" s="186" t="n">
        <x:v>-0.10212765957446812</x:v>
      </x:c>
      <x:c r="Q43" s="186" t="n">
        <x:v>2.074</x:v>
      </x:c>
      <x:c r="R43" s="186" t="n">
        <x:v>0.374</x:v>
      </x:c>
      <x:c r="S43" s="186" t="n">
        <x:v>1.7</x:v>
      </x:c>
      <x:c r="T43" s="186" t="n">
        <x:v>115.42707</x:v>
      </x:c>
      <x:c r="U43" s="186" t="n">
        <x:v>106.588455</x:v>
      </x:c>
      <x:c r="V43" s="186" t="n">
        <x:v>142.65349</x:v>
      </x:c>
      <x:c r="W43" s="186" t="n">
        <x:v>53.42064</x:v>
      </x:c>
      <x:c r="X43" s="186" t="n">
        <x:v>1.2943308</x:v>
      </x:c>
      <x:c r="Y43" s="186" t="n">
        <x:v>0.9017171</x:v>
      </x:c>
      <x:c r="Z43" s="186" t="n">
        <x:v>2.8691</x:v>
      </x:c>
      <x:c r="AA43" s="186" t="n">
        <x:v>138399.75</x:v>
      </x:c>
      <x:c r="AB43" s="186" t="n">
        <x:v>-5</x:v>
      </x:c>
      <x:c r="AC43" s="186" t="n">
        <x:v>-102281.5</x:v>
      </x:c>
      <x:c r="AD43" s="186" t="n">
        <x:v>-30754.25</x:v>
      </x:c>
      <x:c r="AE43" s="186" t="n">
        <x:v>0.26347088552933123</x:v>
      </x:c>
      <x:c r="AF43" s="186" t="n">
        <x:v>-0.001593535739125962</x:v>
      </x:c>
      <x:c r="AG43" s="186" t="n">
        <x:v>-0.3210000000000002</x:v>
      </x:c>
      <x:c r="AH43" s="186" t="n">
        <x:v>-0.1946363636363636</x:v>
      </x:c>
      <x:c r="AI43" s="186" t="n">
        <x:v>-0.12636363636363646</x:v>
      </x:c>
      <x:c r="AJ43" s="186" t="n">
        <x:v>-0.00457333383926628</x:v>
      </x:c>
      <x:c r="AK43" s="186" t="n">
        <x:v>0.11655426</x:v>
      </x:c>
      <x:c r="AL43" s="186" t="n">
        <x:v>117523.75</x:v>
      </x:c>
      <x:c r="AM43" s="186" t="n">
        <x:v>21897.4</x:v>
      </x:c>
      <x:c r="AN43" s="186" t="n">
        <x:v>0.037242990654205554</x:v>
      </x:c>
      <x:c r="AO43" s="186" t="n">
        <x:v>1</x:v>
      </x:c>
      <x:c r="AP43" s="186" t="n">
        <x:v>1</x:v>
      </x:c>
    </x:row>
    <x:row r="44">
      <x:c r="A44" s="187" t="n">
        <x:v>43678</x:v>
      </x:c>
      <x:c r="B44" s="186" t="n">
        <x:v>1500</x:v>
      </x:c>
      <x:c r="C44" s="186" t="n">
        <x:v>17.2</x:v>
      </x:c>
      <x:c r="D44" s="186" t="n">
        <x:v>0.06157112526539277</x:v>
      </x:c>
      <x:c r="E44" s="186" t="n">
        <x:v>0.08860759493670867</x:v>
      </x:c>
      <x:c r="F44" s="187" t="n">
        <x:v>43647</x:v>
      </x:c>
      <x:c r="G44" s="186" t="n">
        <x:v>64</x:v>
      </x:c>
      <x:c r="H44" s="186" t="n">
        <x:v>2.36</x:v>
      </x:c>
      <x:c r="I44" s="186" t="n">
        <x:v>1797</x:v>
      </x:c>
      <x:c r="J44" s="186" t="n">
        <x:v>5941</x:v>
      </x:c>
      <x:c r="K44" s="186" t="n">
        <x:v>1413</x:v>
      </x:c>
      <x:c r="L44" s="186" t="n">
        <x:v>844</x:v>
      </x:c>
      <x:c r="M44" s="186" t="n">
        <x:v>15.8</x:v>
      </x:c>
      <x:c r="N44" s="186" t="n">
        <x:v>89.43037974683544</x:v>
      </x:c>
      <x:c r="O44" s="186" t="n">
        <x:v>0.010030601836110264</x:v>
      </x:c>
      <x:c r="P44" s="186" t="n">
        <x:v>0.011058451816745807</x:v>
      </x:c>
      <x:c r="Q44" s="186" t="n">
        <x:v>2.059090909090909</x:v>
      </x:c>
      <x:c r="R44" s="186" t="n">
        <x:v>0.3063636363636364</x:v>
      </x:c>
      <x:c r="S44" s="186" t="n">
        <x:v>1.7527272727272725</x:v>
      </x:c>
      <x:c r="T44" s="186" t="n">
        <x:v>115.0775909090909</x:v>
      </x:c>
      <x:c r="U44" s="186" t="n">
        <x:v>93.521255</x:v>
      </x:c>
      <x:c r="V44" s="186" t="n">
        <x:v>126.93078</x:v>
      </x:c>
      <x:c r="W44" s="186" t="n">
        <x:v>47.418858</x:v>
      </x:c>
      <x:c r="X44" s="186" t="n">
        <x:v>0.7565702</x:v>
      </x:c>
      <x:c r="Y44" s="186" t="n">
        <x:v>0.8008141</x:v>
      </x:c>
      <x:c r="Z44" s="186" t="n">
        <x:v>2.375896</x:v>
      </x:c>
      <x:c r="AA44" s="186" t="n">
        <x:v>183732.5</x:v>
      </x:c>
      <x:c r="AB44" s="186" t="n">
        <x:v>29217.5</x:v>
      </x:c>
      <x:c r="AC44" s="186" t="n">
        <x:v>-142579.5</x:v>
      </x:c>
      <x:c r="AD44" s="186" t="n">
        <x:v>-44069.75</x:v>
      </x:c>
      <x:c r="AE44" s="186" t="n">
        <x:v>0.3032910326545859</x:v>
      </x:c>
      <x:c r="AF44" s="186" t="n">
        <x:v>0.12780452990677058</x:v>
      </x:c>
      <x:c r="AG44" s="186" t="n">
        <x:v>-0.01490909090909076</x:v>
      </x:c>
      <x:c r="AH44" s="186" t="n">
        <x:v>-0.0676363636363636</x:v>
      </x:c>
      <x:c r="AI44" s="186" t="n">
        <x:v>0.05272727272727251</x:v>
      </x:c>
      <x:c r="AJ44" s="186" t="n">
        <x:v>-0.0030277047741842367</x:v>
      </x:c>
      <x:c r="AK44" s="186" t="n">
        <x:v>-13.0672</x:v>
      </x:c>
      <x:c r="AL44" s="186" t="n">
        <x:v>45332.75</x:v>
      </x:c>
      <x:c r="AM44" s="186" t="n">
        <x:v>29222.5</x:v>
      </x:c>
      <x:c r="AN44" s="186" t="n">
        <x:v>-0.012909715818593348</x:v>
      </x:c>
      <x:c r="AO44" s="186" t="n">
        <x:v>1</x:v>
      </x:c>
      <x:c r="AP44" s="186" t="n">
        <x:v>1</x:v>
      </x:c>
    </x:row>
    <x:row r="45">
      <x:c r="A45" s="187" t="n">
        <x:v>43709</x:v>
      </x:c>
      <x:c r="B45" s="186" t="n">
        <x:v>1511</x:v>
      </x:c>
      <x:c r="C45" s="186" t="n">
        <x:v>18.2</x:v>
      </x:c>
      <x:c r="D45" s="186" t="n">
        <x:v>0.007333333333333414</x:v>
      </x:c>
      <x:c r="E45" s="186" t="n">
        <x:v>0.058139534883721034</x:v>
      </x:c>
      <x:c r="F45" s="187" t="n">
        <x:v>43678</x:v>
      </x:c>
      <x:c r="G45" s="186" t="n">
        <x:v>59.3</x:v>
      </x:c>
      <x:c r="H45" s="186" t="n">
        <x:v>2.22</x:v>
      </x:c>
      <x:c r="I45" s="186" t="n">
        <x:v>1741</x:v>
      </x:c>
      <x:c r="J45" s="186" t="n">
        <x:v>5709</x:v>
      </x:c>
      <x:c r="K45" s="186" t="n">
        <x:v>1500</x:v>
      </x:c>
      <x:c r="L45" s="186" t="n">
        <x:v>859</x:v>
      </x:c>
      <x:c r="M45" s="186" t="n">
        <x:v>17.2</x:v>
      </x:c>
      <x:c r="N45" s="186" t="n">
        <x:v>87.2093023255814</x:v>
      </x:c>
      <x:c r="O45" s="186" t="n">
        <x:v>-0.039050664871233765</x:v>
      </x:c>
      <x:c r="P45" s="186" t="n">
        <x:v>-0.07343750000000004</x:v>
      </x:c>
      <x:c r="Q45" s="186" t="n">
        <x:v>1.6263636363636365</x:v>
      </x:c>
      <x:c r="R45" s="186" t="n">
        <x:v>0.04</x:v>
      </x:c>
      <x:c r="S45" s="186" t="n">
        <x:v>1.5863636363636362</x:v>
      </x:c>
      <x:c r="T45" s="186" t="n">
        <x:v>117.10038636363637</x:v>
      </x:c>
      <x:c r="U45" s="186" t="n">
        <x:v>103.40442</x:v>
      </x:c>
      <x:c r="V45" s="186" t="n">
        <x:v>124.72542</x:v>
      </x:c>
      <x:c r="W45" s="186" t="n">
        <x:v>70.09744</x:v>
      </x:c>
      <x:c r="X45" s="186" t="n">
        <x:v>1.2167065</x:v>
      </x:c>
      <x:c r="Y45" s="186" t="n">
        <x:v>0.8362092</x:v>
      </x:c>
      <x:c r="Z45" s="186" t="n">
        <x:v>2.7475445</x:v>
      </x:c>
      <x:c r="AA45" s="186" t="n">
        <x:v>218543.8</x:v>
      </x:c>
      <x:c r="AB45" s="186" t="n">
        <x:v>48613.6</x:v>
      </x:c>
      <x:c r="AC45" s="186" t="n">
        <x:v>-140485.6</x:v>
      </x:c>
      <x:c r="AD45" s="186" t="n">
        <x:v>-57402</x:v>
      </x:c>
      <x:c r="AE45" s="186" t="n">
        <x:v>0.36536159422992753</x:v>
      </x:c>
      <x:c r="AF45" s="186" t="n">
        <x:v>0.2039232626657558</x:v>
      </x:c>
      <x:c r="AG45" s="186" t="n">
        <x:v>-0.4327272727272726</x:v>
      </x:c>
      <x:c r="AH45" s="186" t="n">
        <x:v>-0.2663636363636364</x:v>
      </x:c>
      <x:c r="AI45" s="186" t="n">
        <x:v>-0.16636363636363627</x:v>
      </x:c>
      <x:c r="AJ45" s="186" t="n">
        <x:v>0.017577665977935197</x:v>
      </x:c>
      <x:c r="AK45" s="186" t="n">
        <x:v>9.883163</x:v>
      </x:c>
      <x:c r="AL45" s="186" t="n">
        <x:v>34811.29999999999</x:v>
      </x:c>
      <x:c r="AM45" s="186" t="n">
        <x:v>19396.1</x:v>
      </x:c>
      <x:c r="AN45" s="186" t="n">
        <x:v>-0.02483582679109253</x:v>
      </x:c>
      <x:c r="AO45" s="186" t="n">
        <x:v>1</x:v>
      </x:c>
      <x:c r="AP45" s="186" t="n">
        <x:v>1</x:v>
      </x:c>
    </x:row>
    <x:row r="46">
      <x:c r="A46" s="187" t="n">
        <x:v>43739</x:v>
      </x:c>
      <x:c r="B46" s="186" t="n">
        <x:v>1495</x:v>
      </x:c>
      <x:c r="C46" s="186" t="n">
        <x:v>17.6</x:v>
      </x:c>
      <x:c r="D46" s="186" t="n">
        <x:v>-0.010589013898080757</x:v>
      </x:c>
      <x:c r="E46" s="186" t="n">
        <x:v>-0.03296703296703285</x:v>
      </x:c>
      <x:c r="F46" s="187" t="n">
        <x:v>43709</x:v>
      </x:c>
      <x:c r="G46" s="186" t="n">
        <x:v>62.3</x:v>
      </x:c>
      <x:c r="H46" s="186" t="n">
        <x:v>2.58</x:v>
      </x:c>
      <x:c r="I46" s="186" t="n">
        <x:v>1754</x:v>
      </x:c>
      <x:c r="J46" s="186" t="n">
        <x:v>5759</x:v>
      </x:c>
      <x:c r="K46" s="186" t="n">
        <x:v>1511</x:v>
      </x:c>
      <x:c r="L46" s="186" t="n">
        <x:v>945</x:v>
      </x:c>
      <x:c r="M46" s="186" t="n">
        <x:v>18.2</x:v>
      </x:c>
      <x:c r="N46" s="186" t="n">
        <x:v>83.02197802197803</x:v>
      </x:c>
      <x:c r="O46" s="186" t="n">
        <x:v>0.008758101243650396</x:v>
      </x:c>
      <x:c r="P46" s="186" t="n">
        <x:v>0.050590219224283306</x:v>
      </x:c>
      <x:c r="Q46" s="186" t="n">
        <x:v>1.6995</x:v>
      </x:c>
      <x:c r="R46" s="186" t="n">
        <x:v>0.1125</x:v>
      </x:c>
      <x:c r="S46" s="186" t="n">
        <x:v>1.5870000000000002</x:v>
      </x:c>
      <x:c r="T46" s="186" t="n">
        <x:v>117.32392</x:v>
      </x:c>
      <x:c r="U46" s="186" t="n">
        <x:v>90.36799</x:v>
      </x:c>
      <x:c r="V46" s="186" t="n">
        <x:v>110.87095</x:v>
      </x:c>
      <x:c r="W46" s="186" t="n">
        <x:v>67.810234</x:v>
      </x:c>
      <x:c r="X46" s="186" t="n">
        <x:v>0.7263386</x:v>
      </x:c>
      <x:c r="Y46" s="186" t="n">
        <x:v>0.5801851</x:v>
      </x:c>
      <x:c r="Z46" s="186" t="n">
        <x:v>2.3340273</x:v>
      </x:c>
      <x:c r="AA46" s="186" t="n">
        <x:v>222383.5</x:v>
      </x:c>
      <x:c r="AB46" s="186" t="n">
        <x:v>55505.5</x:v>
      </x:c>
      <x:c r="AC46" s="186" t="n">
        <x:v>-158113.5</x:v>
      </x:c>
      <x:c r="AD46" s="186" t="n">
        <x:v>-64084.5</x:v>
      </x:c>
      <x:c r="AE46" s="186" t="n">
        <x:v>0.35010810946366727</x:v>
      </x:c>
      <x:c r="AF46" s="186" t="n">
        <x:v>0.2546956411166171</x:v>
      </x:c>
      <x:c r="AG46" s="186" t="n">
        <x:v>0.07313636363636355</x:v>
      </x:c>
      <x:c r="AH46" s="186" t="n">
        <x:v>0.07250000000000001</x:v>
      </x:c>
      <x:c r="AI46" s="186" t="n">
        <x:v>0.0006363636363639902</x:v>
      </x:c>
      <x:c r="AJ46" s="186" t="n">
        <x:v>0.001908906053217363</x:v>
      </x:c>
      <x:c r="AK46" s="186" t="n">
        <x:v>-13.03643</x:v>
      </x:c>
      <x:c r="AL46" s="186" t="n">
        <x:v>3839.7000000000116</x:v>
      </x:c>
      <x:c r="AM46" s="186" t="n">
        <x:v>6891.9000000000015</x:v>
      </x:c>
      <x:c r="AN46" s="186" t="n">
        <x:v>-0.04801465201465205</x:v>
      </x:c>
      <x:c r="AO46" s="186" t="n">
        <x:v>0</x:v>
      </x:c>
      <x:c r="AP46" s="186" t="n">
        <x:v>0</x:v>
      </x:c>
    </x:row>
    <x:row r="47">
      <x:c r="A47" s="187" t="n">
        <x:v>43770</x:v>
      </x:c>
      <x:c r="B47" s="186" t="n">
        <x:v>1471</x:v>
      </x:c>
      <x:c r="C47" s="186" t="n">
        <x:v>17.2</x:v>
      </x:c>
      <x:c r="D47" s="186" t="n">
        <x:v>-0.016053511705685586</x:v>
      </x:c>
      <x:c r="E47" s="186" t="n">
        <x:v>-0.022727272727272818</x:v>
      </x:c>
      <x:c r="F47" s="187" t="n">
        <x:v>43739</x:v>
      </x:c>
      <x:c r="G47" s="186" t="n">
        <x:v>59.4</x:v>
      </x:c>
      <x:c r="H47" s="186" t="n">
        <x:v>2.33</x:v>
      </x:c>
      <x:c r="I47" s="186" t="n">
        <x:v>1726</x:v>
      </x:c>
      <x:c r="J47" s="186" t="n">
        <x:v>5757</x:v>
      </x:c>
      <x:c r="K47" s="186" t="n">
        <x:v>1495</x:v>
      </x:c>
      <x:c r="L47" s="186" t="n">
        <x:v>897</x:v>
      </x:c>
      <x:c r="M47" s="186" t="n">
        <x:v>17.6</x:v>
      </x:c>
      <x:c r="N47" s="186" t="n">
        <x:v>84.94318181818181</x:v>
      </x:c>
      <x:c r="O47" s="186" t="n">
        <x:v>-0.0003472825143253644</x:v>
      </x:c>
      <x:c r="P47" s="186" t="n">
        <x:v>-0.0465489566613162</x:v>
      </x:c>
      <x:c r="Q47" s="186" t="n">
        <x:v>1.7068181818181818</x:v>
      </x:c>
      <x:c r="R47" s="186" t="n">
        <x:v>0.1459090909090909</x:v>
      </x:c>
      <x:c r="S47" s="186" t="n">
        <x:v>1.560909090909091</x:v>
      </x:c>
      <x:c r="T47" s="186" t="n">
        <x:v>116.74625909090909</x:v>
      </x:c>
      <x:c r="U47" s="186" t="n">
        <x:v>97.83673</x:v>
      </x:c>
      <x:c r="V47" s="186" t="n">
        <x:v>121.31104</x:v>
      </x:c>
      <x:c r="W47" s="186" t="n">
        <x:v>69.96658</x:v>
      </x:c>
      <x:c r="X47" s="186" t="n">
        <x:v>0.6726646</x:v>
      </x:c>
      <x:c r="Y47" s="186" t="n">
        <x:v>1.0720592</x:v>
      </x:c>
      <x:c r="Z47" s="186" t="n">
        <x:v>2.4678383</x:v>
      </x:c>
      <x:c r="AA47" s="186" t="n">
        <x:v>187884.25</x:v>
      </x:c>
      <x:c r="AB47" s="186" t="n">
        <x:v>43514.25</x:v>
      </x:c>
      <x:c r="AC47" s="186" t="n">
        <x:v>-148879.5</x:v>
      </x:c>
      <x:c r="AD47" s="186" t="n">
        <x:v>-61003.5</x:v>
      </x:c>
      <x:c r="AE47" s="186" t="n">
        <x:v>0.3061751637163044</x:v>
      </x:c>
      <x:c r="AF47" s="186" t="n">
        <x:v>0.20433767659609411</x:v>
      </x:c>
      <x:c r="AG47" s="186" t="n">
        <x:v>0.007318181818181779</x:v>
      </x:c>
      <x:c r="AH47" s="186" t="n">
        <x:v>0.0334090909090909</x:v>
      </x:c>
      <x:c r="AI47" s="186" t="n">
        <x:v>-0.026090909090909165</x:v>
      </x:c>
      <x:c r="AJ47" s="186" t="n">
        <x:v>-0.004923641394618539</x:v>
      </x:c>
      <x:c r="AK47" s="186" t="n">
        <x:v>7.4687424</x:v>
      </x:c>
      <x:c r="AL47" s="186" t="n">
        <x:v>-34499.25</x:v>
      </x:c>
      <x:c r="AM47" s="186" t="n">
        <x:v>-11991.25</x:v>
      </x:c>
      <x:c r="AN47" s="186" t="n">
        <x:v>0.02314090608266639</x:v>
      </x:c>
      <x:c r="AO47" s="186" t="n">
        <x:v>0</x:v>
      </x:c>
      <x:c r="AP47" s="186" t="n">
        <x:v>0</x:v>
      </x:c>
    </x:row>
    <x:row r="48">
      <x:c r="A48" s="187" t="n">
        <x:v>43800</x:v>
      </x:c>
      <x:c r="B48" s="186" t="n">
        <x:v>1479</x:v>
      </x:c>
      <x:c r="C48" s="186" t="n">
        <x:v>17.1</x:v>
      </x:c>
      <x:c r="D48" s="186" t="n">
        <x:v>0.005438477226376692</x:v>
      </x:c>
      <x:c r="E48" s="186" t="n">
        <x:v>-0.005813953488371992</x:v>
      </x:c>
      <x:c r="F48" s="187" t="n">
        <x:v>43770</x:v>
      </x:c>
      <x:c r="G48" s="186" t="n">
        <x:v>62.7</x:v>
      </x:c>
      <x:c r="H48" s="186" t="n">
        <x:v>2.65</x:v>
      </x:c>
      <x:c r="I48" s="186" t="n">
        <x:v>1775</x:v>
      </x:c>
      <x:c r="J48" s="186" t="n">
        <x:v>5860</x:v>
      </x:c>
      <x:c r="K48" s="186" t="n">
        <x:v>1471</x:v>
      </x:c>
      <x:c r="L48" s="186" t="n">
        <x:v>902</x:v>
      </x:c>
      <x:c r="M48" s="186" t="n">
        <x:v>17.2</x:v>
      </x:c>
      <x:c r="N48" s="186" t="n">
        <x:v>85.5232558139535</x:v>
      </x:c>
      <x:c r="O48" s="186" t="n">
        <x:v>0.01789126281049147</x:v>
      </x:c>
      <x:c r="P48" s="186" t="n">
        <x:v>0.05555555555555558</x:v>
      </x:c>
      <x:c r="Q48" s="186" t="n">
        <x:v>1.8121052631578947</x:v>
      </x:c>
      <x:c r="R48" s="186" t="n">
        <x:v>0.17157894736842105</x:v>
      </x:c>
      <x:c r="S48" s="186" t="n">
        <x:v>1.6405263157894738</x:v>
      </x:c>
      <x:c r="T48" s="186" t="n">
        <x:v>116.55946842105263</x:v>
      </x:c>
      <x:c r="U48" s="186" t="n">
        <x:v>73.078384</x:v>
      </x:c>
      <x:c r="V48" s="186" t="n">
        <x:v>84.5873</x:v>
      </x:c>
      <x:c r="W48" s="186" t="n">
        <x:v>53.03253</x:v>
      </x:c>
      <x:c r="X48" s="186" t="n">
        <x:v>0.60299295</x:v>
      </x:c>
      <x:c r="Y48" s="186" t="n">
        <x:v>0.4709507</x:v>
      </x:c>
      <x:c r="Z48" s="186" t="n">
        <x:v>1.7385564</x:v>
      </x:c>
      <x:c r="AA48" s="186" t="n">
        <x:v>192146.4</x:v>
      </x:c>
      <x:c r="AB48" s="186" t="n">
        <x:v>41656.8</x:v>
      </x:c>
      <x:c r="AC48" s="186" t="n">
        <x:v>-130104</x:v>
      </x:c>
      <x:c r="AD48" s="186" t="n">
        <x:v>-48031.4</x:v>
      </x:c>
      <x:c r="AE48" s="186" t="n">
        <x:v>0.28074369611067695</x:v>
      </x:c>
      <x:c r="AF48" s="186" t="n">
        <x:v>0.1894619587984318</x:v>
      </x:c>
      <x:c r="AG48" s="186" t="n">
        <x:v>0.10528708133971287</x:v>
      </x:c>
      <x:c r="AH48" s="186" t="n">
        <x:v>0.025669856459330148</x:v>
      </x:c>
      <x:c r="AI48" s="186" t="n">
        <x:v>0.07961722488038281</x:v>
      </x:c>
      <x:c r="AJ48" s="186" t="n">
        <x:v>-0.00159997135078227</x:v>
      </x:c>
      <x:c r="AK48" s="186" t="n">
        <x:v>-24.758347</x:v>
      </x:c>
      <x:c r="AL48" s="186" t="n">
        <x:v>4262.149999999994</x:v>
      </x:c>
      <x:c r="AM48" s="186" t="n">
        <x:v>-1857.449999999997</x:v>
      </x:c>
      <x:c r="AN48" s="186" t="n">
        <x:v>0.006828964766275369</x:v>
      </x:c>
      <x:c r="AO48" s="186" t="n">
        <x:v>1</x:v>
      </x:c>
      <x:c r="AP48" s="186" t="n">
        <x:v>0</x:v>
      </x:c>
    </x:row>
    <x:row r="49">
      <x:c r="A49" s="187" t="n">
        <x:v>43831</x:v>
      </x:c>
      <x:c r="B49" s="186" t="n">
        <x:v>1561</x:v>
      </x:c>
      <x:c r="C49" s="186" t="n">
        <x:v>18</x:v>
      </x:c>
      <x:c r="D49" s="186" t="n">
        <x:v>0.05544286680189314</x:v>
      </x:c>
      <x:c r="E49" s="186" t="n">
        <x:v>0.05263157894736836</x:v>
      </x:c>
      <x:c r="F49" s="187" t="n">
        <x:v>43800</x:v>
      </x:c>
      <x:c r="G49" s="186" t="n">
        <x:v>65.9</x:v>
      </x:c>
      <x:c r="H49" s="186" t="n">
        <x:v>2.24</x:v>
      </x:c>
      <x:c r="I49" s="186" t="n">
        <x:v>1771</x:v>
      </x:c>
      <x:c r="J49" s="186" t="n">
        <x:v>6077</x:v>
      </x:c>
      <x:c r="K49" s="186" t="n">
        <x:v>1479</x:v>
      </x:c>
      <x:c r="L49" s="186" t="n">
        <x:v>924</x:v>
      </x:c>
      <x:c r="M49" s="186" t="n">
        <x:v>17.1</x:v>
      </x:c>
      <x:c r="N49" s="186" t="n">
        <x:v>86.49122807017544</x:v>
      </x:c>
      <x:c r="O49" s="186" t="n">
        <x:v>0.03703071672354952</x:v>
      </x:c>
      <x:c r="P49" s="186" t="n">
        <x:v>0.0510366826156301</x:v>
      </x:c>
      <x:c r="Q49" s="186" t="n">
        <x:v>1.8628571428571428</x:v>
      </x:c>
      <x:c r="R49" s="186" t="n">
        <x:v>0.14476190476190476</x:v>
      </x:c>
      <x:c r="S49" s="186" t="n">
        <x:v>1.7180952380952381</x:v>
      </x:c>
      <x:c r="T49" s="186" t="n">
        <x:v>115.90961</x:v>
      </x:c>
      <x:c r="U49" s="186" t="n">
        <x:v>74.27989</x:v>
      </x:c>
      <x:c r="V49" s="186" t="n">
        <x:v>80.11077</x:v>
      </x:c>
      <x:c r="W49" s="186" t="n">
        <x:v>63.331352</x:v>
      </x:c>
      <x:c r="X49" s="186" t="n">
        <x:v>0.6018833</x:v>
      </x:c>
      <x:c r="Y49" s="186" t="n">
        <x:v>0.58246773</x:v>
      </x:c>
      <x:c r="Z49" s="186" t="n">
        <x:v>1.7231337</x:v>
      </x:c>
      <x:c r="AA49" s="186" t="n">
        <x:v>203044.25</x:v>
      </x:c>
      <x:c r="AB49" s="186" t="n">
        <x:v>40440.25</x:v>
      </x:c>
      <x:c r="AC49" s="186" t="n">
        <x:v>-130370</x:v>
      </x:c>
      <x:c r="AD49" s="186" t="n">
        <x:v>-48952.25</x:v>
      </x:c>
      <x:c r="AE49" s="186" t="n">
        <x:v>0.28411141094694825</x:v>
      </x:c>
      <x:c r="AF49" s="186" t="n">
        <x:v>0.19204897803091348</x:v>
      </x:c>
      <x:c r="AG49" s="186" t="n">
        <x:v>0.050751879699248104</x:v>
      </x:c>
      <x:c r="AH49" s="186" t="n">
        <x:v>-0.026817042606516295</x:v>
      </x:c>
      <x:c r="AI49" s="186" t="n">
        <x:v>0.07756892230576429</x:v>
      </x:c>
      <x:c r="AJ49" s="186" t="n">
        <x:v>-0.005575337892800958</x:v>
      </x:c>
      <x:c r="AK49" s="186" t="n">
        <x:v>1.2015076</x:v>
      </x:c>
      <x:c r="AL49" s="186" t="n">
        <x:v>10897.850000000006</x:v>
      </x:c>
      <x:c r="AM49" s="186" t="n">
        <x:v>-1216.550000000003</x:v>
      </x:c>
      <x:c r="AN49" s="186" t="n">
        <x:v>0.011318234403138838</x:v>
      </x:c>
      <x:c r="AO49" s="186" t="n">
        <x:v>1</x:v>
      </x:c>
      <x:c r="AP49" s="186" t="n">
        <x:v>1</x:v>
      </x:c>
    </x:row>
    <x:row r="50">
      <x:c r="A50" s="187" t="n">
        <x:v>43862</x:v>
      </x:c>
      <x:c r="B50" s="186" t="n">
        <x:v>1597</x:v>
      </x:c>
      <x:c r="C50" s="186" t="n">
        <x:v>17.9</x:v>
      </x:c>
      <x:c r="D50" s="186" t="n">
        <x:v>0.023062139654068003</x:v>
      </x:c>
      <x:c r="E50" s="186" t="n">
        <x:v>-0.005555555555555647</x:v>
      </x:c>
      <x:c r="F50" s="187" t="n">
        <x:v>43831</x:v>
      </x:c>
      <x:c r="G50" s="186" t="n">
        <x:v>63.6</x:v>
      </x:c>
      <x:c r="H50" s="186" t="n">
        <x:v>2.03</x:v>
      </x:c>
      <x:c r="I50" s="186" t="n">
        <x:v>1773</x:v>
      </x:c>
      <x:c r="J50" s="186" t="n">
        <x:v>6031</x:v>
      </x:c>
      <x:c r="K50" s="186" t="n">
        <x:v>1561</x:v>
      </x:c>
      <x:c r="L50" s="186" t="n">
        <x:v>987</x:v>
      </x:c>
      <x:c r="M50" s="186" t="n">
        <x:v>18</x:v>
      </x:c>
      <x:c r="N50" s="186" t="n">
        <x:v>86.72222222222223</x:v>
      </x:c>
      <x:c r="O50" s="186" t="n">
        <x:v>-0.007569524436399577</x:v>
      </x:c>
      <x:c r="P50" s="186" t="n">
        <x:v>-0.03490136570561464</x:v>
      </x:c>
      <x:c r="Q50" s="186" t="n">
        <x:v>1.7576190476190479</x:v>
      </x:c>
      <x:c r="R50" s="186" t="n">
        <x:v>0.03666666666666667</x:v>
      </x:c>
      <x:c r="S50" s="186" t="n">
        <x:v>1.720952380952381</x:v>
      </x:c>
      <x:c r="T50" s="186" t="n">
        <x:v>115.27938571428571</x:v>
      </x:c>
      <x:c r="U50" s="186" t="n">
        <x:v>138.42094</x:v>
      </x:c>
      <x:c r="V50" s="186" t="n">
        <x:v>190.84436</x:v>
      </x:c>
      <x:c r="W50" s="186" t="n">
        <x:v>81.65094</x:v>
      </x:c>
      <x:c r="X50" s="186" t="n">
        <x:v>1.2574455</x:v>
      </x:c>
      <x:c r="Y50" s="186" t="n">
        <x:v>1.1780277</x:v>
      </x:c>
      <x:c r="Z50" s="186" t="n">
        <x:v>3.6223252</x:v>
      </x:c>
      <x:c r="AA50" s="186" t="n">
        <x:v>227343.6</x:v>
      </x:c>
      <x:c r="AB50" s="186" t="n">
        <x:v>55517.2</x:v>
      </x:c>
      <x:c r="AC50" s="186" t="n">
        <x:v>-142509</x:v>
      </x:c>
      <x:c r="AD50" s="186" t="n">
        <x:v>-60102.4</x:v>
      </x:c>
      <x:c r="AE50" s="186" t="n">
        <x:v>0.29338770076033593</x:v>
      </x:c>
      <x:c r="AF50" s="186" t="n">
        <x:v>0.2383935994463191</x:v>
      </x:c>
      <x:c r="AG50" s="186" t="n">
        <x:v>-0.10523809523809491</x:v>
      </x:c>
      <x:c r="AH50" s="186" t="n">
        <x:v>-0.10809523809523809</x:v>
      </x:c>
      <x:c r="AI50" s="186" t="n">
        <x:v>0.0028571428571428914</x:v>
      </x:c>
      <x:c r="AJ50" s="186" t="n">
        <x:v>-0.0054372047815042235</x:v>
      </x:c>
      <x:c r="AK50" s="186" t="n">
        <x:v>64.14105</x:v>
      </x:c>
      <x:c r="AL50" s="186" t="n">
        <x:v>24299.350000000006</x:v>
      </x:c>
      <x:c r="AM50" s="186" t="n">
        <x:v>15076.949999999997</x:v>
      </x:c>
      <x:c r="AN50" s="186" t="n">
        <x:v>0.002670723461798641</x:v>
      </x:c>
      <x:c r="AO50" s="186" t="n">
        <x:v>1</x:v>
      </x:c>
      <x:c r="AP50" s="186" t="n">
        <x:v>0</x:v>
      </x:c>
    </x:row>
    <x:row r="51">
      <x:c r="A51" s="187" t="n">
        <x:v>43891</x:v>
      </x:c>
      <x:c r="B51" s="186" t="n">
        <x:v>1592</x:v>
      </x:c>
      <x:c r="C51" s="186" t="n">
        <x:v>14.9</x:v>
      </x:c>
      <x:c r="D51" s="186" t="n">
        <x:v>-0.003130870381966133</x:v>
      </x:c>
      <x:c r="E51" s="186" t="n">
        <x:v>-0.16759776536312843</x:v>
      </x:c>
      <x:c r="F51" s="187" t="n">
        <x:v>43862</x:v>
      </x:c>
      <x:c r="G51" s="186" t="n">
        <x:v>55</x:v>
      </x:c>
      <x:c r="H51" s="186" t="n">
        <x:v>1.92</x:v>
      </x:c>
      <x:c r="I51" s="186" t="n">
        <x:v>1688</x:v>
      </x:c>
      <x:c r="J51" s="186" t="n">
        <x:v>5688</x:v>
      </x:c>
      <x:c r="K51" s="186" t="n">
        <x:v>1597</x:v>
      </x:c>
      <x:c r="L51" s="186" t="n">
        <x:v>961</x:v>
      </x:c>
      <x:c r="M51" s="186" t="n">
        <x:v>17.9</x:v>
      </x:c>
      <x:c r="N51" s="186" t="n">
        <x:v>89.21787709497207</x:v>
      </x:c>
      <x:c r="O51" s="186" t="n">
        <x:v>-0.05687282374398939</x:v>
      </x:c>
      <x:c r="P51" s="186" t="n">
        <x:v>-0.1352201257861635</x:v>
      </x:c>
      <x:c r="Q51" s="186" t="n">
        <x:v>1.5042105263157897</x:v>
      </x:c>
      <x:c r="R51" s="186" t="n">
        <x:v>-0.11157894736842106</x:v>
      </x:c>
      <x:c r="S51" s="186" t="n">
        <x:v>1.6157894736842107</x:v>
      </x:c>
      <x:c r="T51" s="186" t="n">
        <x:v>116.71054210526317</x:v>
      </x:c>
      <x:c r="U51" s="186" t="n">
        <x:v>75.95556</x:v>
      </x:c>
      <x:c r="V51" s="186" t="n">
        <x:v>87.16245</x:v>
      </x:c>
      <x:c r="W51" s="186" t="n">
        <x:v>56.68605</x:v>
      </x:c>
      <x:c r="X51" s="186" t="n">
        <x:v>0.87382966</x:v>
      </x:c>
      <x:c r="Y51" s="186" t="n">
        <x:v>0.6598306</x:v>
      </x:c>
      <x:c r="Z51" s="186" t="n">
        <x:v>1.5158271</x:v>
      </x:c>
      <x:c r="AA51" s="186" t="n">
        <x:v>211668.25</x:v>
      </x:c>
      <x:c r="AB51" s="186" t="n">
        <x:v>59391.5</x:v>
      </x:c>
      <x:c r="AC51" s="186" t="n">
        <x:v>-150780.75</x:v>
      </x:c>
      <x:c r="AD51" s="186" t="n">
        <x:v>-61636</x:v>
      </x:c>
      <x:c r="AE51" s="186" t="n">
        <x:v>0.30581542457749666</x:v>
      </x:c>
      <x:c r="AF51" s="186" t="n">
        <x:v>0.2568084517850491</x:v>
      </x:c>
      <x:c r="AG51" s="186" t="n">
        <x:v>-0.2534085213032582</x:v>
      </x:c>
      <x:c r="AH51" s="186" t="n">
        <x:v>-0.14824561403508774</x:v>
      </x:c>
      <x:c r="AI51" s="186" t="n">
        <x:v>-0.10516290726817035</x:v>
      </x:c>
      <x:c r="AJ51" s="186" t="n">
        <x:v>0.012414677456076273</x:v>
      </x:c>
      <x:c r="AK51" s="186" t="n">
        <x:v>-62.465385</x:v>
      </x:c>
      <x:c r="AL51" s="186" t="n">
        <x:v>-15675.350000000006</x:v>
      </x:c>
      <x:c r="AM51" s="186" t="n">
        <x:v>3874.300000000003</x:v>
      </x:c>
      <x:c r="AN51" s="186" t="n">
        <x:v>0.028777570601855818</x:v>
      </x:c>
      <x:c r="AO51" s="186" t="n">
        <x:v>0</x:v>
      </x:c>
      <x:c r="AP51" s="186" t="n">
        <x:v>0</x:v>
      </x:c>
    </x:row>
    <x:row r="52">
      <x:c r="A52" s="187" t="n">
        <x:v>43922</x:v>
      </x:c>
      <x:c r="B52" s="186" t="n">
        <x:v>1683</x:v>
      </x:c>
      <x:c r="C52" s="186" t="n">
        <x:v>15.1</x:v>
      </x:c>
      <x:c r="D52" s="186" t="n">
        <x:v>0.0571608040201006</x:v>
      </x:c>
      <x:c r="E52" s="186" t="n">
        <x:v>0.01342281879194629</x:v>
      </x:c>
      <x:c r="F52" s="187" t="n">
        <x:v>43891</x:v>
      </x:c>
      <x:c r="G52" s="186" t="n">
        <x:v>33</x:v>
      </x:c>
      <x:c r="H52" s="186" t="n">
        <x:v>1.79</x:v>
      </x:c>
      <x:c r="I52" s="186" t="n">
        <x:v>1611</x:v>
      </x:c>
      <x:c r="J52" s="186" t="n">
        <x:v>5183</x:v>
      </x:c>
      <x:c r="K52" s="186" t="n">
        <x:v>1592</x:v>
      </x:c>
      <x:c r="L52" s="186" t="n">
        <x:v>759</x:v>
      </x:c>
      <x:c r="M52" s="186" t="n">
        <x:v>14.9</x:v>
      </x:c>
      <x:c r="N52" s="186" t="n">
        <x:v>106.84563758389261</x:v>
      </x:c>
      <x:c r="O52" s="186" t="n">
        <x:v>-0.08878340365682136</x:v>
      </x:c>
      <x:c r="P52" s="186" t="n">
        <x:v>-0.4</x:v>
      </x:c>
      <x:c r="Q52" s="186" t="n">
        <x:v>0.87</x:v>
      </x:c>
      <x:c r="R52" s="186" t="n">
        <x:v>-0.11681818181818181</x:v>
      </x:c>
      <x:c r="S52" s="186" t="n">
        <x:v>0.9868181818181818</x:v>
      </x:c>
      <x:c r="T52" s="186" t="n">
        <x:v>121.02274090909091</x:v>
      </x:c>
      <x:c r="U52" s="186" t="n">
        <x:v>81.54003</x:v>
      </x:c>
      <x:c r="V52" s="186" t="n">
        <x:v>97.09007</x:v>
      </x:c>
      <x:c r="W52" s="186" t="n">
        <x:v>62.90299</x:v>
      </x:c>
      <x:c r="X52" s="186" t="n">
        <x:v>0.67128444</x:v>
      </x:c>
      <x:c r="Y52" s="186" t="n">
        <x:v>0.4275697</x:v>
      </x:c>
      <x:c r="Z52" s="186" t="n">
        <x:v>1.7102787</x:v>
      </x:c>
      <x:c r="AA52" s="186" t="n">
        <x:v>184258.5</x:v>
      </x:c>
      <x:c r="AB52" s="186" t="n">
        <x:v>22916.5</x:v>
      </x:c>
      <x:c r="AC52" s="186" t="n">
        <x:v>-142323.75</x:v>
      </x:c>
      <x:c r="AD52" s="186" t="n">
        <x:v>-50478</x:v>
      </x:c>
      <x:c r="AE52" s="186" t="n">
        <x:v>0.2997697823562889</x:v>
      </x:c>
      <x:c r="AF52" s="186" t="n">
        <x:v>0.12867460587852828</x:v>
      </x:c>
      <x:c r="AG52" s="186" t="n">
        <x:v>-0.6342105263157897</x:v>
      </x:c>
      <x:c r="AH52" s="186" t="n">
        <x:v>-0.005239234449760752</x:v>
      </x:c>
      <x:c r="AI52" s="186" t="n">
        <x:v>-0.6289712918660288</x:v>
      </x:c>
      <x:c r="AJ52" s="186" t="n">
        <x:v>0.03694780887864013</x:v>
      </x:c>
      <x:c r="AK52" s="186" t="n">
        <x:v>5.5844727</x:v>
      </x:c>
      <x:c r="AL52" s="186" t="n">
        <x:v>-27409.75</x:v>
      </x:c>
      <x:c r="AM52" s="186" t="n">
        <x:v>-36475</x:v>
      </x:c>
      <x:c r="AN52" s="186" t="n">
        <x:v>0.19758103491025536</x:v>
      </x:c>
      <x:c r="AO52" s="186" t="n">
        <x:v>1</x:v>
      </x:c>
      <x:c r="AP52" s="186" t="n">
        <x:v>1</x:v>
      </x:c>
    </x:row>
    <x:row r="53">
      <x:c r="A53" s="187" t="n">
        <x:v>43952</x:v>
      </x:c>
      <x:c r="B53" s="186" t="n">
        <x:v>1716</x:v>
      </x:c>
      <x:c r="C53" s="186" t="n">
        <x:v>16.3</x:v>
      </x:c>
      <x:c r="D53" s="186" t="n">
        <x:v>0.019607843137254832</x:v>
      </x:c>
      <x:c r="E53" s="186" t="n">
        <x:v>0.07947019867549665</x:v>
      </x:c>
      <x:c r="F53" s="187" t="n">
        <x:v>43922</x:v>
      </x:c>
      <x:c r="G53" s="186" t="n">
        <x:v>23.3</x:v>
      </x:c>
      <x:c r="H53" s="186" t="n">
        <x:v>1.74</x:v>
      </x:c>
      <x:c r="I53" s="186" t="n">
        <x:v>1460</x:v>
      </x:c>
      <x:c r="J53" s="186" t="n">
        <x:v>5058</x:v>
      </x:c>
      <x:c r="K53" s="186" t="n">
        <x:v>1683</x:v>
      </x:c>
      <x:c r="L53" s="186" t="n">
        <x:v>754</x:v>
      </x:c>
      <x:c r="M53" s="186" t="n">
        <x:v>15.1</x:v>
      </x:c>
      <x:c r="N53" s="186" t="n">
        <x:v>111.45695364238411</x:v>
      </x:c>
      <x:c r="O53" s="186" t="n">
        <x:v>-0.024117306579201192</x:v>
      </x:c>
      <x:c r="P53" s="186" t="n">
        <x:v>-0.29393939393939394</x:v>
      </x:c>
      <x:c r="Q53" s="186" t="n">
        <x:v>0.6576190476190477</x:v>
      </x:c>
      <x:c r="R53" s="186" t="n">
        <x:v>-0.4457142857142857</x:v>
      </x:c>
      <x:c r="S53" s="186" t="n">
        <x:v>1.1033333333333335</x:v>
      </x:c>
      <x:c r="T53" s="186" t="n">
        <x:v>123.28034545454544</x:v>
      </x:c>
      <x:c r="U53" s="186" t="n">
        <x:v>69.3394</x:v>
      </x:c>
      <x:c r="V53" s="186" t="n">
        <x:v>81.760826</x:v>
      </x:c>
      <x:c r="W53" s="186" t="n">
        <x:v>47.591232</x:v>
      </x:c>
      <x:c r="X53" s="186" t="n">
        <x:v>0.6035003</x:v>
      </x:c>
      <x:c r="Y53" s="186" t="n">
        <x:v>0.35281557</x:v>
      </x:c>
      <x:c r="Z53" s="186" t="n">
        <x:v>1.5319623</x:v>
      </x:c>
      <x:c r="AA53" s="186" t="n">
        <x:v>151648.75</x:v>
      </x:c>
      <x:c r="AB53" s="186" t="n">
        <x:v>15958.75</x:v>
      </x:c>
      <x:c r="AC53" s="186" t="n">
        <x:v>-109711.5</x:v>
      </x:c>
      <x:c r="AD53" s="186" t="n">
        <x:v>-41569</x:v>
      </x:c>
      <x:c r="AE53" s="186" t="n">
        <x:v>0.3097397043695678</x:v>
      </x:c>
      <x:c r="AF53" s="186" t="n">
        <x:v>0.11378250342810287</x:v>
      </x:c>
      <x:c r="AG53" s="186" t="n">
        <x:v>-0.21238095238095234</x:v>
      </x:c>
      <x:c r="AH53" s="186" t="n">
        <x:v>-0.32889610389610385</x:v>
      </x:c>
      <x:c r="AI53" s="186" t="n">
        <x:v>0.11651515151515168</x:v>
      </x:c>
      <x:c r="AJ53" s="186" t="n">
        <x:v>0.018654382874623288</x:v>
      </x:c>
      <x:c r="AK53" s="186" t="n">
        <x:v>-12.20063</x:v>
      </x:c>
      <x:c r="AL53" s="186" t="n">
        <x:v>-32609.75</x:v>
      </x:c>
      <x:c r="AM53" s="186" t="n">
        <x:v>-6957.75</x:v>
      </x:c>
      <x:c r="AN53" s="186" t="n">
        <x:v>0.043158674165529654</x:v>
      </x:c>
      <x:c r="AO53" s="186" t="n">
        <x:v>1</x:v>
      </x:c>
      <x:c r="AP53" s="186" t="n">
        <x:v>1</x:v>
      </x:c>
    </x:row>
    <x:row r="54">
      <x:c r="A54" s="187" t="n">
        <x:v>43983</x:v>
      </x:c>
      <x:c r="B54" s="186" t="n">
        <x:v>1732</x:v>
      </x:c>
      <x:c r="C54" s="186" t="n">
        <x:v>17.7</x:v>
      </x:c>
      <x:c r="D54" s="186" t="n">
        <x:v>0.00932400932400923</x:v>
      </x:c>
      <x:c r="E54" s="186" t="n">
        <x:v>0.08588957055214719</x:v>
      </x:c>
      <x:c r="F54" s="187" t="n">
        <x:v>43952</x:v>
      </x:c>
      <x:c r="G54" s="186" t="n">
        <x:v>31</x:v>
      </x:c>
      <x:c r="H54" s="186" t="n">
        <x:v>1.75</x:v>
      </x:c>
      <x:c r="I54" s="186" t="n">
        <x:v>1466</x:v>
      </x:c>
      <x:c r="J54" s="186" t="n">
        <x:v>5240</x:v>
      </x:c>
      <x:c r="K54" s="186" t="n">
        <x:v>1716</x:v>
      </x:c>
      <x:c r="L54" s="186" t="n">
        <x:v>790</x:v>
      </x:c>
      <x:c r="M54" s="186" t="n">
        <x:v>16.3</x:v>
      </x:c>
      <x:c r="N54" s="186" t="n">
        <x:v>105.2760736196319</x:v>
      </x:c>
      <x:c r="O54" s="186" t="n">
        <x:v>0.03598260181890067</x:v>
      </x:c>
      <x:c r="P54" s="186" t="n">
        <x:v>0.33047210300429186</x:v>
      </x:c>
      <x:c r="Q54" s="186" t="n">
        <x:v>0.674</x:v>
      </x:c>
      <x:c r="R54" s="186" t="n">
        <x:v>-0.4415</x:v>
      </x:c>
      <x:c r="S54" s="186" t="n">
        <x:v>1.1155</x:v>
      </x:c>
      <x:c r="T54" s="186" t="n">
        <x:v>122.61501000000001</x:v>
      </x:c>
      <x:c r="U54" s="186" t="n">
        <x:v>68.50722</x:v>
      </x:c>
      <x:c r="V54" s="186" t="n">
        <x:v>83.35546</x:v>
      </x:c>
      <x:c r="W54" s="186" t="n">
        <x:v>42.29556</x:v>
      </x:c>
      <x:c r="X54" s="186" t="n">
        <x:v>0.7615357</x:v>
      </x:c>
      <x:c r="Y54" s="186" t="n">
        <x:v>0.29289833</x:v>
      </x:c>
      <x:c r="Z54" s="186" t="n">
        <x:v>1.7078227</x:v>
      </x:c>
      <x:c r="AA54" s="186" t="n">
        <x:v>128401.8</x:v>
      </x:c>
      <x:c r="AB54" s="186" t="n">
        <x:v>17294.4</x:v>
      </x:c>
      <x:c r="AC54" s="186" t="n">
        <x:v>-104494.4</x:v>
      </x:c>
      <x:c r="AD54" s="186" t="n">
        <x:v>-39494</x:v>
      </x:c>
      <x:c r="AE54" s="186" t="n">
        <x:v>0.253677491377847</x:v>
      </x:c>
      <x:c r="AF54" s="186" t="n">
        <x:v>0.11851587570819784</x:v>
      </x:c>
      <x:c r="AG54" s="186" t="n">
        <x:v>0.016380952380952385</x:v>
      </x:c>
      <x:c r="AH54" s="186" t="n">
        <x:v>0.0042142857142856704</x:v>
      </x:c>
      <x:c r="AI54" s="186" t="n">
        <x:v>0.012166666666666437</x:v>
      </x:c>
      <x:c r="AJ54" s="186" t="n">
        <x:v>-0.005396930484679263</x:v>
      </x:c>
      <x:c r="AK54" s="186" t="n">
        <x:v>-0.83218384</x:v>
      </x:c>
      <x:c r="AL54" s="186" t="n">
        <x:v>-23246.949999999997</x:v>
      </x:c>
      <x:c r="AM54" s="186" t="n">
        <x:v>1335.6500000000015</x:v>
      </x:c>
      <x:c r="AN54" s="186" t="n">
        <x:v>-0.055455310958739346</x:v>
      </x:c>
      <x:c r="AO54" s="186" t="n">
        <x:v>1</x:v>
      </x:c>
      <x:c r="AP54" s="186" t="n">
        <x:v>1</x:v>
      </x:c>
    </x:row>
    <x:row r="55">
      <x:c r="A55" s="187" t="n">
        <x:v>44013</x:v>
      </x:c>
      <x:c r="B55" s="186" t="n">
        <x:v>1847</x:v>
      </x:c>
      <x:c r="C55" s="186" t="n">
        <x:v>20.6</x:v>
      </x:c>
      <x:c r="D55" s="186" t="n">
        <x:v>0.06639722863741349</x:v>
      </x:c>
      <x:c r="E55" s="186" t="n">
        <x:v>0.16384180790960468</x:v>
      </x:c>
      <x:c r="F55" s="187" t="n">
        <x:v>43983</x:v>
      </x:c>
      <x:c r="G55" s="186" t="n">
        <x:v>39.9</x:v>
      </x:c>
      <x:c r="H55" s="186" t="n">
        <x:v>1.61</x:v>
      </x:c>
      <x:c r="I55" s="186" t="n">
        <x:v>1569</x:v>
      </x:c>
      <x:c r="J55" s="186" t="n">
        <x:v>5755</x:v>
      </x:c>
      <x:c r="K55" s="186" t="n">
        <x:v>1732</x:v>
      </x:c>
      <x:c r="L55" s="186" t="n">
        <x:v>821</x:v>
      </x:c>
      <x:c r="M55" s="186" t="n">
        <x:v>17.7</x:v>
      </x:c>
      <x:c r="N55" s="186" t="n">
        <x:v>97.85310734463278</x:v>
      </x:c>
      <x:c r="O55" s="186" t="n">
        <x:v>0.0982824427480915</x:v>
      </x:c>
      <x:c r="P55" s="186" t="n">
        <x:v>0.2870967741935484</x:v>
      </x:c>
      <x:c r="Q55" s="186" t="n">
        <x:v>0.7286363636363636</x:v>
      </x:c>
      <x:c r="R55" s="186" t="n">
        <x:v>-0.5445454545454546</x:v>
      </x:c>
      <x:c r="S55" s="186" t="n">
        <x:v>1.2731818181818182</x:v>
      </x:c>
      <x:c r="T55" s="186" t="n">
        <x:v>119.67660454545454</x:v>
      </x:c>
      <x:c r="U55" s="186" t="n">
        <x:v>71.22786</x:v>
      </x:c>
      <x:c r="V55" s="186" t="n">
        <x:v>85.86661</x:v>
      </x:c>
      <x:c r="W55" s="186" t="n">
        <x:v>49.760887</x:v>
      </x:c>
      <x:c r="X55" s="186" t="n">
        <x:v>0.7705796</x:v>
      </x:c>
      <x:c r="Y55" s="186" t="n">
        <x:v>0.48911038</x:v>
      </x:c>
      <x:c r="Z55" s="186" t="n">
        <x:v>1.6519011</x:v>
      </x:c>
      <x:c r="AA55" s="186" t="n">
        <x:v>106433.75</x:v>
      </x:c>
      <x:c r="AB55" s="186" t="n">
        <x:v>26430.25</x:v>
      </x:c>
      <x:c r="AC55" s="186" t="n">
        <x:v>-86625.25</x:v>
      </x:c>
      <x:c r="AD55" s="186" t="n">
        <x:v>-46517</x:v>
      </x:c>
      <x:c r="AE55" s="186" t="n">
        <x:v>0.21496759980470348</x:v>
      </x:c>
      <x:c r="AF55" s="186" t="n">
        <x:v>0.15043091232907896</x:v>
      </x:c>
      <x:c r="AG55" s="186" t="n">
        <x:v>0.054636363636363594</x:v>
      </x:c>
      <x:c r="AH55" s="186" t="n">
        <x:v>-0.10304545454545455</x:v>
      </x:c>
      <x:c r="AI55" s="186" t="n">
        <x:v>0.15768181818181826</x:v>
      </x:c>
      <x:c r="AJ55" s="186" t="n">
        <x:v>-0.023964484075363002</x:v>
      </x:c>
      <x:c r="AK55" s="186" t="n">
        <x:v>2.720642</x:v>
      </x:c>
      <x:c r="AL55" s="186" t="n">
        <x:v>-21968.050000000003</x:v>
      </x:c>
      <x:c r="AM55" s="186" t="n">
        <x:v>9135.849999999999</x:v>
      </x:c>
      <x:c r="AN55" s="186" t="n">
        <x:v>-0.07050952813664668</x:v>
      </x:c>
      <x:c r="AO55" s="186" t="n">
        <x:v>1</x:v>
      </x:c>
      <x:c r="AP55" s="186" t="n">
        <x:v>1</x:v>
      </x:c>
    </x:row>
    <x:row r="56">
      <x:c r="A56" s="187" t="n">
        <x:v>44044</x:v>
      </x:c>
      <x:c r="B56" s="186" t="n">
        <x:v>1969</x:v>
      </x:c>
      <x:c r="C56" s="186" t="n">
        <x:v>27</x:v>
      </x:c>
      <x:c r="D56" s="186" t="n">
        <x:v>0.06605305901461822</x:v>
      </x:c>
      <x:c r="E56" s="186" t="n">
        <x:v>0.3106796116504853</x:v>
      </x:c>
      <x:c r="F56" s="187" t="n">
        <x:v>44013</x:v>
      </x:c>
      <x:c r="G56" s="186" t="n">
        <x:v>42.8</x:v>
      </x:c>
      <x:c r="H56" s="186" t="n">
        <x:v>1.74</x:v>
      </x:c>
      <x:c r="I56" s="186" t="n">
        <x:v>1644</x:v>
      </x:c>
      <x:c r="J56" s="186" t="n">
        <x:v>6372</x:v>
      </x:c>
      <x:c r="K56" s="186" t="n">
        <x:v>1847</x:v>
      </x:c>
      <x:c r="L56" s="186" t="n">
        <x:v>865</x:v>
      </x:c>
      <x:c r="M56" s="186" t="n">
        <x:v>20.6</x:v>
      </x:c>
      <x:c r="N56" s="186" t="n">
        <x:v>89.66019417475728</x:v>
      </x:c>
      <x:c r="O56" s="186" t="n">
        <x:v>0.10721112076455253</x:v>
      </x:c>
      <x:c r="P56" s="186" t="n">
        <x:v>0.07268170426065157</x:v>
      </x:c>
      <x:c r="Q56" s="186" t="n">
        <x:v>0.6236363636363637</x:v>
      </x:c>
      <x:c r="R56" s="186" t="n">
        <x:v>-0.8327272727272728</x:v>
      </x:c>
      <x:c r="S56" s="186" t="n">
        <x:v>1.4563636363636363</x:v>
      </x:c>
      <x:c r="T56" s="186" t="n">
        <x:v>118.69004999999999</x:v>
      </x:c>
      <x:c r="U56" s="186" t="n">
        <x:v>66.47328</x:v>
      </x:c>
      <x:c r="V56" s="186" t="n">
        <x:v>88.737976</x:v>
      </x:c>
      <x:c r="W56" s="186" t="n">
        <x:v>36.252083</x:v>
      </x:c>
      <x:c r="X56" s="186" t="n">
        <x:v>0.92713445</x:v>
      </x:c>
      <x:c r="Y56" s="186" t="n">
        <x:v>0.40055808</x:v>
      </x:c>
      <x:c r="Z56" s="186" t="n">
        <x:v>1.5392232</x:v>
      </x:c>
      <x:c r="AA56" s="186" t="n">
        <x:v>134055.2</x:v>
      </x:c>
      <x:c r="AB56" s="186" t="n">
        <x:v>39044.8</x:v>
      </x:c>
      <x:c r="AC56" s="186" t="n">
        <x:v>-94952.2</x:v>
      </x:c>
      <x:c r="AD56" s="186" t="n">
        <x:v>-45001.4</x:v>
      </x:c>
      <x:c r="AE56" s="186" t="n">
        <x:v>0.23017201076370397</x:v>
      </x:c>
      <x:c r="AF56" s="186" t="n">
        <x:v>0.21979668741444466</x:v>
      </x:c>
      <x:c r="AG56" s="186" t="n">
        <x:v>-0.10499999999999998</x:v>
      </x:c>
      <x:c r="AH56" s="186" t="n">
        <x:v>-0.2881818181818182</x:v>
      </x:c>
      <x:c r="AI56" s="186" t="n">
        <x:v>0.1831818181818181</x:v>
      </x:c>
      <x:c r="AJ56" s="186" t="n">
        <x:v>-0.008243503809300057</x:v>
      </x:c>
      <x:c r="AK56" s="186" t="n">
        <x:v>-4.7545776</x:v>
      </x:c>
      <x:c r="AL56" s="186" t="n">
        <x:v>27621.45000000001</x:v>
      </x:c>
      <x:c r="AM56" s="186" t="n">
        <x:v>12614.550000000003</x:v>
      </x:c>
      <x:c r="AN56" s="186" t="n">
        <x:v>-0.08372665306397009</x:v>
      </x:c>
      <x:c r="AO56" s="186" t="n">
        <x:v>1</x:v>
      </x:c>
      <x:c r="AP56" s="186" t="n">
        <x:v>1</x:v>
      </x:c>
    </x:row>
    <x:row r="57">
      <x:c r="A57" s="187" t="n">
        <x:v>44075</x:v>
      </x:c>
      <x:c r="B57" s="186" t="n">
        <x:v>1922</x:v>
      </x:c>
      <x:c r="C57" s="186" t="n">
        <x:v>25.7</x:v>
      </x:c>
      <x:c r="D57" s="186" t="n">
        <x:v>-0.023869984763839502</x:v>
      </x:c>
      <x:c r="E57" s="186" t="n">
        <x:v>-0.04814814814814816</x:v>
      </x:c>
      <x:c r="F57" s="187" t="n">
        <x:v>44044</x:v>
      </x:c>
      <x:c r="G57" s="186" t="n">
        <x:v>44.3</x:v>
      </x:c>
      <x:c r="H57" s="186" t="n">
        <x:v>2.3</x:v>
      </x:c>
      <x:c r="I57" s="186" t="n">
        <x:v>1737</x:v>
      </x:c>
      <x:c r="J57" s="186" t="n">
        <x:v>6499</x:v>
      </x:c>
      <x:c r="K57" s="186" t="n">
        <x:v>1969</x:v>
      </x:c>
      <x:c r="L57" s="186" t="n">
        <x:v>940</x:v>
      </x:c>
      <x:c r="M57" s="186" t="n">
        <x:v>27</x:v>
      </x:c>
      <x:c r="N57" s="186" t="n">
        <x:v>72.92592592592592</x:v>
      </x:c>
      <x:c r="O57" s="186" t="n">
        <x:v>0.019930947897049522</x:v>
      </x:c>
      <x:c r="P57" s="186" t="n">
        <x:v>0.035046728971962704</x:v>
      </x:c>
      <x:c r="Q57" s="186" t="n">
        <x:v>0.65</x:v>
      </x:c>
      <x:c r="R57" s="186" t="n">
        <x:v>-1.0114285714285716</x:v>
      </x:c>
      <x:c r="S57" s="186" t="n">
        <x:v>1.6614285714285715</x:v>
      </x:c>
      <x:c r="T57" s="186" t="n">
        <x:v>116.94534761904762</x:v>
      </x:c>
      <x:c r="U57" s="186" t="n">
        <x:v>65.46605</x:v>
      </x:c>
      <x:c r="V57" s="186" t="n">
        <x:v>90.00912</x:v>
      </x:c>
      <x:c r="W57" s="186" t="n">
        <x:v>28.454628</x:v>
      </x:c>
      <x:c r="X57" s="186" t="n">
        <x:v>0.66343117</x:v>
      </x:c>
      <x:c r="Y57" s="186" t="n">
        <x:v>0.5120442</x:v>
      </x:c>
      <x:c r="Z57" s="186" t="n">
        <x:v>1.4559865</x:v>
      </x:c>
      <x:c r="AA57" s="186" t="n">
        <x:v>98362.75</x:v>
      </x:c>
      <x:c r="AB57" s="186" t="n">
        <x:v>31610.5</x:v>
      </x:c>
      <x:c r="AC57" s="186" t="n">
        <x:v>-93822</x:v>
      </x:c>
      <x:c r="AD57" s="186" t="n">
        <x:v>-44765.5</x:v>
      </x:c>
      <x:c r="AE57" s="186" t="n">
        <x:v>0.1780155233849645</x:v>
      </x:c>
      <x:c r="AF57" s="186" t="n">
        <x:v>0.16145838110273272</x:v>
      </x:c>
      <x:c r="AG57" s="186" t="n">
        <x:v>0.026363636363636367</x:v>
      </x:c>
      <x:c r="AH57" s="186" t="n">
        <x:v>-0.1787012987012988</x:v>
      </x:c>
      <x:c r="AI57" s="186" t="n">
        <x:v>0.20506493506493517</x:v>
      </x:c>
      <x:c r="AJ57" s="186" t="n">
        <x:v>-0.014699651579490935</x:v>
      </x:c>
      <x:c r="AK57" s="186" t="n">
        <x:v>-1.0072327</x:v>
      </x:c>
      <x:c r="AL57" s="186" t="n">
        <x:v>-35692.45000000001</x:v>
      </x:c>
      <x:c r="AM57" s="186" t="n">
        <x:v>-7434.300000000003</x:v>
      </x:c>
      <x:c r="AN57" s="186" t="n">
        <x:v>-0.18664099941847645</x:v>
      </x:c>
      <x:c r="AO57" s="186" t="n">
        <x:v>0</x:v>
      </x:c>
      <x:c r="AP57" s="186" t="n">
        <x:v>0</x:v>
      </x:c>
    </x:row>
    <x:row r="58">
      <x:c r="A58" s="187" t="n">
        <x:v>44105</x:v>
      </x:c>
      <x:c r="B58" s="186" t="n">
        <x:v>1900</x:v>
      </x:c>
      <x:c r="C58" s="186" t="n">
        <x:v>24.2</x:v>
      </x:c>
      <x:c r="D58" s="186" t="n">
        <x:v>-0.01144640998959412</x:v>
      </x:c>
      <x:c r="E58" s="186" t="n">
        <x:v>-0.05836575875486383</x:v>
      </x:c>
      <x:c r="F58" s="187" t="n">
        <x:v>44075</x:v>
      </x:c>
      <x:c r="G58" s="186" t="n">
        <x:v>41.1</x:v>
      </x:c>
      <x:c r="H58" s="186" t="n">
        <x:v>1.92</x:v>
      </x:c>
      <x:c r="I58" s="186" t="n">
        <x:v>1744</x:v>
      </x:c>
      <x:c r="J58" s="186" t="n">
        <x:v>6705</x:v>
      </x:c>
      <x:c r="K58" s="186" t="n">
        <x:v>1922</x:v>
      </x:c>
      <x:c r="L58" s="186" t="n">
        <x:v>908</x:v>
      </x:c>
      <x:c r="M58" s="186" t="n">
        <x:v>25.7</x:v>
      </x:c>
      <x:c r="N58" s="186" t="n">
        <x:v>74.78599221789884</x:v>
      </x:c>
      <x:c r="O58" s="186" t="n">
        <x:v>0.031697184182181815</x:v>
      </x:c>
      <x:c r="P58" s="186" t="n">
        <x:v>-0.0722347629796839</x:v>
      </x:c>
      <x:c r="Q58" s="186" t="n">
        <x:v>0.6795238095238095</x:v>
      </x:c>
      <x:c r="R58" s="186" t="n">
        <x:v>-0.9766666666666668</x:v>
      </x:c>
      <x:c r="S58" s="186" t="n">
        <x:v>1.6561904761904762</x:v>
      </x:c>
      <x:c r="T58" s="186" t="n">
        <x:v>116.34313333333334</x:v>
      </x:c>
      <x:c r="U58" s="186" t="n">
        <x:v>80.37738</x:v>
      </x:c>
      <x:c r="V58" s="186" t="n">
        <x:v>101.257645</x:v>
      </x:c>
      <x:c r="W58" s="186" t="n">
        <x:v>49.51808</x:v>
      </x:c>
      <x:c r="X58" s="186" t="n">
        <x:v>0.86036927</x:v>
      </x:c>
      <x:c r="Y58" s="186" t="n">
        <x:v>0.9320667</x:v>
      </x:c>
      <x:c r="Z58" s="186" t="n">
        <x:v>1.698333</x:v>
      </x:c>
      <x:c r="AA58" s="186" t="n">
        <x:v>98645</x:v>
      </x:c>
      <x:c r="AB58" s="186" t="n">
        <x:v>37292.75</x:v>
      </x:c>
      <x:c r="AC58" s="186" t="n">
        <x:v>-98503.75</x:v>
      </x:c>
      <x:c r="AD58" s="186" t="n">
        <x:v>-49308</x:v>
      </x:c>
      <x:c r="AE58" s="186" t="n">
        <x:v>0.17471998213361717</x:v>
      </x:c>
      <x:c r="AF58" s="186" t="n">
        <x:v>0.23100936410090767</x:v>
      </x:c>
      <x:c r="AG58" s="186" t="n">
        <x:v>0.029523809523809508</x:v>
      </x:c>
      <x:c r="AH58" s="186" t="n">
        <x:v>0.03476190476190477</x:v>
      </x:c>
      <x:c r="AI58" s="186" t="n">
        <x:v>-0.005238095238095264</x:v>
      </x:c>
      <x:c r="AJ58" s="186" t="n">
        <x:v>-0.005149536069412597</x:v>
      </x:c>
      <x:c r="AK58" s="186" t="n">
        <x:v>14.911331</x:v>
      </x:c>
      <x:c r="AL58" s="186" t="n">
        <x:v>282.25</x:v>
      </x:c>
      <x:c r="AM58" s="186" t="n">
        <x:v>5682.25</x:v>
      </x:c>
      <x:c r="AN58" s="186" t="n">
        <x:v>0.02550624168779514</x:v>
      </x:c>
      <x:c r="AO58" s="186" t="n">
        <x:v>0</x:v>
      </x:c>
      <x:c r="AP58" s="186" t="n">
        <x:v>0</x:v>
      </x:c>
    </x:row>
    <x:row r="59">
      <x:c r="A59" s="187" t="n">
        <x:v>44136</x:v>
      </x:c>
      <x:c r="B59" s="186" t="n">
        <x:v>1866</x:v>
      </x:c>
      <x:c r="C59" s="186" t="n">
        <x:v>24.1</x:v>
      </x:c>
      <x:c r="D59" s="186" t="n">
        <x:v>-0.017894736842105297</x:v>
      </x:c>
      <x:c r="E59" s="186" t="n">
        <x:v>-0.004132231404958553</x:v>
      </x:c>
      <x:c r="F59" s="187" t="n">
        <x:v>44105</x:v>
      </x:c>
      <x:c r="G59" s="186" t="n">
        <x:v>40.5</x:v>
      </x:c>
      <x:c r="H59" s="186" t="n">
        <x:v>2.25</x:v>
      </x:c>
      <x:c r="I59" s="186" t="n">
        <x:v>1806</x:v>
      </x:c>
      <x:c r="J59" s="186" t="n">
        <x:v>6714</x:v>
      </x:c>
      <x:c r="K59" s="186" t="n">
        <x:v>1900</x:v>
      </x:c>
      <x:c r="L59" s="186" t="n">
        <x:v>876</x:v>
      </x:c>
      <x:c r="M59" s="186" t="n">
        <x:v>24.2</x:v>
      </x:c>
      <x:c r="N59" s="186" t="n">
        <x:v>78.51239669421489</x:v>
      </x:c>
      <x:c r="O59" s="186" t="n">
        <x:v>0.0013422818791946067</x:v>
      </x:c>
      <x:c r="P59" s="186" t="n">
        <x:v>-0.014598540145985384</x:v>
      </x:c>
      <x:c r="Q59" s="186" t="n">
        <x:v>0.7871428571428571</x:v>
      </x:c>
      <x:c r="R59" s="186" t="n">
        <x:v>-0.9166666666666666</x:v>
      </x:c>
      <x:c r="S59" s="186" t="n">
        <x:v>1.7038095238095239</x:v>
      </x:c>
      <x:c r="T59" s="186" t="n">
        <x:v>115.77981428571428</x:v>
      </x:c>
      <x:c r="U59" s="186" t="n">
        <x:v>76.08317</x:v>
      </x:c>
      <x:c r="V59" s="186" t="n">
        <x:v>97.65258</x:v>
      </x:c>
      <x:c r="W59" s="186" t="n">
        <x:v>42.681442</x:v>
      </x:c>
      <x:c r="X59" s="186" t="n">
        <x:v>0.64959717</x:v>
      </x:c>
      <x:c r="Y59" s="186" t="n">
        <x:v>0.852069</x:v>
      </x:c>
      <x:c r="Z59" s="186" t="n">
        <x:v>1.6619564</x:v>
      </x:c>
      <x:c r="AA59" s="186" t="n">
        <x:v>92641</x:v>
      </x:c>
      <x:c r="AB59" s="186" t="n">
        <x:v>37336</x:v>
      </x:c>
      <x:c r="AC59" s="186" t="n">
        <x:v>-98083.6</x:v>
      </x:c>
      <x:c r="AD59" s="186" t="n">
        <x:v>-49934.8</x:v>
      </x:c>
      <x:c r="AE59" s="186" t="n">
        <x:v>0.16568596988047</x:v>
      </x:c>
      <x:c r="AF59" s="186" t="n">
        <x:v>0.23638206644777968</x:v>
      </x:c>
      <x:c r="AG59" s="186" t="n">
        <x:v>0.10761904761904761</x:v>
      </x:c>
      <x:c r="AH59" s="186" t="n">
        <x:v>0.060000000000000164</x:v>
      </x:c>
      <x:c r="AI59" s="186" t="n">
        <x:v>0.04761904761904767</x:v>
      </x:c>
      <x:c r="AJ59" s="186" t="n">
        <x:v>-0.00484187619397447</x:v>
      </x:c>
      <x:c r="AK59" s="186" t="n">
        <x:v>-4.2942123</x:v>
      </x:c>
      <x:c r="AL59" s="186" t="n">
        <x:v>-6004</x:v>
      </x:c>
      <x:c r="AM59" s="186" t="n">
        <x:v>43.25</x:v>
      </x:c>
      <x:c r="AN59" s="186" t="n">
        <x:v>0.04982757286229056</x:v>
      </x:c>
      <x:c r="AO59" s="186" t="n">
        <x:v>0</x:v>
      </x:c>
      <x:c r="AP59" s="186" t="n">
        <x:v>0</x:v>
      </x:c>
    </x:row>
    <x:row r="60">
      <x:c r="A60" s="187" t="n">
        <x:v>44166</x:v>
      </x:c>
      <x:c r="B60" s="186" t="n">
        <x:v>1858</x:v>
      </x:c>
      <x:c r="C60" s="186" t="n">
        <x:v>25</x:v>
      </x:c>
      <x:c r="D60" s="186" t="n">
        <x:v>-0.004287245444801746</x:v>
      </x:c>
      <x:c r="E60" s="186" t="n">
        <x:v>0.03734439834024883</x:v>
      </x:c>
      <x:c r="F60" s="187" t="n">
        <x:v>44136</x:v>
      </x:c>
      <x:c r="G60" s="186" t="n">
        <x:v>43.2</x:v>
      </x:c>
      <x:c r="H60" s="186" t="n">
        <x:v>2.59</x:v>
      </x:c>
      <x:c r="I60" s="186" t="n">
        <x:v>1935</x:v>
      </x:c>
      <x:c r="J60" s="186" t="n">
        <x:v>7069</x:v>
      </x:c>
      <x:c r="K60" s="186" t="n">
        <x:v>1866</x:v>
      </x:c>
      <x:c r="L60" s="186" t="n">
        <x:v>912</x:v>
      </x:c>
      <x:c r="M60" s="186" t="n">
        <x:v>24.1</x:v>
      </x:c>
      <x:c r="N60" s="186" t="n">
        <x:v>77.42738589211618</x:v>
      </x:c>
      <x:c r="O60" s="186" t="n">
        <x:v>0.052874590408102495</x:v>
      </x:c>
      <x:c r="P60" s="186" t="n">
        <x:v>0.06666666666666665</x:v>
      </x:c>
      <x:c r="Q60" s="186" t="n">
        <x:v>0.8700000000000001</x:v>
      </x:c>
      <x:c r="R60" s="186" t="n">
        <x:v>-0.8421052631578947</x:v>
      </x:c>
      <x:c r="S60" s="186" t="n">
        <x:v>1.7121052631578948</x:v>
      </x:c>
      <x:c r="T60" s="186" t="n">
        <x:v>114.09840000000001</x:v>
      </x:c>
      <x:c r="U60" s="186" t="n">
        <x:v>70.06747</x:v>
      </x:c>
      <x:c r="V60" s="186" t="n">
        <x:v>79.036446</x:v>
      </x:c>
      <x:c r="W60" s="186" t="n">
        <x:v>62.313946</x:v>
      </x:c>
      <x:c r="X60" s="186" t="n">
        <x:v>0.4175653</x:v>
      </x:c>
      <x:c r="Y60" s="186" t="n">
        <x:v>0.4542743</x:v>
      </x:c>
      <x:c r="Z60" s="186" t="n">
        <x:v>1.312348</x:v>
      </x:c>
      <x:c r="AA60" s="186" t="n">
        <x:v>86568.25</x:v>
      </x:c>
      <x:c r="AB60" s="186" t="n">
        <x:v>41556.5</x:v>
      </x:c>
      <x:c r="AC60" s="186" t="n">
        <x:v>-94661</x:v>
      </x:c>
      <x:c r="AD60" s="186" t="n">
        <x:v>-49176.5</x:v>
      </x:c>
      <x:c r="AE60" s="186" t="n">
        <x:v>0.15703877738365885</x:v>
      </x:c>
      <x:c r="AF60" s="186" t="n">
        <x:v>0.2633184927389694</x:v>
      </x:c>
      <x:c r="AG60" s="186" t="n">
        <x:v>0.08285714285714296</x:v>
      </x:c>
      <x:c r="AH60" s="186" t="n">
        <x:v>0.07456140350877194</x:v>
      </x:c>
      <x:c r="AI60" s="186" t="n">
        <x:v>0.008295739348370912</x:v>
      </x:c>
      <x:c r="AJ60" s="186" t="n">
        <x:v>-0.014522516693324272</x:v>
      </x:c>
      <x:c r="AK60" s="186" t="n">
        <x:v>-6.0157013</x:v>
      </x:c>
      <x:c r="AL60" s="186" t="n">
        <x:v>-6072.75</x:v>
      </x:c>
      <x:c r="AM60" s="186" t="n">
        <x:v>4220.5</x:v>
      </x:c>
      <x:c r="AN60" s="186" t="n">
        <x:v>-0.01381961126883613</x:v>
      </x:c>
      <x:c r="AO60" s="186" t="n">
        <x:v>0</x:v>
      </x:c>
      <x:c r="AP60" s="186" t="n">
        <x:v>1</x:v>
      </x:c>
    </x:row>
    <x:row r="61">
      <x:c r="A61" s="187" t="n">
        <x:v>44197</x:v>
      </x:c>
      <x:c r="B61" s="186" t="n">
        <x:v>1867</x:v>
      </x:c>
      <x:c r="C61" s="186" t="n">
        <x:v>25.9</x:v>
      </x:c>
      <x:c r="D61" s="186" t="n">
        <x:v>0.004843918191603791</x:v>
      </x:c>
      <x:c r="E61" s="186" t="n">
        <x:v>0.03600000000000003</x:v>
      </x:c>
      <x:c r="F61" s="187" t="n">
        <x:v>44166</x:v>
      </x:c>
      <x:c r="G61" s="186" t="n">
        <x:v>49.9</x:v>
      </x:c>
      <x:c r="H61" s="186" t="n">
        <x:v>2.54</x:v>
      </x:c>
      <x:c r="I61" s="186" t="n">
        <x:v>2015</x:v>
      </x:c>
      <x:c r="J61" s="186" t="n">
        <x:v>7772</x:v>
      </x:c>
      <x:c r="K61" s="186" t="n">
        <x:v>1858</x:v>
      </x:c>
      <x:c r="L61" s="186" t="n">
        <x:v>1028</x:v>
      </x:c>
      <x:c r="M61" s="186" t="n">
        <x:v>25</x:v>
      </x:c>
      <x:c r="N61" s="186" t="n">
        <x:v>74.32</x:v>
      </x:c>
      <x:c r="O61" s="186" t="n">
        <x:v>0.09944829537416888</x:v>
      </x:c>
      <x:c r="P61" s="186" t="n">
        <x:v>0.15509259259259256</x:v>
      </x:c>
      <x:c r="Q61" s="186" t="n">
        <x:v>0.9336363636363636</x:v>
      </x:c>
      <x:c r="R61" s="186" t="n">
        <x:v>-0.9822727272727273</x:v>
      </x:c>
      <x:c r="S61" s="186" t="n">
        <x:v>1.9159090909090908</x:v>
      </x:c>
      <x:c r="T61" s="186" t="n">
        <x:v>111.89921428571428</x:v>
      </x:c>
      <x:c r="U61" s="186" t="n">
        <x:v>64.06729</x:v>
      </x:c>
      <x:c r="V61" s="186" t="n">
        <x:v>86.81528</x:v>
      </x:c>
      <x:c r="W61" s="186" t="n">
        <x:v>31.744429</x:v>
      </x:c>
      <x:c r="X61" s="186" t="n">
        <x:v>0.59490085</x:v>
      </x:c>
      <x:c r="Y61" s="186" t="n">
        <x:v>0.5760151</x:v>
      </x:c>
      <x:c r="Z61" s="186" t="n">
        <x:v>1.4353163</x:v>
      </x:c>
      <x:c r="AA61" s="186" t="n">
        <x:v>98589.25</x:v>
      </x:c>
      <x:c r="AB61" s="186" t="n">
        <x:v>43978</x:v>
      </x:c>
      <x:c r="AC61" s="186" t="n">
        <x:v>-103910.25</x:v>
      </x:c>
      <x:c r="AD61" s="186" t="n">
        <x:v>-54100</x:v>
      </x:c>
      <x:c r="AE61" s="186" t="n">
        <x:v>0.1791819743864812</x:v>
      </x:c>
      <x:c r="AF61" s="186" t="n">
        <x:v>0.2762685339992309</x:v>
      </x:c>
      <x:c r="AG61" s="186" t="n">
        <x:v>0.06363636363636349</x:v>
      </x:c>
      <x:c r="AH61" s="186" t="n">
        <x:v>-0.1401674641148326</x:v>
      </x:c>
      <x:c r="AI61" s="186" t="n">
        <x:v>0.203803827751196</x:v>
      </x:c>
      <x:c r="AJ61" s="186" t="n">
        <x:v>-0.019274465849527522</x:v>
      </x:c>
      <x:c r="AK61" s="186" t="n">
        <x:v>-6.0001755</x:v>
      </x:c>
      <x:c r="AL61" s="186" t="n">
        <x:v>12021</x:v>
      </x:c>
      <x:c r="AM61" s="186" t="n">
        <x:v>2421.5</x:v>
      </x:c>
      <x:c r="AN61" s="186" t="n">
        <x:v>-0.04013290460878893</x:v>
      </x:c>
      <x:c r="AO61" s="186" t="n">
        <x:v>1</x:v>
      </x:c>
      <x:c r="AP61" s="186" t="n">
        <x:v>1</x:v>
      </x:c>
    </x:row>
    <x:row r="62">
      <x:c r="A62" s="187" t="n">
        <x:v>44228</x:v>
      </x:c>
      <x:c r="B62" s="186" t="n">
        <x:v>1808</x:v>
      </x:c>
      <x:c r="C62" s="186" t="n">
        <x:v>27.3</x:v>
      </x:c>
      <x:c r="D62" s="186" t="n">
        <x:v>-0.03160149973219073</x:v>
      </x:c>
      <x:c r="E62" s="186" t="n">
        <x:v>0.05405405405405417</x:v>
      </x:c>
      <x:c r="F62" s="187" t="n">
        <x:v>44197</x:v>
      </x:c>
      <x:c r="G62" s="186" t="n">
        <x:v>54.6</x:v>
      </x:c>
      <x:c r="H62" s="186" t="n">
        <x:v>2.67</x:v>
      </x:c>
      <x:c r="I62" s="186" t="n">
        <x:v>2004</x:v>
      </x:c>
      <x:c r="J62" s="186" t="n">
        <x:v>7972</x:v>
      </x:c>
      <x:c r="K62" s="186" t="n">
        <x:v>1867</x:v>
      </x:c>
      <x:c r="L62" s="186" t="n">
        <x:v>1091</x:v>
      </x:c>
      <x:c r="M62" s="186" t="n">
        <x:v>25.9</x:v>
      </x:c>
      <x:c r="N62" s="186" t="n">
        <x:v>72.08494208494209</x:v>
      </x:c>
      <x:c r="O62" s="186" t="n">
        <x:v>0.025733401955738477</x:v>
      </x:c>
      <x:c r="P62" s="186" t="n">
        <x:v>0.094188376753507</x:v>
      </x:c>
      <x:c r="Q62" s="186" t="n">
        <x:v>1.0810526315789473</x:v>
      </x:c>
      <x:c r="R62" s="186" t="n">
        <x:v>-1.0005263157894737</x:v>
      </x:c>
      <x:c r="S62" s="186" t="n">
        <x:v>2.081578947368421</x:v>
      </x:c>
      <x:c r="T62" s="186" t="n">
        <x:v>111.48727222222222</x:v>
      </x:c>
      <x:c r="U62" s="186" t="n">
        <x:v>77.4187</x:v>
      </x:c>
      <x:c r="V62" s="186" t="n">
        <x:v>98.475624</x:v>
      </x:c>
      <x:c r="W62" s="186" t="n">
        <x:v>48.287487</x:v>
      </x:c>
      <x:c r="X62" s="186" t="n">
        <x:v>0.77402806</x:v>
      </x:c>
      <x:c r="Y62" s="186" t="n">
        <x:v>0.5926843</x:v>
      </x:c>
      <x:c r="Z62" s="186" t="n">
        <x:v>1.9018974</x:v>
      </x:c>
      <x:c r="AA62" s="186" t="n">
        <x:v>95653.6</x:v>
      </x:c>
      <x:c r="AB62" s="186" t="n">
        <x:v>43400</x:v>
      </x:c>
      <x:c r="AC62" s="186" t="n">
        <x:v>-102661.6</x:v>
      </x:c>
      <x:c r="AD62" s="186" t="n">
        <x:v>-53161.4</x:v>
      </x:c>
      <x:c r="AE62" s="186" t="n">
        <x:v>0.17323401602089478</x:v>
      </x:c>
      <x:c r="AF62" s="186" t="n">
        <x:v>0.25494197534899743</x:v>
      </x:c>
      <x:c r="AG62" s="186" t="n">
        <x:v>0.14741626794258367</x:v>
      </x:c>
      <x:c r="AH62" s="186" t="n">
        <x:v>-0.01825358851674641</x:v>
      </x:c>
      <x:c r="AI62" s="186" t="n">
        <x:v>0.1656698564593302</x:v>
      </x:c>
      <x:c r="AJ62" s="186" t="n">
        <x:v>-0.0036813668989689186</x:v>
      </x:c>
      <x:c r="AK62" s="186" t="n">
        <x:v>13.35141</x:v>
      </x:c>
      <x:c r="AL62" s="186" t="n">
        <x:v>-2935.649999999994</x:v>
      </x:c>
      <x:c r="AM62" s="186" t="n">
        <x:v>-578</x:v>
      </x:c>
      <x:c r="AN62" s="186" t="n">
        <x:v>-0.030073438038992317</x:v>
      </x:c>
      <x:c r="AO62" s="186" t="n">
        <x:v>0</x:v>
      </x:c>
      <x:c r="AP62" s="186" t="n">
        <x:v>1</x:v>
      </x:c>
    </x:row>
    <x:row r="63">
      <x:c r="A63" s="187" t="n">
        <x:v>44256</x:v>
      </x:c>
      <x:c r="B63" s="186" t="n">
        <x:v>1718</x:v>
      </x:c>
      <x:c r="C63" s="186" t="n">
        <x:v>25.6</x:v>
      </x:c>
      <x:c r="D63" s="186" t="n">
        <x:v>-0.0497787610619469</x:v>
      </x:c>
      <x:c r="E63" s="186" t="n">
        <x:v>-0.06227106227106227</x:v>
      </x:c>
      <x:c r="F63" s="187" t="n">
        <x:v>44228</x:v>
      </x:c>
      <x:c r="G63" s="186" t="n">
        <x:v>62</x:v>
      </x:c>
      <x:c r="H63" s="186" t="n">
        <x:v>5.07</x:v>
      </x:c>
      <x:c r="I63" s="186" t="n">
        <x:v>2079</x:v>
      </x:c>
      <x:c r="J63" s="186" t="n">
        <x:v>8471</x:v>
      </x:c>
      <x:c r="K63" s="186" t="n">
        <x:v>1808</x:v>
      </x:c>
      <x:c r="L63" s="186" t="n">
        <x:v>1207</x:v>
      </x:c>
      <x:c r="M63" s="186" t="n">
        <x:v>27.3</x:v>
      </x:c>
      <x:c r="N63" s="186" t="n">
        <x:v>66.22710622710622</x:v>
      </x:c>
      <x:c r="O63" s="186" t="n">
        <x:v>0.06259407927747107</x:v>
      </x:c>
      <x:c r="P63" s="186" t="n">
        <x:v>0.1355311355311355</x:v>
      </x:c>
      <x:c r="Q63" s="186" t="n">
        <x:v>1.2578947368421052</x:v>
      </x:c>
      <x:c r="R63" s="186" t="n">
        <x:v>-0.9221052631578948</x:v>
      </x:c>
      <x:c r="S63" s="186" t="n">
        <x:v>2.18</x:v>
      </x:c>
      <x:c r="T63" s="186" t="n">
        <x:v>112.01705263157895</x:v>
      </x:c>
      <x:c r="U63" s="186" t="n">
        <x:v>73.9568</x:v>
      </x:c>
      <x:c r="V63" s="186" t="n">
        <x:v>94.48356</x:v>
      </x:c>
      <x:c r="W63" s="186" t="n">
        <x:v>46.32678</x:v>
      </x:c>
      <x:c r="X63" s="186" t="n">
        <x:v>0.7152523</x:v>
      </x:c>
      <x:c r="Y63" s="186" t="n">
        <x:v>0.5122753</x:v>
      </x:c>
      <x:c r="Z63" s="186" t="n">
        <x:v>1.5754881</x:v>
      </x:c>
      <x:c r="AA63" s="186" t="n">
        <x:v>78124.25</x:v>
      </x:c>
      <x:c r="AB63" s="186" t="n">
        <x:v>38087.25</x:v>
      </x:c>
      <x:c r="AC63" s="186" t="n">
        <x:v>-100006.5</x:v>
      </x:c>
      <x:c r="AD63" s="186" t="n">
        <x:v>-56311.5</x:v>
      </x:c>
      <x:c r="AE63" s="186" t="n">
        <x:v>0.15512880128261347</x:v>
      </x:c>
      <x:c r="AF63" s="186" t="n">
        <x:v>0.2131253459952231</x:v>
      </x:c>
      <x:c r="AG63" s="186" t="n">
        <x:v>0.1768421052631579</x:v>
      </x:c>
      <x:c r="AH63" s="186" t="n">
        <x:v>0.07842105263157895</x:v>
      </x:c>
      <x:c r="AI63" s="186" t="n">
        <x:v>0.09842105263157919</x:v>
      </x:c>
      <x:c r="AJ63" s="186" t="n">
        <x:v>0.004751936241661259</x:v>
      </x:c>
      <x:c r="AK63" s="186" t="n">
        <x:v>-3.4618988</x:v>
      </x:c>
      <x:c r="AL63" s="186" t="n">
        <x:v>-17529.350000000006</x:v>
      </x:c>
      <x:c r="AM63" s="186" t="n">
        <x:v>-5312.75</x:v>
      </x:c>
      <x:c r="AN63" s="186" t="n">
        <x:v>-0.08126296128438615</x:v>
      </x:c>
      <x:c r="AO63" s="186" t="n">
        <x:v>0</x:v>
      </x:c>
      <x:c r="AP63" s="186" t="n">
        <x:v>0</x:v>
      </x:c>
    </x:row>
    <x:row r="64">
      <x:c r="A64" s="187" t="n">
        <x:v>44287</x:v>
      </x:c>
      <x:c r="B64" s="186" t="n">
        <x:v>1760</x:v>
      </x:c>
      <x:c r="C64" s="186" t="n">
        <x:v>25.7</x:v>
      </x:c>
      <x:c r="D64" s="186" t="n">
        <x:v>0.024447031431897637</x:v>
      </x:c>
      <x:c r="E64" s="186" t="n">
        <x:v>0.00390625</x:v>
      </x:c>
      <x:c r="F64" s="187" t="n">
        <x:v>44256</x:v>
      </x:c>
      <x:c r="G64" s="186" t="n">
        <x:v>65.2</x:v>
      </x:c>
      <x:c r="H64" s="186" t="n">
        <x:v>2.56</x:v>
      </x:c>
      <x:c r="I64" s="186" t="n">
        <x:v>2190</x:v>
      </x:c>
      <x:c r="J64" s="186" t="n">
        <x:v>8988</x:v>
      </x:c>
      <x:c r="K64" s="186" t="n">
        <x:v>1718</x:v>
      </x:c>
      <x:c r="L64" s="186" t="n">
        <x:v>1181</x:v>
      </x:c>
      <x:c r="M64" s="186" t="n">
        <x:v>25.6</x:v>
      </x:c>
      <x:c r="N64" s="186" t="n">
        <x:v>67.109375</x:v>
      </x:c>
      <x:c r="O64" s="186" t="n">
        <x:v>0.0610317554007791</x:v>
      </x:c>
      <x:c r="P64" s="186" t="n">
        <x:v>0.05161290322580658</x:v>
      </x:c>
      <x:c r="Q64" s="186" t="n">
        <x:v>1.6108695652173912</x:v>
      </x:c>
      <x:c r="R64" s="186" t="n">
        <x:v>-0.6643478260869565</x:v>
      </x:c>
      <x:c r="S64" s="186" t="n">
        <x:v>2.2752173913043476</x:v>
      </x:c>
      <x:c r="T64" s="186" t="n">
        <x:v>113.33664347826087</x:v>
      </x:c>
      <x:c r="U64" s="186" t="n">
        <x:v>78.61877</x:v>
      </x:c>
      <x:c r="V64" s="186" t="n">
        <x:v>100.85202</x:v>
      </x:c>
      <x:c r="W64" s="186" t="n">
        <x:v>49.41804</x:v>
      </x:c>
      <x:c r="X64" s="186" t="n">
        <x:v>0.83842796</x:v>
      </x:c>
      <x:c r="Y64" s="186" t="n">
        <x:v>0.6331878</x:v>
      </x:c>
      <x:c r="Z64" s="186" t="n">
        <x:v>1.7598253</x:v>
      </x:c>
      <x:c r="AA64" s="186" t="n">
        <x:v>40008</x:v>
      </x:c>
      <x:c r="AB64" s="186" t="n">
        <x:v>25578.5</x:v>
      </x:c>
      <x:c r="AC64" s="186" t="n">
        <x:v>-81305.25</x:v>
      </x:c>
      <x:c r="AD64" s="186" t="n">
        <x:v>-49192.5</x:v>
      </x:c>
      <x:c r="AE64" s="186" t="n">
        <x:v>0.08411819284764163</x:v>
      </x:c>
      <x:c r="AF64" s="186" t="n">
        <x:v>0.16168367961836555</x:v>
      </x:c>
      <x:c r="AG64" s="186" t="n">
        <x:v>0.35297482837528604</x:v>
      </x:c>
      <x:c r="AH64" s="186" t="n">
        <x:v>0.25775743707093823</x:v>
      </x:c>
      <x:c r="AI64" s="186" t="n">
        <x:v>0.09521739130434748</x:v>
      </x:c>
      <x:c r="AJ64" s="186" t="n">
        <x:v>0.011780267518928689</x:v>
      </x:c>
      <x:c r="AK64" s="186" t="n">
        <x:v>4.6619644</x:v>
      </x:c>
      <x:c r="AL64" s="186" t="n">
        <x:v>-38116.25</x:v>
      </x:c>
      <x:c r="AM64" s="186" t="n">
        <x:v>-12508.75</x:v>
      </x:c>
      <x:c r="AN64" s="186" t="n">
        <x:v>0.013321868086283217</x:v>
      </x:c>
      <x:c r="AO64" s="186" t="n">
        <x:v>1</x:v>
      </x:c>
      <x:c r="AP64" s="186" t="n">
        <x:v>1</x:v>
      </x:c>
    </x:row>
    <x:row r="65">
      <x:c r="A65" s="187" t="n">
        <x:v>44317</x:v>
      </x:c>
      <x:c r="B65" s="186" t="n">
        <x:v>1850</x:v>
      </x:c>
      <x:c r="C65" s="186" t="n">
        <x:v>27.5</x:v>
      </x:c>
      <x:c r="D65" s="186" t="n">
        <x:v>0.051136363636363535</x:v>
      </x:c>
      <x:c r="E65" s="186" t="n">
        <x:v>0.07003891050583655</x:v>
      </x:c>
      <x:c r="F65" s="187" t="n">
        <x:v>44287</x:v>
      </x:c>
      <x:c r="G65" s="186" t="n">
        <x:v>64.8</x:v>
      </x:c>
      <x:c r="H65" s="186" t="n">
        <x:v>2.61</x:v>
      </x:c>
      <x:c r="I65" s="186" t="n">
        <x:v>2319</x:v>
      </x:c>
      <x:c r="J65" s="186" t="n">
        <x:v>9325</x:v>
      </x:c>
      <x:c r="K65" s="186" t="n">
        <x:v>1760</x:v>
      </x:c>
      <x:c r="L65" s="186" t="n">
        <x:v>1209</x:v>
      </x:c>
      <x:c r="M65" s="186" t="n">
        <x:v>25.7</x:v>
      </x:c>
      <x:c r="N65" s="186" t="n">
        <x:v>68.48249027237354</x:v>
      </x:c>
      <x:c r="O65" s="186" t="n">
        <x:v>0.037494437027147276</x:v>
      </x:c>
      <x:c r="P65" s="186" t="n">
        <x:v>-0.00613496932515345</x:v>
      </x:c>
      <x:c r="Q65" s="186" t="n">
        <x:v>1.635</x:v>
      </x:c>
      <x:c r="R65" s="186" t="n">
        <x:v>-0.7145454545454546</x:v>
      </x:c>
      <x:c r="S65" s="186" t="n">
        <x:v>2.3495454545454546</x:v>
      </x:c>
      <x:c r="T65" s="186" t="n">
        <x:v>112.63228636363637</x:v>
      </x:c>
      <x:c r="U65" s="186" t="n">
        <x:v>88.16622</x:v>
      </x:c>
      <x:c r="V65" s="186" t="n">
        <x:v>109.58696</x:v>
      </x:c>
      <x:c r="W65" s="186" t="n">
        <x:v>67.873795</x:v>
      </x:c>
      <x:c r="X65" s="186" t="n">
        <x:v>0.7356022</x:v>
      </x:c>
      <x:c r="Y65" s="186" t="n">
        <x:v>1.1965176</x:v>
      </x:c>
      <x:c r="Z65" s="186" t="n">
        <x:v>1.9786768</x:v>
      </x:c>
      <x:c r="AA65" s="186" t="n">
        <x:v>54085.4</x:v>
      </x:c>
      <x:c r="AB65" s="186" t="n">
        <x:v>28876.8</x:v>
      </x:c>
      <x:c r="AC65" s="186" t="n">
        <x:v>-74808.4</x:v>
      </x:c>
      <x:c r="AD65" s="186" t="n">
        <x:v>-47278.8</x:v>
      </x:c>
      <x:c r="AE65" s="186" t="n">
        <x:v>0.11580773590103281</x:v>
      </x:c>
      <x:c r="AF65" s="186" t="n">
        <x:v>0.17583985910335712</x:v>
      </x:c>
      <x:c r="AG65" s="186" t="n">
        <x:v>0.02413043478260879</x:v>
      </x:c>
      <x:c r="AH65" s="186" t="n">
        <x:v>-0.05019762845849807</x:v>
      </x:c>
      <x:c r="AI65" s="186" t="n">
        <x:v>0.07432806324110697</x:v>
      </x:c>
      <x:c r="AJ65" s="186" t="n">
        <x:v>-0.006214734202531824</x:v>
      </x:c>
      <x:c r="AK65" s="186" t="n">
        <x:v>9.547455</x:v>
      </x:c>
      <x:c r="AL65" s="186" t="n">
        <x:v>14077.400000000001</x:v>
      </x:c>
      <x:c r="AM65" s="186" t="n">
        <x:v>3298.2999999999993</x:v>
      </x:c>
      <x:c r="AN65" s="186" t="n">
        <x:v>0.02046085621231808</x:v>
      </x:c>
      <x:c r="AO65" s="186" t="n">
        <x:v>1</x:v>
      </x:c>
      <x:c r="AP65" s="186" t="n">
        <x:v>1</x:v>
      </x:c>
    </x:row>
    <x:row r="66">
      <x:c r="A66" s="187" t="n">
        <x:v>44348</x:v>
      </x:c>
      <x:c r="B66" s="186" t="n">
        <x:v>1835</x:v>
      </x:c>
      <x:c r="C66" s="186" t="n">
        <x:v>27</x:v>
      </x:c>
      <x:c r="D66" s="186" t="n">
        <x:v>-0.008108108108108136</x:v>
      </x:c>
      <x:c r="E66" s="186" t="n">
        <x:v>-0.018181818181818188</x:v>
      </x:c>
      <x:c r="F66" s="187" t="n">
        <x:v>44317</x:v>
      </x:c>
      <x:c r="G66" s="186" t="n">
        <x:v>68</x:v>
      </x:c>
      <x:c r="H66" s="186" t="n">
        <x:v>2.89</x:v>
      </x:c>
      <x:c r="I66" s="186" t="n">
        <x:v>2434</x:v>
      </x:c>
      <x:c r="J66" s="186" t="n">
        <x:v>10162</x:v>
      </x:c>
      <x:c r="K66" s="186" t="n">
        <x:v>1850</x:v>
      </x:c>
      <x:c r="L66" s="186" t="n">
        <x:v>1214</x:v>
      </x:c>
      <x:c r="M66" s="186" t="n">
        <x:v>27.5</x:v>
      </x:c>
      <x:c r="N66" s="186" t="n">
        <x:v>67.27272727272727</x:v>
      </x:c>
      <x:c r="O66" s="186" t="n">
        <x:v>0.08975871313672923</x:v>
      </x:c>
      <x:c r="P66" s="186" t="n">
        <x:v>0.04938271604938271</x:v>
      </x:c>
      <x:c r="Q66" s="186" t="n">
        <x:v>1.621</x:v>
      </x:c>
      <x:c r="R66" s="186" t="n">
        <x:v>-0.8470000000000001</x:v>
      </x:c>
      <x:c r="S66" s="186" t="n">
        <x:v>2.468</x:v>
      </x:c>
      <x:c r="T66" s="186" t="n">
        <x:v>111.21226999999999</x:v>
      </x:c>
      <x:c r="U66" s="186" t="n">
        <x:v>93.00713</x:v>
      </x:c>
      <x:c r="V66" s="186" t="n">
        <x:v>120.78284</x:v>
      </x:c>
      <x:c r="W66" s="186" t="n">
        <x:v>52.626114</x:v>
      </x:c>
      <x:c r="X66" s="186" t="n">
        <x:v>0.6360745</x:v>
      </x:c>
      <x:c r="Y66" s="186" t="n">
        <x:v>0.82689685</x:v>
      </x:c>
      <x:c r="Z66" s="186" t="n">
        <x:v>2.0172648</x:v>
      </x:c>
      <x:c r="AA66" s="186" t="n">
        <x:v>83621.25</x:v>
      </x:c>
      <x:c r="AB66" s="186" t="n">
        <x:v>44430.5</x:v>
      </x:c>
      <x:c r="AC66" s="186" t="n">
        <x:v>-70414.5</x:v>
      </x:c>
      <x:c r="AD66" s="186" t="n">
        <x:v>-54079</x:v>
      </x:c>
      <x:c r="AE66" s="186" t="n">
        <x:v>0.16616790410387433</x:v>
      </x:c>
      <x:c r="AF66" s="186" t="n">
        <x:v>0.2512118169714919</x:v>
      </x:c>
      <x:c r="AG66" s="186" t="n">
        <x:v>-0.014000000000000012</x:v>
      </x:c>
      <x:c r="AH66" s="186" t="n">
        <x:v>-0.1324545454545455</x:v>
      </x:c>
      <x:c r="AI66" s="186" t="n">
        <x:v>0.11845454545454537</x:v>
      </x:c>
      <x:c r="AJ66" s="186" t="n">
        <x:v>-0.012607542734698773</x:v>
      </x:c>
      <x:c r="AK66" s="186" t="n">
        <x:v>4.840912</x:v>
      </x:c>
      <x:c r="AL66" s="186" t="n">
        <x:v>29535.85</x:v>
      </x:c>
      <x:c r="AM66" s="186" t="n">
        <x:v>15553.7</x:v>
      </x:c>
      <x:c r="AN66" s="186" t="n">
        <x:v>-0.01766528925619837</x:v>
      </x:c>
      <x:c r="AO66" s="186" t="n">
        <x:v>0</x:v>
      </x:c>
      <x:c r="AP66" s="186" t="n">
        <x:v>0</x:v>
      </x:c>
    </x:row>
    <x:row r="67">
      <x:c r="A67" s="187" t="n">
        <x:v>44378</x:v>
      </x:c>
      <x:c r="B67" s="186" t="n">
        <x:v>1808</x:v>
      </x:c>
      <x:c r="C67" s="186" t="n">
        <x:v>25.7</x:v>
      </x:c>
      <x:c r="D67" s="186" t="n">
        <x:v>-0.014713896457765663</x:v>
      </x:c>
      <x:c r="E67" s="186" t="n">
        <x:v>-0.04814814814814816</x:v>
      </x:c>
      <x:c r="F67" s="187" t="n">
        <x:v>44348</x:v>
      </x:c>
      <x:c r="G67" s="186" t="n">
        <x:v>73.1</x:v>
      </x:c>
      <x:c r="H67" s="186" t="n">
        <x:v>3.23</x:v>
      </x:c>
      <x:c r="I67" s="186" t="n">
        <x:v>2447</x:v>
      </x:c>
      <x:c r="J67" s="186" t="n">
        <x:v>9632</x:v>
      </x:c>
      <x:c r="K67" s="186" t="n">
        <x:v>1835</x:v>
      </x:c>
      <x:c r="L67" s="186" t="n">
        <x:v>1124</x:v>
      </x:c>
      <x:c r="M67" s="186" t="n">
        <x:v>27</x:v>
      </x:c>
      <x:c r="N67" s="186" t="n">
        <x:v>67.96296296296296</x:v>
      </x:c>
      <x:c r="O67" s="186" t="n">
        <x:v>-0.05215508758118481</x:v>
      </x:c>
      <x:c r="P67" s="186" t="n">
        <x:v>0.07499999999999996</x:v>
      </x:c>
      <x:c r="Q67" s="186" t="n">
        <x:v>1.5190909090909093</x:v>
      </x:c>
      <x:c r="R67" s="186" t="n">
        <x:v>-0.8236363636363637</x:v>
      </x:c>
      <x:c r="S67" s="186" t="n">
        <x:v>2.3427272727272728</x:v>
      </x:c>
      <x:c r="T67" s="186" t="n">
        <x:v>111.57769545454545</x:v>
      </x:c>
      <x:c r="U67" s="186" t="n">
        <x:v>74.12712</x:v>
      </x:c>
      <x:c r="V67" s="186" t="n">
        <x:v>92.54655</x:v>
      </x:c>
      <x:c r="W67" s="186" t="n">
        <x:v>46.34864</x:v>
      </x:c>
      <x:c r="X67" s="186" t="n">
        <x:v>0.72874117</x:v>
      </x:c>
      <x:c r="Y67" s="186" t="n">
        <x:v>0.83085775</x:v>
      </x:c>
      <x:c r="Z67" s="186" t="n">
        <x:v>1.6988488</x:v>
      </x:c>
      <x:c r="AA67" s="186" t="n">
        <x:v>94241.25</x:v>
      </x:c>
      <x:c r="AB67" s="186" t="n">
        <x:v>39215</x:v>
      </x:c>
      <x:c r="AC67" s="186" t="n">
        <x:v>-63802.5</x:v>
      </x:c>
      <x:c r="AD67" s="186" t="n">
        <x:v>-50359.5</x:v>
      </x:c>
      <x:c r="AE67" s="186" t="n">
        <x:v>0.1957636103796282</x:v>
      </x:c>
      <x:c r="AF67" s="186" t="n">
        <x:v>0.21209067036998203</x:v>
      </x:c>
      <x:c r="AG67" s="186" t="n">
        <x:v>-0.10190909090909073</x:v>
      </x:c>
      <x:c r="AH67" s="186" t="n">
        <x:v>0.023363636363636364</x:v>
      </x:c>
      <x:c r="AI67" s="186" t="n">
        <x:v>-0.1252727272727272</x:v>
      </x:c>
      <x:c r="AJ67" s="186" t="n">
        <x:v>0.0032858375658140204</x:v>
      </x:c>
      <x:c r="AK67" s="186" t="n">
        <x:v>-18.880013</x:v>
      </x:c>
      <x:c r="AL67" s="186" t="n">
        <x:v>10620</x:v>
      </x:c>
      <x:c r="AM67" s="186" t="n">
        <x:v>-5215.5</x:v>
      </x:c>
      <x:c r="AN67" s="186" t="n">
        <x:v>0.01026026026026039</x:v>
      </x:c>
      <x:c r="AO67" s="186" t="n">
        <x:v>0</x:v>
      </x:c>
      <x:c r="AP67" s="186" t="n">
        <x:v>0</x:v>
      </x:c>
    </x:row>
    <x:row r="68">
      <x:c r="A68" s="187" t="n">
        <x:v>44409</x:v>
      </x:c>
      <x:c r="B68" s="186" t="n">
        <x:v>1785</x:v>
      </x:c>
      <x:c r="C68" s="186" t="n">
        <x:v>24</x:v>
      </x:c>
      <x:c r="D68" s="186" t="n">
        <x:v>-0.012721238938053103</x:v>
      </x:c>
      <x:c r="E68" s="186" t="n">
        <x:v>-0.06614785992217898</x:v>
      </x:c>
      <x:c r="F68" s="187" t="n">
        <x:v>44378</x:v>
      </x:c>
      <x:c r="G68" s="186" t="n">
        <x:v>74.4</x:v>
      </x:c>
      <x:c r="H68" s="186" t="n">
        <x:v>3.8</x:v>
      </x:c>
      <x:c r="I68" s="186" t="n">
        <x:v>2498</x:v>
      </x:c>
      <x:c r="J68" s="186" t="n">
        <x:v>9451</x:v>
      </x:c>
      <x:c r="K68" s="186" t="n">
        <x:v>1808</x:v>
      </x:c>
      <x:c r="L68" s="186" t="n">
        <x:v>1086</x:v>
      </x:c>
      <x:c r="M68" s="186" t="n">
        <x:v>25.7</x:v>
      </x:c>
      <x:c r="N68" s="186" t="n">
        <x:v>70.35019455252919</x:v>
      </x:c>
      <x:c r="O68" s="186" t="n">
        <x:v>-0.018791528239202604</x:v>
      </x:c>
      <x:c r="P68" s="186" t="n">
        <x:v>0.017783857729138264</x:v>
      </x:c>
      <x:c r="Q68" s="186" t="n">
        <x:v>1.3185714285714287</x:v>
      </x:c>
      <x:c r="R68" s="186" t="n">
        <x:v>-1.0090476190476192</x:v>
      </x:c>
      <x:c r="S68" s="186" t="n">
        <x:v>2.3276190476190477</x:v>
      </x:c>
      <x:c r="T68" s="186" t="n">
        <x:v>113.06331904761906</x:v>
      </x:c>
      <x:c r="U68" s="186" t="n">
        <x:v>58.42077</x:v>
      </x:c>
      <x:c r="V68" s="186" t="n">
        <x:v>64.036316</x:v>
      </x:c>
      <x:c r="W68" s="186" t="n">
        <x:v>50.71583</x:v>
      </x:c>
      <x:c r="X68" s="186" t="n">
        <x:v>0.5243345</x:v>
      </x:c>
      <x:c r="Y68" s="186" t="n">
        <x:v>0.48848256</x:v>
      </x:c>
      <x:c r="Z68" s="186" t="n">
        <x:v>1.2503362</x:v>
      </x:c>
      <x:c r="AA68" s="186" t="n">
        <x:v>81258.2</x:v>
      </x:c>
      <x:c r="AB68" s="186" t="n">
        <x:v>29803.2</x:v>
      </x:c>
      <x:c r="AC68" s="186" t="n">
        <x:v>-59318</x:v>
      </x:c>
      <x:c r="AD68" s="186" t="n">
        <x:v>-44868.2</x:v>
      </x:c>
      <x:c r="AE68" s="186" t="n">
        <x:v>0.1683092056544901</x:v>
      </x:c>
      <x:c r="AF68" s="186" t="n">
        <x:v>0.19262345992569666</x:v>
      </x:c>
      <x:c r="AG68" s="186" t="n">
        <x:v>-0.20051948051948054</x:v>
      </x:c>
      <x:c r="AH68" s="186" t="n">
        <x:v>-0.18541125541125547</x:v>
      </x:c>
      <x:c r="AI68" s="186" t="n">
        <x:v>-0.01510822510822507</x:v>
      </x:c>
      <x:c r="AJ68" s="186" t="n">
        <x:v>0.01331470046071015</x:v>
      </x:c>
      <x:c r="AK68" s="186" t="n">
        <x:v>-15.706352</x:v>
      </x:c>
      <x:c r="AL68" s="186" t="n">
        <x:v>-12983.050000000003</x:v>
      </x:c>
      <x:c r="AM68" s="186" t="n">
        <x:v>-9411.8</x:v>
      </x:c>
      <x:c r="AN68" s="186" t="n">
        <x:v>0.03512547842958491</x:v>
      </x:c>
      <x:c r="AO68" s="186" t="n">
        <x:v>0</x:v>
      </x:c>
      <x:c r="AP68" s="186" t="n">
        <x:v>0</x:v>
      </x:c>
    </x:row>
    <x:row r="69">
      <x:c r="A69" s="187" t="n">
        <x:v>44440</x:v>
      </x:c>
      <x:c r="B69" s="186" t="n">
        <x:v>1775</x:v>
      </x:c>
      <x:c r="C69" s="186" t="n">
        <x:v>23.2</x:v>
      </x:c>
      <x:c r="D69" s="186" t="n">
        <x:v>-0.0056022408963585235</x:v>
      </x:c>
      <x:c r="E69" s="186" t="n">
        <x:v>-0.033333333333333326</x:v>
      </x:c>
      <x:c r="F69" s="187" t="n">
        <x:v>44409</x:v>
      </x:c>
      <x:c r="G69" s="186" t="n">
        <x:v>70</x:v>
      </x:c>
      <x:c r="H69" s="186" t="n">
        <x:v>4.05</x:v>
      </x:c>
      <x:c r="I69" s="186" t="n">
        <x:v>2603</x:v>
      </x:c>
      <x:c r="J69" s="186" t="n">
        <x:v>9370</x:v>
      </x:c>
      <x:c r="K69" s="186" t="n">
        <x:v>1785</x:v>
      </x:c>
      <x:c r="L69" s="186" t="n">
        <x:v>1009</x:v>
      </x:c>
      <x:c r="M69" s="186" t="n">
        <x:v>24</x:v>
      </x:c>
      <x:c r="N69" s="186" t="n">
        <x:v>74.375</x:v>
      </x:c>
      <x:c r="O69" s="186" t="n">
        <x:v>-0.008570521637921935</x:v>
      </x:c>
      <x:c r="P69" s="186" t="n">
        <x:v>-0.05913978494623662</x:v>
      </x:c>
      <x:c r="Q69" s="186" t="n">
        <x:v>1.2831818181818182</x:v>
      </x:c>
      <x:c r="R69" s="186" t="n">
        <x:v>-1.0654545454545454</x:v>
      </x:c>
      <x:c r="S69" s="186" t="n">
        <x:v>2.3486363636363636</x:v>
      </x:c>
      <x:c r="T69" s="186" t="n">
        <x:v>113.40253636363636</x:v>
      </x:c>
      <x:c r="U69" s="186" t="n">
        <x:v>89.48655</x:v>
      </x:c>
      <x:c r="V69" s="186" t="n">
        <x:v>103.20159</x:v>
      </x:c>
      <x:c r="W69" s="186" t="n">
        <x:v>76.48286</x:v>
      </x:c>
      <x:c r="X69" s="186" t="n">
        <x:v>0.5889452</x:v>
      </x:c>
      <x:c r="Y69" s="186" t="n">
        <x:v>0.6854936</x:v>
      </x:c>
      <x:c r="Z69" s="186" t="n">
        <x:v>2.1482017</x:v>
      </x:c>
      <x:c r="AA69" s="186" t="n">
        <x:v>64949.5</x:v>
      </x:c>
      <x:c r="AB69" s="186" t="n">
        <x:v>14382.25</x:v>
      </x:c>
      <x:c r="AC69" s="186" t="n">
        <x:v>-52758</x:v>
      </x:c>
      <x:c r="AD69" s="186" t="n">
        <x:v>-37165.5</x:v>
      </x:c>
      <x:c r="AE69" s="186" t="n">
        <x:v>0.1325993367939397</x:v>
      </x:c>
      <x:c r="AF69" s="186" t="n">
        <x:v>0.0960286124957367</x:v>
      </x:c>
      <x:c r="AG69" s="186" t="n">
        <x:v>-0.035389610389610526</x:v>
      </x:c>
      <x:c r="AH69" s="186" t="n">
        <x:v>-0.05640692640692624</x:v>
      </x:c>
      <x:c r="AI69" s="186" t="n">
        <x:v>0.021017316017315935</x:v>
      </x:c>
      <x:c r="AJ69" s="186" t="n">
        <x:v>0.0030002419783417</x:v>
      </x:c>
      <x:c r="AK69" s="186" t="n">
        <x:v>31.06578</x:v>
      </x:c>
      <x:c r="AL69" s="186" t="n">
        <x:v>-16308.699999999997</x:v>
      </x:c>
      <x:c r="AM69" s="186" t="n">
        <x:v>-15420.95</x:v>
      </x:c>
      <x:c r="AN69" s="186" t="n">
        <x:v>0.05721100663716805</x:v>
      </x:c>
      <x:c r="AO69" s="186" t="n">
        <x:v>0</x:v>
      </x:c>
      <x:c r="AP69" s="186" t="n">
        <x:v>0</x:v>
      </x:c>
    </x:row>
    <x:row r="70">
      <x:c r="A70" s="187" t="n">
        <x:v>44470</x:v>
      </x:c>
      <x:c r="B70" s="186" t="n">
        <x:v>1777</x:v>
      </x:c>
      <x:c r="C70" s="186" t="n">
        <x:v>23.4</x:v>
      </x:c>
      <x:c r="D70" s="186" t="n">
        <x:v>0.0011267605633802358</x:v>
      </x:c>
      <x:c r="E70" s="186" t="n">
        <x:v>0.008620689655172376</x:v>
      </x:c>
      <x:c r="F70" s="187" t="n">
        <x:v>44440</x:v>
      </x:c>
      <x:c r="G70" s="186" t="n">
        <x:v>74.6</x:v>
      </x:c>
      <x:c r="H70" s="186" t="n">
        <x:v>5.11</x:v>
      </x:c>
      <x:c r="I70" s="186" t="n">
        <x:v>2835</x:v>
      </x:c>
      <x:c r="J70" s="186" t="n">
        <x:v>9325</x:v>
      </x:c>
      <x:c r="K70" s="186" t="n">
        <x:v>1775</x:v>
      </x:c>
      <x:c r="L70" s="186" t="n">
        <x:v>973</x:v>
      </x:c>
      <x:c r="M70" s="186" t="n">
        <x:v>23.2</x:v>
      </x:c>
      <x:c r="N70" s="186" t="n">
        <x:v>76.50862068965517</x:v>
      </x:c>
      <x:c r="O70" s="186" t="n">
        <x:v>-0.0048025613660619415</x:v>
      </x:c>
      <x:c r="P70" s="186" t="n">
        <x:v>0.06571428571428561</x:v>
      </x:c>
      <x:c r="Q70" s="186" t="n">
        <x:v>1.3747619047619049</x:v>
      </x:c>
      <x:c r="R70" s="186" t="n">
        <x:v>-0.9695238095238095</x:v>
      </x:c>
      <x:c r="S70" s="186" t="n">
        <x:v>2.3442857142857143</x:v>
      </x:c>
      <x:c r="T70" s="186" t="n">
        <x:v>113.44374761904761</x:v>
      </x:c>
      <x:c r="U70" s="186" t="n">
        <x:v>80.69697</x:v>
      </x:c>
      <x:c r="V70" s="186" t="n">
        <x:v>92.04732</x:v>
      </x:c>
      <x:c r="W70" s="186" t="n">
        <x:v>67.94028</x:v>
      </x:c>
      <x:c r="X70" s="186" t="n">
        <x:v>0.83801496</x:v>
      </x:c>
      <x:c r="Y70" s="186" t="n">
        <x:v>0.60393256</x:v>
      </x:c>
      <x:c r="Z70" s="186" t="n">
        <x:v>1.9194757</x:v>
      </x:c>
      <x:c r="AA70" s="186" t="n">
        <x:v>66834.5</x:v>
      </x:c>
      <x:c r="AB70" s="186" t="n">
        <x:v>11361.25</x:v>
      </x:c>
      <x:c r="AC70" s="186" t="n">
        <x:v>-51541.5</x:v>
      </x:c>
      <x:c r="AD70" s="186" t="n">
        <x:v>-34287</x:v>
      </x:c>
      <x:c r="AE70" s="186" t="n">
        <x:v>0.13254143180909228</x:v>
      </x:c>
      <x:c r="AF70" s="186" t="n">
        <x:v>0.08100584481000817</x:v>
      </x:c>
      <x:c r="AG70" s="186" t="n">
        <x:v>0.09158008658008665</x:v>
      </x:c>
      <x:c r="AH70" s="186" t="n">
        <x:v>0.09593073593073598</x:v>
      </x:c>
      <x:c r="AI70" s="186" t="n">
        <x:v>-0.004350649350649327</x:v>
      </x:c>
      <x:c r="AJ70" s="186" t="n">
        <x:v>0.0003634068225697451</x:v>
      </x:c>
      <x:c r="AK70" s="186" t="n">
        <x:v>-8.789581</x:v>
      </x:c>
      <x:c r="AL70" s="186" t="n">
        <x:v>1885</x:v>
      </x:c>
      <x:c r="AM70" s="186" t="n">
        <x:v>-3021</x:v>
      </x:c>
      <x:c r="AN70" s="186" t="n">
        <x:v>0.02868733700376702</x:v>
      </x:c>
      <x:c r="AO70" s="186" t="n">
        <x:v>1</x:v>
      </x:c>
      <x:c r="AP70" s="186" t="n">
        <x:v>1</x:v>
      </x:c>
    </x:row>
    <x:row r="71">
      <x:c r="A71" s="187" t="n">
        <x:v>44501</x:v>
      </x:c>
      <x:c r="B71" s="186" t="n">
        <x:v>1822</x:v>
      </x:c>
      <x:c r="C71" s="186" t="n">
        <x:v>24.2</x:v>
      </x:c>
      <x:c r="D71" s="186" t="n">
        <x:v>0.025323579065841262</x:v>
      </x:c>
      <x:c r="E71" s="186" t="n">
        <x:v>0.03418803418803429</x:v>
      </x:c>
      <x:c r="F71" s="187" t="n">
        <x:v>44470</x:v>
      </x:c>
      <x:c r="G71" s="186" t="n">
        <x:v>83.7</x:v>
      </x:c>
      <x:c r="H71" s="186" t="n">
        <x:v>5.48</x:v>
      </x:c>
      <x:c r="I71" s="186" t="n">
        <x:v>2934</x:v>
      </x:c>
      <x:c r="J71" s="186" t="n">
        <x:v>9829</x:v>
      </x:c>
      <x:c r="K71" s="186" t="n">
        <x:v>1777</x:v>
      </x:c>
      <x:c r="L71" s="186" t="n">
        <x:v>1017</x:v>
      </x:c>
      <x:c r="M71" s="186" t="n">
        <x:v>23.4</x:v>
      </x:c>
      <x:c r="N71" s="186" t="n">
        <x:v>75.94017094017094</x:v>
      </x:c>
      <x:c r="O71" s="186" t="n">
        <x:v>0.054048257372654174</x:v>
      </x:c>
      <x:c r="P71" s="186" t="n">
        <x:v>0.12198391420911547</x:v>
      </x:c>
      <x:c r="Q71" s="186" t="n">
        <x:v>1.5825</x:v>
      </x:c>
      <x:c r="R71" s="186" t="n">
        <x:v>-0.9525</x:v>
      </x:c>
      <x:c r="S71" s="186" t="n">
        <x:v>2.535</x:v>
      </x:c>
      <x:c r="T71" s="186" t="n">
        <x:v>114.06348499999999</x:v>
      </x:c>
      <x:c r="U71" s="186" t="n">
        <x:v>79.029236</x:v>
      </x:c>
      <x:c r="V71" s="186" t="n">
        <x:v>93.80803</x:v>
      </x:c>
      <x:c r="W71" s="186" t="n">
        <x:v>61.149113</x:v>
      </x:c>
      <x:c r="X71" s="186" t="n">
        <x:v>0.7617511</x:v>
      </x:c>
      <x:c r="Y71" s="186" t="n">
        <x:v>0.54666847</x:v>
      </x:c>
      <x:c r="Z71" s="186" t="n">
        <x:v>1.6444863</x:v>
      </x:c>
      <x:c r="AA71" s="186" t="n">
        <x:v>57541.4</x:v>
      </x:c>
      <x:c r="AB71" s="186" t="n">
        <x:v>12358.6</x:v>
      </x:c>
      <x:c r="AC71" s="186" t="n">
        <x:v>-46851</x:v>
      </x:c>
      <x:c r="AD71" s="186" t="n">
        <x:v>-34847</x:v>
      </x:c>
      <x:c r="AE71" s="186" t="n">
        <x:v>0.1167970555112976</x:v>
      </x:c>
      <x:c r="AF71" s="186" t="n">
        <x:v>0.08706839989397583</x:v>
      </x:c>
      <x:c r="AG71" s="186" t="n">
        <x:v>0.20773809523809517</x:v>
      </x:c>
      <x:c r="AH71" s="186" t="n">
        <x:v>0.01702380952380944</x:v>
      </x:c>
      <x:c r="AI71" s="186" t="n">
        <x:v>0.19071428571428584</x:v>
      </x:c>
      <x:c r="AJ71" s="186" t="n">
        <x:v>0.005462948764999309</x:v>
      </x:c>
      <x:c r="AK71" s="186" t="n">
        <x:v>-1.6677322</x:v>
      </x:c>
      <x:c r="AL71" s="186" t="n">
        <x:v>-9293.099999999999</x:v>
      </x:c>
      <x:c r="AM71" s="186" t="n">
        <x:v>997.3500000000004</x:v>
      </x:c>
      <x:c r="AN71" s="186" t="n">
        <x:v>-0.0074298784157939</x:v>
      </x:c>
      <x:c r="AO71" s="186" t="n">
        <x:v>1</x:v>
      </x:c>
      <x:c r="AP71" s="186" t="n">
        <x:v>1</x:v>
      </x:c>
    </x:row>
    <x:row r="72">
      <x:c r="A72" s="187" t="n">
        <x:v>44531</x:v>
      </x:c>
      <x:c r="B72" s="186" t="n">
        <x:v>1790</x:v>
      </x:c>
      <x:c r="C72" s="186" t="n">
        <x:v>22.5</x:v>
      </x:c>
      <x:c r="D72" s="186" t="n">
        <x:v>-0.01756311745334793</x:v>
      </x:c>
      <x:c r="E72" s="186" t="n">
        <x:v>-0.07024793388429751</x:v>
      </x:c>
      <x:c r="F72" s="187" t="n">
        <x:v>44501</x:v>
      </x:c>
      <x:c r="G72" s="186" t="n">
        <x:v>80.8</x:v>
      </x:c>
      <x:c r="H72" s="186" t="n">
        <x:v>5.02</x:v>
      </x:c>
      <x:c r="I72" s="186" t="n">
        <x:v>2636</x:v>
      </x:c>
      <x:c r="J72" s="186" t="n">
        <x:v>9729</x:v>
      </x:c>
      <x:c r="K72" s="186" t="n">
        <x:v>1822</x:v>
      </x:c>
      <x:c r="L72" s="186" t="n">
        <x:v>1038</x:v>
      </x:c>
      <x:c r="M72" s="186" t="n">
        <x:v>24.2</x:v>
      </x:c>
      <x:c r="N72" s="186" t="n">
        <x:v>75.2892561983471</x:v>
      </x:c>
      <x:c r="O72" s="186" t="n">
        <x:v>-0.010173974972021549</x:v>
      </x:c>
      <x:c r="P72" s="186" t="n">
        <x:v>-0.0346475507765831</x:v>
      </x:c>
      <x:c r="Q72" s="186" t="n">
        <x:v>1.5595</x:v>
      </x:c>
      <x:c r="R72" s="186" t="n">
        <x:v>-1.0565</x:v>
      </x:c>
      <x:c r="S72" s="186" t="n">
        <x:v>2.616</x:v>
      </x:c>
      <x:c r="T72" s="186" t="n">
        <x:v>114.989795</x:v>
      </x:c>
      <x:c r="U72" s="186" t="n">
        <x:v>86.569145</x:v>
      </x:c>
      <x:c r="V72" s="186" t="n">
        <x:v>121.50095</x:v>
      </x:c>
      <x:c r="W72" s="186" t="n">
        <x:v>39.74269</x:v>
      </x:c>
      <x:c r="X72" s="186" t="n">
        <x:v>0.7960199</x:v>
      </x:c>
      <x:c r="Y72" s="186" t="n">
        <x:v>1.2129827</x:v>
      </x:c>
      <x:c r="Z72" s="186" t="n">
        <x:v>1.862118</x:v>
      </x:c>
      <x:c r="AA72" s="186" t="n">
        <x:v>114643.25</x:v>
      </x:c>
      <x:c r="AB72" s="186" t="n">
        <x:v>29080</x:v>
      </x:c>
      <x:c r="AC72" s="186" t="n">
        <x:v>-61960.25</x:v>
      </x:c>
      <x:c r="AD72" s="186" t="n">
        <x:v>-43691.5</x:v>
      </x:c>
      <x:c r="AE72" s="186" t="n">
        <x:v>0.20212018284302502</x:v>
      </x:c>
      <x:c r="AF72" s="186" t="n">
        <x:v>0.1972602291104152</x:v>
      </x:c>
      <x:c r="AG72" s="186" t="n">
        <x:v>-0.02299999999999991</x:v>
      </x:c>
      <x:c r="AH72" s="186" t="n">
        <x:v>-0.10399999999999998</x:v>
      </x:c>
      <x:c r="AI72" s="186" t="n">
        <x:v>0.08099999999999996</x:v>
      </x:c>
      <x:c r="AJ72" s="186" t="n">
        <x:v>0.008121003842728625</x:v>
      </x:c>
      <x:c r="AK72" s="186" t="n">
        <x:v>7.5399094</x:v>
      </x:c>
      <x:c r="AL72" s="186" t="n">
        <x:v>57101.85</x:v>
      </x:c>
      <x:c r="AM72" s="186" t="n">
        <x:v>16721.4</x:v>
      </x:c>
      <x:c r="AN72" s="186" t="n">
        <x:v>-0.008571415283442851</x:v>
      </x:c>
      <x:c r="AO72" s="186" t="n">
        <x:v>0</x:v>
      </x:c>
      <x:c r="AP72" s="186" t="n">
        <x:v>0</x:v>
      </x:c>
    </x:row>
    <x:row r="73">
      <x:c r="A73" s="187" t="n">
        <x:v>44562</x:v>
      </x:c>
      <x:c r="B73" s="186" t="n">
        <x:v>1816</x:v>
      </x:c>
      <x:c r="C73" s="186" t="n">
        <x:v>23.2</x:v>
      </x:c>
      <x:c r="D73" s="186" t="n">
        <x:v>0.01452513966480451</x:v>
      </x:c>
      <x:c r="E73" s="186" t="n">
        <x:v>0.03111111111111109</x:v>
      </x:c>
      <x:c r="F73" s="187" t="n">
        <x:v>44531</x:v>
      </x:c>
      <x:c r="G73" s="186" t="n">
        <x:v>74.3</x:v>
      </x:c>
      <x:c r="H73" s="186" t="n">
        <x:v>3.73</x:v>
      </x:c>
      <x:c r="I73" s="186" t="n">
        <x:v>2696</x:v>
      </x:c>
      <x:c r="J73" s="186" t="n">
        <x:v>9551</x:v>
      </x:c>
      <x:c r="K73" s="186" t="n">
        <x:v>1790</x:v>
      </x:c>
      <x:c r="L73" s="186" t="n">
        <x:v>945</x:v>
      </x:c>
      <x:c r="M73" s="186" t="n">
        <x:v>22.5</x:v>
      </x:c>
      <x:c r="N73" s="186" t="n">
        <x:v>79.55555555555556</x:v>
      </x:c>
      <x:c r="O73" s="186" t="n">
        <x:v>-0.018295816630691797</x:v>
      </x:c>
      <x:c r="P73" s="186" t="n">
        <x:v>-0.0804455445544554</x:v>
      </x:c>
      <x:c r="Q73" s="186" t="n">
        <x:v>1.4649999999999999</x:v>
      </x:c>
      <x:c r="R73" s="186" t="n">
        <x:v>-0.9931818181818183</x:v>
      </x:c>
      <x:c r="S73" s="186" t="n">
        <x:v>2.458181818181818</x:v>
      </x:c>
      <x:c r="T73" s="186" t="n">
        <x:v>115.8045380952381</x:v>
      </x:c>
      <x:c r="U73" s="186" t="n">
        <x:v>105.34542</x:v>
      </x:c>
      <x:c r="V73" s="186" t="n">
        <x:v>155.31026</x:v>
      </x:c>
      <x:c r="W73" s="186" t="n">
        <x:v>47.654934</x:v>
      </x:c>
      <x:c r="X73" s="186" t="n">
        <x:v>0.8639842</x:v>
      </x:c>
      <x:c r="Y73" s="186" t="n">
        <x:v>1.7230314</x:v>
      </x:c>
      <x:c r="Z73" s="186" t="n">
        <x:v>2.4784005</x:v>
      </x:c>
      <x:c r="AA73" s="186" t="n">
        <x:v>78330.8</x:v>
      </x:c>
      <x:c r="AB73" s="186" t="n">
        <x:v>16499.6</x:v>
      </x:c>
      <x:c r="AC73" s="186" t="n">
        <x:v>-54687.8</x:v>
      </x:c>
      <x:c r="AD73" s="186" t="n">
        <x:v>-37170.2</x:v>
      </x:c>
      <x:c r="AE73" s="186" t="n">
        <x:v>0.15367813710297004</x:v>
      </x:c>
      <x:c r="AF73" s="186" t="n">
        <x:v>0.11849593287792262</x:v>
      </x:c>
      <x:c r="AG73" s="186" t="n">
        <x:v>-0.09450000000000025</x:v>
      </x:c>
      <x:c r="AH73" s="186" t="n">
        <x:v>0.06331818181818172</x:v>
      </x:c>
      <x:c r="AI73" s="186" t="n">
        <x:v>-0.15781818181818208</x:v>
      </x:c>
      <x:c r="AJ73" s="186" t="n">
        <x:v>0.007085351315202271</x:v>
      </x:c>
      <x:c r="AK73" s="186" t="n">
        <x:v>18.776276</x:v>
      </x:c>
      <x:c r="AL73" s="186" t="n">
        <x:v>-36312.45</x:v>
      </x:c>
      <x:c r="AM73" s="186" t="n">
        <x:v>-12580.400000000001</x:v>
      </x:c>
      <x:c r="AN73" s="186" t="n">
        <x:v>0.056665447005732394</x:v>
      </x:c>
      <x:c r="AO73" s="186" t="n">
        <x:v>1</x:v>
      </x:c>
      <x:c r="AP73" s="186" t="n">
        <x:v>1</x:v>
      </x:c>
    </x:row>
    <x:row r="74">
      <x:c r="A74" s="187" t="n">
        <x:v>44593</x:v>
      </x:c>
      <x:c r="B74" s="186" t="n">
        <x:v>1856</x:v>
      </x:c>
      <x:c r="C74" s="186" t="n">
        <x:v>23.5</x:v>
      </x:c>
      <x:c r="D74" s="186" t="n">
        <x:v>0.022026431718061623</x:v>
      </x:c>
      <x:c r="E74" s="186" t="n">
        <x:v>0.012931034482758674</x:v>
      </x:c>
      <x:c r="F74" s="187" t="n">
        <x:v>44562</x:v>
      </x:c>
      <x:c r="G74" s="186" t="n">
        <x:v>85.5</x:v>
      </x:c>
      <x:c r="H74" s="186" t="n">
        <x:v>4.33</x:v>
      </x:c>
      <x:c r="I74" s="186" t="n">
        <x:v>3006</x:v>
      </x:c>
      <x:c r="J74" s="186" t="n">
        <x:v>9782</x:v>
      </x:c>
      <x:c r="K74" s="186" t="n">
        <x:v>1816</x:v>
      </x:c>
      <x:c r="L74" s="186" t="n">
        <x:v>994</x:v>
      </x:c>
      <x:c r="M74" s="186" t="n">
        <x:v>23.2</x:v>
      </x:c>
      <x:c r="N74" s="186" t="n">
        <x:v>78.27586206896552</x:v>
      </x:c>
      <x:c r="O74" s="186" t="n">
        <x:v>0.02418594911527583</x:v>
      </x:c>
      <x:c r="P74" s="186" t="n">
        <x:v>0.15074024226110372</x:v>
      </x:c>
      <x:c r="Q74" s="186" t="n">
        <x:v>1.764</x:v>
      </x:c>
      <x:c r="R74" s="186" t="n">
        <x:v>-0.6855</x:v>
      </x:c>
      <x:c r="S74" s="186" t="n">
        <x:v>2.4494999999999996</x:v>
      </x:c>
      <x:c r="T74" s="186" t="n">
        <x:v>115.03728000000001</x:v>
      </x:c>
      <x:c r="U74" s="186" t="n">
        <x:v>138.67499</x:v>
      </x:c>
      <x:c r="V74" s="186" t="n">
        <x:v>199.48752</x:v>
      </x:c>
      <x:c r="W74" s="186" t="n">
        <x:v>63.25153</x:v>
      </x:c>
      <x:c r="X74" s="186" t="n">
        <x:v>0.7950359</x:v>
      </x:c>
      <x:c r="Y74" s="186" t="n">
        <x:v>2.7777777</x:v>
      </x:c>
      <x:c r="Z74" s="186" t="n">
        <x:v>3.3158813</x:v>
      </x:c>
      <x:c r="AA74" s="186" t="n">
        <x:v>81746.5</x:v>
      </x:c>
      <x:c r="AB74" s="186" t="n">
        <x:v>22678.5</x:v>
      </x:c>
      <x:c r="AC74" s="186" t="n">
        <x:v>-55228.25</x:v>
      </x:c>
      <x:c r="AD74" s="186" t="n">
        <x:v>-40466.75</x:v>
      </x:c>
      <x:c r="AE74" s="186" t="n">
        <x:v>0.15111952572487752</x:v>
      </x:c>
      <x:c r="AF74" s="186" t="n">
        <x:v>0.15485769382667555</x:v>
      </x:c>
      <x:c r="AG74" s="186" t="n">
        <x:v>0.29900000000000015</x:v>
      </x:c>
      <x:c r="AH74" s="186" t="n">
        <x:v>0.3076818181818183</x:v>
      </x:c>
      <x:c r="AI74" s="186" t="n">
        <x:v>-0.008681818181818457</x:v>
      </x:c>
      <x:c r="AJ74" s="186" t="n">
        <x:v>-0.006625457929870571</x:v>
      </x:c>
      <x:c r="AK74" s="186" t="n">
        <x:v>33.329567</x:v>
      </x:c>
      <x:c r="AL74" s="186" t="n">
        <x:v>3415.699999999997</x:v>
      </x:c>
      <x:c r="AM74" s="186" t="n">
        <x:v>6178.9000000000015</x:v>
      </x:c>
      <x:c r="AN74" s="186" t="n">
        <x:v>-0.01608553265266799</x:v>
      </x:c>
      <x:c r="AO74" s="186" t="n">
        <x:v>1</x:v>
      </x:c>
      <x:c r="AP74" s="186" t="n">
        <x:v>1</x:v>
      </x:c>
    </x:row>
    <x:row r="75">
      <x:c r="A75" s="187" t="n">
        <x:v>44621</x:v>
      </x:c>
      <x:c r="B75" s="186" t="n">
        <x:v>1948</x:v>
      </x:c>
      <x:c r="C75" s="186" t="n">
        <x:v>25.3</x:v>
      </x:c>
      <x:c r="D75" s="186" t="n">
        <x:v>0.049568965517241326</x:v>
      </x:c>
      <x:c r="E75" s="186" t="n">
        <x:v>0.07659574468085117</x:v>
      </x:c>
      <x:c r="F75" s="187" t="n">
        <x:v>44593</x:v>
      </x:c>
      <x:c r="G75" s="186" t="n">
        <x:v>95.8</x:v>
      </x:c>
      <x:c r="H75" s="186" t="n">
        <x:v>4.66</x:v>
      </x:c>
      <x:c r="I75" s="186" t="n">
        <x:v>3246</x:v>
      </x:c>
      <x:c r="J75" s="186" t="n">
        <x:v>9943</x:v>
      </x:c>
      <x:c r="K75" s="186" t="n">
        <x:v>1856</x:v>
      </x:c>
      <x:c r="L75" s="186" t="n">
        <x:v>1049</x:v>
      </x:c>
      <x:c r="M75" s="186" t="n">
        <x:v>23.5</x:v>
      </x:c>
      <x:c r="N75" s="186" t="n">
        <x:v>78.97872340425532</x:v>
      </x:c>
      <x:c r="O75" s="186" t="n">
        <x:v>0.016458801881005902</x:v>
      </x:c>
      <x:c r="P75" s="186" t="n">
        <x:v>0.12046783625730995</x:v>
      </x:c>
      <x:c r="Q75" s="186" t="n">
        <x:v>1.9342105263157894</x:v>
      </x:c>
      <x:c r="R75" s="186" t="n">
        <x:v>-0.5236842105263158</x:v>
      </x:c>
      <x:c r="S75" s="186" t="n">
        <x:v>2.4578947368421056</x:v>
      </x:c>
      <x:c r="T75" s="186" t="n">
        <x:v>114.99774210526316</x:v>
      </x:c>
      <x:c r="U75" s="186" t="n">
        <x:v>216.15901</x:v>
      </x:c>
      <x:c r="V75" s="186" t="n">
        <x:v>320.60587</x:v>
      </x:c>
      <x:c r="W75" s="186" t="n">
        <x:v>105.21831</x:v>
      </x:c>
      <x:c r="X75" s="186" t="n">
        <x:v>1.5000503</x:v>
      </x:c>
      <x:c r="Y75" s="186" t="n">
        <x:v>5.3961544</x:v>
      </x:c>
      <x:c r="Z75" s="186" t="n">
        <x:v>4.8776803</x:v>
      </x:c>
      <x:c r="AA75" s="186" t="n">
        <x:v>91515.75</x:v>
      </x:c>
      <x:c r="AB75" s="186" t="n">
        <x:v>16308.5</x:v>
      </x:c>
      <x:c r="AC75" s="186" t="n">
        <x:v>-60104.25</x:v>
      </x:c>
      <x:c r="AD75" s="186" t="n">
        <x:v>-38694.75</x:v>
      </x:c>
      <x:c r="AE75" s="186" t="n">
        <x:v>0.16309671574301152</x:v>
      </x:c>
      <x:c r="AF75" s="186" t="n">
        <x:v>0.10425946503005473</x:v>
      </x:c>
      <x:c r="AG75" s="186" t="n">
        <x:v>0.17021052631578937</x:v>
      </x:c>
      <x:c r="AH75" s="186" t="n">
        <x:v>0.16181578947368425</x:v>
      </x:c>
      <x:c r="AI75" s="186" t="n">
        <x:v>0.00839473684210601</x:v>
      </x:c>
      <x:c r="AJ75" s="186" t="n">
        <x:v>-0.00034369636292563843</x:v>
      </x:c>
      <x:c r="AK75" s="186" t="n">
        <x:v>77.484024</x:v>
      </x:c>
      <x:c r="AL75" s="186" t="n">
        <x:v>9769.25</x:v>
      </x:c>
      <x:c r="AM75" s="186" t="n">
        <x:v>-6370</x:v>
      </x:c>
      <x:c r="AN75" s="186" t="n">
        <x:v>0.008979285781235191</x:v>
      </x:c>
      <x:c r="AO75" s="186" t="n">
        <x:v>1</x:v>
      </x:c>
      <x:c r="AP75" s="186" t="n">
        <x:v>1</x:v>
      </x:c>
    </x:row>
    <x:row r="76">
      <x:c r="A76" s="187" t="n">
        <x:v>44652</x:v>
      </x:c>
      <x:c r="B76" s="186" t="n">
        <x:v>1937</x:v>
      </x:c>
      <x:c r="C76" s="186" t="n">
        <x:v>24.5</x:v>
      </x:c>
      <x:c r="D76" s="186" t="n">
        <x:v>-0.0056468172484599455</x:v>
      </x:c>
      <x:c r="E76" s="186" t="n">
        <x:v>-0.031620553359683834</x:v>
      </x:c>
      <x:c r="F76" s="187" t="n">
        <x:v>44621</x:v>
      </x:c>
      <x:c r="G76" s="186" t="n">
        <x:v>115.6</x:v>
      </x:c>
      <x:c r="H76" s="186" t="n">
        <x:v>4.88</x:v>
      </x:c>
      <x:c r="I76" s="186" t="n">
        <x:v>3498</x:v>
      </x:c>
      <x:c r="J76" s="186" t="n">
        <x:v>10231</x:v>
      </x:c>
      <x:c r="K76" s="186" t="n">
        <x:v>1948</x:v>
      </x:c>
      <x:c r="L76" s="186" t="n">
        <x:v>1043</x:v>
      </x:c>
      <x:c r="M76" s="186" t="n">
        <x:v>25.3</x:v>
      </x:c>
      <x:c r="N76" s="186" t="n">
        <x:v>76.99604743083003</x:v>
      </x:c>
      <x:c r="O76" s="186" t="n">
        <x:v>0.028965101076134037</x:v>
      </x:c>
      <x:c r="P76" s="186" t="n">
        <x:v>0.20668058455114813</x:v>
      </x:c>
      <x:c r="Q76" s="186" t="n">
        <x:v>2.1278260869565218</x:v>
      </x:c>
      <x:c r="R76" s="186" t="n">
        <x:v>-0.7186956521739131</x:v>
      </x:c>
      <x:c r="S76" s="186" t="n">
        <x:v>2.8465217391304347</x:v>
      </x:c>
      <x:c r="T76" s="186" t="n">
        <x:v>116.29083913043478</x:v>
      </x:c>
      <x:c r="U76" s="186" t="n">
        <x:v>318.95493</x:v>
      </x:c>
      <x:c r="V76" s="186" t="n">
        <x:v>403.71362</x:v>
      </x:c>
      <x:c r="W76" s="186" t="n">
        <x:v>250.95586</x:v>
      </x:c>
      <x:c r="X76" s="186" t="n">
        <x:v>2.474723</x:v>
      </x:c>
      <x:c r="Y76" s="186" t="n">
        <x:v>8.801155</x:v>
      </x:c>
      <x:c r="Z76" s="186" t="n">
        <x:v>6.899374</x:v>
      </x:c>
      <x:c r="AA76" s="186" t="n">
        <x:v>133315.75</x:v>
      </x:c>
      <x:c r="AB76" s="186" t="n">
        <x:v>45711.5</x:v>
      </x:c>
      <x:c r="AC76" s="186" t="n">
        <x:v>-71060.5</x:v>
      </x:c>
      <x:c r="AD76" s="186" t="n">
        <x:v>-46792.25</x:v>
      </x:c>
      <x:c r="AE76" s="186" t="n">
        <x:v>0.21511704935019932</x:v>
      </x:c>
      <x:c r="AF76" s="186" t="n">
        <x:v>0.2852520368898905</x:v>
      </x:c>
      <x:c r="AG76" s="186" t="n">
        <x:v>0.19361556064073238</x:v>
      </x:c>
      <x:c r="AH76" s="186" t="n">
        <x:v>-0.19501144164759732</x:v>
      </x:c>
      <x:c r="AI76" s="186" t="n">
        <x:v>0.38862700228832914</x:v>
      </x:c>
      <x:c r="AJ76" s="186" t="n">
        <x:v>0.011244542731873697</x:v>
      </x:c>
      <x:c r="AK76" s="186" t="n">
        <x:v>102.79591</x:v>
      </x:c>
      <x:c r="AL76" s="186" t="n">
        <x:v>41800</x:v>
      </x:c>
      <x:c r="AM76" s="186" t="n">
        <x:v>29403</x:v>
      </x:c>
      <x:c r="AN76" s="186" t="n">
        <x:v>-0.025103925310072328</x:v>
      </x:c>
      <x:c r="AO76" s="186" t="n">
        <x:v>0</x:v>
      </x:c>
      <x:c r="AP76" s="186" t="n">
        <x:v>0</x:v>
      </x:c>
    </x:row>
    <x:row r="77">
      <x:c r="A77" s="187" t="n">
        <x:v>44682</x:v>
      </x:c>
      <x:c r="B77" s="186" t="n">
        <x:v>1849</x:v>
      </x:c>
      <x:c r="C77" s="186" t="n">
        <x:v>21.9</x:v>
      </x:c>
      <x:c r="D77" s="186" t="n">
        <x:v>-0.04543107898812593</x:v>
      </x:c>
      <x:c r="E77" s="186" t="n">
        <x:v>-0.10612244897959189</x:v>
      </x:c>
      <x:c r="F77" s="187" t="n">
        <x:v>44652</x:v>
      </x:c>
      <x:c r="G77" s="186" t="n">
        <x:v>105.8</x:v>
      </x:c>
      <x:c r="H77" s="186" t="n">
        <x:v>6.53</x:v>
      </x:c>
      <x:c r="I77" s="186" t="n">
        <x:v>3244</x:v>
      </x:c>
      <x:c r="J77" s="186" t="n">
        <x:v>10161</x:v>
      </x:c>
      <x:c r="K77" s="186" t="n">
        <x:v>1937</x:v>
      </x:c>
      <x:c r="L77" s="186" t="n">
        <x:v>965</x:v>
      </x:c>
      <x:c r="M77" s="186" t="n">
        <x:v>24.5</x:v>
      </x:c>
      <x:c r="N77" s="186" t="n">
        <x:v>79.06122448979592</x:v>
      </x:c>
      <x:c r="O77" s="186" t="n">
        <x:v>-0.006841950933437646</x:v>
      </x:c>
      <x:c r="P77" s="186" t="n">
        <x:v>-0.08477508650519028</x:v>
      </x:c>
      <x:c r="Q77" s="186" t="n">
        <x:v>2.7475</x:v>
      </x:c>
      <x:c r="R77" s="186" t="n">
        <x:v>-0.1365</x:v>
      </x:c>
      <x:c r="S77" s="186" t="n">
        <x:v>2.884</x:v>
      </x:c>
      <x:c r="T77" s="186" t="n">
        <x:v>117.16879523809523</x:v>
      </x:c>
      <x:c r="U77" s="186" t="n">
        <x:v>191.1431</x:v>
      </x:c>
      <x:c r="V77" s="186" t="n">
        <x:v>221.91055</x:v>
      </x:c>
      <x:c r="W77" s="186" t="n">
        <x:v>184.41782</x:v>
      </x:c>
      <x:c r="X77" s="186" t="n">
        <x:v>1.1256269</x:v>
      </x:c>
      <x:c r="Y77" s="186" t="n">
        <x:v>4.8291144</x:v>
      </x:c>
      <x:c r="Z77" s="186" t="n">
        <x:v>3.9659395</x:v>
      </x:c>
      <x:c r="AA77" s="186" t="n">
        <x:v>101867.4</x:v>
      </x:c>
      <x:c r="AB77" s="186" t="n">
        <x:v>38058.4</x:v>
      </x:c>
      <x:c r="AC77" s="186" t="n">
        <x:v>-50024.2</x:v>
      </x:c>
      <x:c r="AD77" s="186" t="n">
        <x:v>-41975.4</x:v>
      </x:c>
      <x:c r="AE77" s="186" t="n">
        <x:v>0.17876828409543413</x:v>
      </x:c>
      <x:c r="AF77" s="186" t="n">
        <x:v>0.2466571695550443</x:v>
      </x:c>
      <x:c r="AG77" s="186" t="n">
        <x:v>0.6196739130434783</x:v>
      </x:c>
      <x:c r="AH77" s="186" t="n">
        <x:v>0.5821956521739131</x:v>
      </x:c>
      <x:c r="AI77" s="186" t="n">
        <x:v>0.03747826086956518</x:v>
      </x:c>
      <x:c r="AJ77" s="186" t="n">
        <x:v>0.0075496583757188596</x:v>
      </x:c>
      <x:c r="AK77" s="186" t="n">
        <x:v>-127.81183</x:v>
      </x:c>
      <x:c r="AL77" s="186" t="n">
        <x:v>-31448.350000000006</x:v>
      </x:c>
      <x:c r="AM77" s="186" t="n">
        <x:v>-7653.0999999999985</x:v>
      </x:c>
      <x:c r="AN77" s="186" t="n">
        <x:v>0.026821858106692575</x:v>
      </x:c>
      <x:c r="AO77" s="186" t="n">
        <x:v>0</x:v>
      </x:c>
      <x:c r="AP77" s="186" t="n">
        <x:v>0</x:v>
      </x:c>
    </x:row>
    <x:row r="78">
      <x:c r="A78" s="187" t="n">
        <x:v>44713</x:v>
      </x:c>
      <x:c r="B78" s="186" t="n">
        <x:v>1837</x:v>
      </x:c>
      <x:c r="C78" s="186" t="n">
        <x:v>21.6</x:v>
      </x:c>
      <x:c r="D78" s="186" t="n">
        <x:v>-0.006489994591671211</x:v>
      </x:c>
      <x:c r="E78" s="186" t="n">
        <x:v>-0.013698630136986134</x:v>
      </x:c>
      <x:c r="F78" s="187" t="n">
        <x:v>44682</x:v>
      </x:c>
      <x:c r="G78" s="186" t="n">
        <x:v>112.4</x:v>
      </x:c>
      <x:c r="H78" s="186" t="n">
        <x:v>8.14</x:v>
      </x:c>
      <x:c r="I78" s="186" t="n">
        <x:v>2830</x:v>
      </x:c>
      <x:c r="J78" s="186" t="n">
        <x:v>9377</x:v>
      </x:c>
      <x:c r="K78" s="186" t="n">
        <x:v>1849</x:v>
      </x:c>
      <x:c r="L78" s="186" t="n">
        <x:v>958</x:v>
      </x:c>
      <x:c r="M78" s="186" t="n">
        <x:v>21.9</x:v>
      </x:c>
      <x:c r="N78" s="186" t="n">
        <x:v>84.42922374429224</x:v>
      </x:c>
      <x:c r="O78" s="186" t="n">
        <x:v>-0.07715776006298591</x:v>
      </x:c>
      <x:c r="P78" s="186" t="n">
        <x:v>0.06238185255198503</x:v>
      </x:c>
      <x:c r="Q78" s="186" t="n">
        <x:v>2.8980952380952383</x:v>
      </x:c>
      <x:c r="R78" s="186" t="n">
        <x:v>0.20952380952380953</x:v>
      </x:c>
      <x:c r="S78" s="186" t="n">
        <x:v>2.6885714285714286</x:v>
      </x:c>
      <x:c r="T78" s="186" t="n">
        <x:v>119.69619047619047</x:v>
      </x:c>
      <x:c r="U78" s="186" t="n">
        <x:v>142.25848</x:v>
      </x:c>
      <x:c r="V78" s="186" t="n">
        <x:v>166.42456</x:v>
      </x:c>
      <x:c r="W78" s="186" t="n">
        <x:v>140.13734</x:v>
      </x:c>
      <x:c r="X78" s="186" t="n">
        <x:v>1.0073001</x:v>
      </x:c>
      <x:c r="Y78" s="186" t="n">
        <x:v>3.19167</x:v>
      </x:c>
      <x:c r="Z78" s="186" t="n">
        <x:v>3.146398</x:v>
      </x:c>
      <x:c r="AA78" s="186" t="n">
        <x:v>58564</x:v>
      </x:c>
      <x:c r="AB78" s="186" t="n">
        <x:v>4126</x:v>
      </x:c>
      <x:c r="AC78" s="186" t="n">
        <x:v>-40662.25</x:v>
      </x:c>
      <x:c r="AD78" s="186" t="n">
        <x:v>-31172.75</x:v>
      </x:c>
      <x:c r="AE78" s="186" t="n">
        <x:v>0.10568574087551555</x:v>
      </x:c>
      <x:c r="AF78" s="186" t="n">
        <x:v>0.02991185012723777</x:v>
      </x:c>
      <x:c r="AG78" s="186" t="n">
        <x:v>0.15059523809523823</x:v>
      </x:c>
      <x:c r="AH78" s="186" t="n">
        <x:v>0.3460238095238095</x:v>
      </x:c>
      <x:c r="AI78" s="186" t="n">
        <x:v>-0.19542857142857128</x:v>
      </x:c>
      <x:c r="AJ78" s="186" t="n">
        <x:v>0.02157054899266808</x:v>
      </x:c>
      <x:c r="AK78" s="186" t="n">
        <x:v>-48.884613</x:v>
      </x:c>
      <x:c r="AL78" s="186" t="n">
        <x:v>-43303.399999999994</x:v>
      </x:c>
      <x:c r="AM78" s="186" t="n">
        <x:v>-33932.4</x:v>
      </x:c>
      <x:c r="AN78" s="186" t="n">
        <x:v>0.06789673811830665</x:v>
      </x:c>
      <x:c r="AO78" s="186" t="n">
        <x:v>0</x:v>
      </x:c>
      <x:c r="AP78" s="186" t="n">
        <x:v>0</x:v>
      </x:c>
    </x:row>
    <x:row r="79">
      <x:c r="A79" s="187" t="n">
        <x:v>44743</x:v>
      </x:c>
      <x:c r="B79" s="186" t="n">
        <x:v>1733</x:v>
      </x:c>
      <x:c r="C79" s="186" t="n">
        <x:v>19.1</x:v>
      </x:c>
      <x:c r="D79" s="186" t="n">
        <x:v>-0.056614044637996686</x:v>
      </x:c>
      <x:c r="E79" s="186" t="n">
        <x:v>-0.1157407407407407</x:v>
      </x:c>
      <x:c r="F79" s="187" t="n">
        <x:v>44713</x:v>
      </x:c>
      <x:c r="G79" s="186" t="n">
        <x:v>120.1</x:v>
      </x:c>
      <x:c r="H79" s="186" t="n">
        <x:v>7.67</x:v>
      </x:c>
      <x:c r="I79" s="186" t="n">
        <x:v>2563</x:v>
      </x:c>
      <x:c r="J79" s="186" t="n">
        <x:v>9024</x:v>
      </x:c>
      <x:c r="K79" s="186" t="n">
        <x:v>1837</x:v>
      </x:c>
      <x:c r="L79" s="186" t="n">
        <x:v>957</x:v>
      </x:c>
      <x:c r="M79" s="186" t="n">
        <x:v>21.6</x:v>
      </x:c>
      <x:c r="N79" s="186" t="n">
        <x:v>85.04629629629629</x:v>
      </x:c>
      <x:c r="O79" s="186" t="n">
        <x:v>-0.037645302335501785</x:v>
      </x:c>
      <x:c r="P79" s="186" t="n">
        <x:v>0.06850533807829162</x:v>
      </x:c>
      <x:c r="Q79" s="186" t="n">
        <x:v>3.1433333333333335</x:v>
      </x:c>
      <x:c r="R79" s="186" t="n">
        <x:v>0.5257142857142857</x:v>
      </x:c>
      <x:c r="S79" s="186" t="n">
        <x:v>2.6176190476190477</x:v>
      </x:c>
      <x:c r="T79" s="186" t="n">
        <x:v>120.02570952380954</x:v>
      </x:c>
      <x:c r="U79" s="186" t="n">
        <x:v>130.70732</x:v>
      </x:c>
      <x:c r="V79" s="186" t="n">
        <x:v>160.72696</x:v>
      </x:c>
      <x:c r="W79" s="186" t="n">
        <x:v>114.81469</x:v>
      </x:c>
      <x:c r="X79" s="186" t="n">
        <x:v>0.8535437</x:v>
      </x:c>
      <x:c r="Y79" s="186" t="n">
        <x:v>3.0256653</x:v>
      </x:c>
      <x:c r="Z79" s="186" t="n">
        <x:v>2.8785024</x:v>
      </x:c>
      <x:c r="AA79" s="186" t="n">
        <x:v>48758</x:v>
      </x:c>
      <x:c r="AB79" s="186" t="n">
        <x:v>4680.5</x:v>
      </x:c>
      <x:c r="AC79" s="186" t="n">
        <x:v>-43771.25</x:v>
      </x:c>
      <x:c r="AD79" s="186" t="n">
        <x:v>-31130.5</x:v>
      </x:c>
      <x:c r="AE79" s="186" t="n">
        <x:v>0.09725998264965696</x:v>
      </x:c>
      <x:c r="AF79" s="186" t="n">
        <x:v>0.031777585315404006</x:v>
      </x:c>
      <x:c r="AG79" s="186" t="n">
        <x:v>0.24523809523809526</x:v>
      </x:c>
      <x:c r="AH79" s="186" t="n">
        <x:v>0.31619047619047613</x:v>
      </x:c>
      <x:c r="AI79" s="186" t="n">
        <x:v>-0.07095238095238088</x:v>
      </x:c>
      <x:c r="AJ79" s="186" t="n">
        <x:v>0.002752961863766501</x:v>
      </x:c>
      <x:c r="AK79" s="186" t="n">
        <x:v>-11.551163</x:v>
      </x:c>
      <x:c r="AL79" s="186" t="n">
        <x:v>-9806</x:v>
      </x:c>
      <x:c r="AM79" s="186" t="n">
        <x:v>554.5</x:v>
      </x:c>
      <x:c r="AN79" s="186" t="n">
        <x:v>0.00730875548344434</x:v>
      </x:c>
      <x:c r="AO79" s="186" t="n">
        <x:v>0</x:v>
      </x:c>
      <x:c r="AP79" s="186" t="n">
        <x:v>0</x:v>
      </x:c>
    </x:row>
    <x:row r="80">
      <x:c r="A80" s="187" t="n">
        <x:v>44774</x:v>
      </x:c>
      <x:c r="B80" s="186" t="n">
        <x:v>1765</x:v>
      </x:c>
      <x:c r="C80" s="186" t="n">
        <x:v>19.7</x:v>
      </x:c>
      <x:c r="D80" s="186" t="n">
        <x:v>0.018465089440276916</x:v>
      </x:c>
      <x:c r="E80" s="186" t="n">
        <x:v>0.03141361256544495</x:v>
      </x:c>
      <x:c r="F80" s="187" t="n">
        <x:v>44743</x:v>
      </x:c>
      <x:c r="G80" s="186" t="n">
        <x:v>108.9</x:v>
      </x:c>
      <x:c r="H80" s="186" t="n">
        <x:v>7.26</x:v>
      </x:c>
      <x:c r="I80" s="186" t="n">
        <x:v>2408</x:v>
      </x:c>
      <x:c r="J80" s="186" t="n">
        <x:v>7545</x:v>
      </x:c>
      <x:c r="K80" s="186" t="n">
        <x:v>1733</x:v>
      </x:c>
      <x:c r="L80" s="186" t="n">
        <x:v>869</x:v>
      </x:c>
      <x:c r="M80" s="186" t="n">
        <x:v>19.1</x:v>
      </x:c>
      <x:c r="N80" s="186" t="n">
        <x:v>90.73298429319371</x:v>
      </x:c>
      <x:c r="O80" s="186" t="n">
        <x:v>-0.16389627659574468</x:v>
      </x:c>
      <x:c r="P80" s="186" t="n">
        <x:v>-0.09325562031640289</x:v>
      </x:c>
      <x:c r="Q80" s="186" t="n">
        <x:v>2.896</x:v>
      </x:c>
      <x:c r="R80" s="186" t="n">
        <x:v>0.534</x:v>
      </x:c>
      <x:c r="S80" s="186" t="n">
        <x:v>2.362</x:v>
      </x:c>
      <x:c r="T80" s="186" t="n">
        <x:v>122.7512</x:v>
      </x:c>
      <x:c r="U80" s="186" t="n">
        <x:v>117.176765</x:v>
      </x:c>
      <x:c r="V80" s="186" t="n">
        <x:v>141.24294</x:v>
      </x:c>
      <x:c r="W80" s="186" t="n">
        <x:v>97.83873</x:v>
      </x:c>
      <x:c r="X80" s="186" t="n">
        <x:v>0.8132915</x:v>
      </x:c>
      <x:c r="Y80" s="186" t="n">
        <x:v>2.6954803</x:v>
      </x:c>
      <x:c r="Z80" s="186" t="n">
        <x:v>2.5851052</x:v>
      </x:c>
      <x:c r="AA80" s="186" t="n">
        <x:v>1834.4</x:v>
      </x:c>
      <x:c r="AB80" s="186" t="n">
        <x:v>-10061.4</x:v>
      </x:c>
      <x:c r="AC80" s="186" t="n">
        <x:v>-32110.8</x:v>
      </x:c>
      <x:c r="AD80" s="186" t="n">
        <x:v>-19610</x:v>
      </x:c>
      <x:c r="AE80" s="186" t="n">
        <x:v>0.004130877745321955</x:v>
      </x:c>
      <x:c r="AF80" s="186" t="n">
        <x:v>-0.06949050877168188</x:v>
      </x:c>
      <x:c r="AG80" s="186" t="n">
        <x:v>-0.24733333333333363</x:v>
      </x:c>
      <x:c r="AH80" s="186" t="n">
        <x:v>0.00828571428571434</x:v>
      </x:c>
      <x:c r="AI80" s="186" t="n">
        <x:v>-0.25561904761904763</x:v>
      </x:c>
      <x:c r="AJ80" s="186" t="n">
        <x:v>0.022707555631235943</x:v>
      </x:c>
      <x:c r="AK80" s="186" t="n">
        <x:v>-13.530556</x:v>
      </x:c>
      <x:c r="AL80" s="186" t="n">
        <x:v>-46923.6</x:v>
      </x:c>
      <x:c r="AM80" s="186" t="n">
        <x:v>-14741.9</x:v>
      </x:c>
      <x:c r="AN80" s="186" t="n">
        <x:v>0.06686579245127078</x:v>
      </x:c>
      <x:c r="AO80" s="186" t="n">
        <x:v>1</x:v>
      </x:c>
      <x:c r="AP80" s="186" t="n">
        <x:v>1</x:v>
      </x:c>
    </x:row>
    <x:row r="81">
      <x:c r="A81" s="187" t="n">
        <x:v>44805</x:v>
      </x:c>
      <x:c r="B81" s="186" t="n">
        <x:v>1681</x:v>
      </x:c>
      <x:c r="C81" s="186" t="n">
        <x:v>18.9</x:v>
      </x:c>
      <x:c r="D81" s="186" t="n">
        <x:v>-0.04759206798866855</x:v>
      </x:c>
      <x:c r="E81" s="186" t="n">
        <x:v>-0.040609137055837574</x:v>
      </x:c>
      <x:c r="F81" s="187" t="n">
        <x:v>44774</x:v>
      </x:c>
      <x:c r="G81" s="186" t="n">
        <x:v>98.6</x:v>
      </x:c>
      <x:c r="H81" s="186" t="n">
        <x:v>8.79</x:v>
      </x:c>
      <x:c r="I81" s="186" t="n">
        <x:v>2431</x:v>
      </x:c>
      <x:c r="J81" s="186" t="n">
        <x:v>7982</x:v>
      </x:c>
      <x:c r="K81" s="186" t="n">
        <x:v>1765</x:v>
      </x:c>
      <x:c r="L81" s="186" t="n">
        <x:v>909</x:v>
      </x:c>
      <x:c r="M81" s="186" t="n">
        <x:v>19.7</x:v>
      </x:c>
      <x:c r="N81" s="186" t="n">
        <x:v>89.59390862944163</x:v>
      </x:c>
      <x:c r="O81" s="186" t="n">
        <x:v>0.05791915175612994</x:v>
      </x:c>
      <x:c r="P81" s="186" t="n">
        <x:v>-0.0945821854912765</x:v>
      </x:c>
      <x:c r="Q81" s="186" t="n">
        <x:v>2.8978260869565218</x:v>
      </x:c>
      <x:c r="R81" s="186" t="n">
        <x:v>0.3895652173913044</x:v>
      </x:c>
      <x:c r="S81" s="186" t="n">
        <x:v>2.508260869565217</x:v>
      </x:c>
      <x:c r="T81" s="186" t="n">
        <x:v>122.31775217391305</x:v>
      </x:c>
      <x:c r="U81" s="186" t="n">
        <x:v>132.86322</x:v>
      </x:c>
      <x:c r="V81" s="186" t="n">
        <x:v>159.38303</x:v>
      </x:c>
      <x:c r="W81" s="186" t="n">
        <x:v>111.15858</x:v>
      </x:c>
      <x:c r="X81" s="186" t="n">
        <x:v>1.2375652</x:v>
      </x:c>
      <x:c r="Y81" s="186" t="n">
        <x:v>2.4159167</x:v>
      </x:c>
      <x:c r="Z81" s="186" t="n">
        <x:v>3.1324017</x:v>
      </x:c>
      <x:c r="AA81" s="186" t="n">
        <x:v>28768.25</x:v>
      </x:c>
      <x:c r="AB81" s="186" t="n">
        <x:v>-9328.5</x:v>
      </x:c>
      <x:c r="AC81" s="186" t="n">
        <x:v>-33389.75</x:v>
      </x:c>
      <x:c r="AD81" s="186" t="n">
        <x:v>-21452</x:v>
      </x:c>
      <x:c r="AE81" s="186" t="n">
        <x:v>0.0631833428240173</x:v>
      </x:c>
      <x:c r="AF81" s="186" t="n">
        <x:v>-0.06579685794929147</x:v>
      </x:c>
      <x:c r="AG81" s="186" t="n">
        <x:v>0.0018260869565218663</x:v>
      </x:c>
      <x:c r="AH81" s="186" t="n">
        <x:v>-0.14443478260869563</x:v>
      </x:c>
      <x:c r="AI81" s="186" t="n">
        <x:v>0.146260869565217</x:v>
      </x:c>
      <x:c r="AJ81" s="186" t="n">
        <x:v>-0.003531108666041116</x:v>
      </x:c>
      <x:c r="AK81" s="186" t="n">
        <x:v>15.686455</x:v>
      </x:c>
      <x:c r="AL81" s="186" t="n">
        <x:v>26933.85</x:v>
      </x:c>
      <x:c r="AM81" s="186" t="n">
        <x:v>732.8999999999996</x:v>
      </x:c>
      <x:c r="AN81" s="186" t="n">
        <x:v>-0.01255415186247244</x:v>
      </x:c>
      <x:c r="AO81" s="186" t="n">
        <x:v>0</x:v>
      </x:c>
      <x:c r="AP81" s="186" t="n">
        <x:v>0</x:v>
      </x:c>
    </x:row>
    <x:row r="82">
      <x:c r="A82" s="187" t="n">
        <x:v>44835</x:v>
      </x:c>
      <x:c r="B82" s="186" t="n">
        <x:v>1664</x:v>
      </x:c>
      <x:c r="C82" s="186" t="n">
        <x:v>19.4</x:v>
      </x:c>
      <x:c r="D82" s="186" t="n">
        <x:v>-0.010113027959547938</x:v>
      </x:c>
      <x:c r="E82" s="186" t="n">
        <x:v>0.02645502645502651</x:v>
      </x:c>
      <x:c r="F82" s="187" t="n">
        <x:v>44805</x:v>
      </x:c>
      <x:c r="G82" s="186" t="n">
        <x:v>90.2</x:v>
      </x:c>
      <x:c r="H82" s="186" t="n">
        <x:v>7.76</x:v>
      </x:c>
      <x:c r="I82" s="186" t="n">
        <x:v>2225</x:v>
      </x:c>
      <x:c r="J82" s="186" t="n">
        <x:v>7746</x:v>
      </x:c>
      <x:c r="K82" s="186" t="n">
        <x:v>1681</x:v>
      </x:c>
      <x:c r="L82" s="186" t="n">
        <x:v>881</x:v>
      </x:c>
      <x:c r="M82" s="186" t="n">
        <x:v>18.9</x:v>
      </x:c>
      <x:c r="N82" s="186" t="n">
        <x:v>88.94179894179895</x:v>
      </x:c>
      <x:c r="O82" s="186" t="n">
        <x:v>-0.029566524680531225</x:v>
      </x:c>
      <x:c r="P82" s="186" t="n">
        <x:v>-0.08519269776876259</x:v>
      </x:c>
      <x:c r="Q82" s="186" t="n">
        <x:v>3.5190476190476194</x:v>
      </x:c>
      <x:c r="R82" s="186" t="n">
        <x:v>1.1366666666666667</x:v>
      </x:c>
      <x:c r="S82" s="186" t="n">
        <x:v>2.3823809523809523</x:v>
      </x:c>
      <x:c r="T82" s="186" t="n">
        <x:v>125.59460000000001</x:v>
      </x:c>
      <x:c r="U82" s="186" t="n">
        <x:v>131.98587</x:v>
      </x:c>
      <x:c r="V82" s="186" t="n">
        <x:v>170.3118</x:v>
      </x:c>
      <x:c r="W82" s="186" t="n">
        <x:v>108.628075</x:v>
      </x:c>
      <x:c r="X82" s="186" t="n">
        <x:v>1.1369661</x:v>
      </x:c>
      <x:c r="Y82" s="186" t="n">
        <x:v>3.0220914</x:v>
      </x:c>
      <x:c r="Z82" s="186" t="n">
        <x:v>2.927835</x:v>
      </x:c>
      <x:c r="AA82" s="186" t="n">
        <x:v>-18660</x:v>
      </x:c>
      <x:c r="AB82" s="186" t="n">
        <x:v>-14034.6</x:v>
      </x:c>
      <x:c r="AC82" s="186" t="n">
        <x:v>-22962.6</x:v>
      </x:c>
      <x:c r="AD82" s="186" t="n">
        <x:v>-20342</x:v>
      </x:c>
      <x:c r="AE82" s="186" t="n">
        <x:v>-0.04025549265739755</x:v>
      </x:c>
      <x:c r="AF82" s="186" t="n">
        <x:v>-0.10302100581824332</x:v>
      </x:c>
      <x:c r="AG82" s="186" t="n">
        <x:v>0.6212215320910977</x:v>
      </x:c>
      <x:c r="AH82" s="186" t="n">
        <x:v>0.7471014492753623</x:v>
      </x:c>
      <x:c r="AI82" s="186" t="n">
        <x:v>-0.12587991718426483</x:v>
      </x:c>
      <x:c r="AJ82" s="186" t="n">
        <x:v>0.026789634111554772</x:v>
      </x:c>
      <x:c r="AK82" s="186" t="n">
        <x:v>-0.87734985</x:v>
      </x:c>
      <x:c r="AL82" s="186" t="n">
        <x:v>-47428.25</x:v>
      </x:c>
      <x:c r="AM82" s="186" t="n">
        <x:v>-4706.1</x:v>
      </x:c>
      <x:c r="AN82" s="186" t="n">
        <x:v>-0.007278504728929658</x:v>
      </x:c>
      <x:c r="AO82" s="186" t="n">
        <x:v>0</x:v>
      </x:c>
      <x:c r="AP82" s="186" t="n">
        <x:v>1</x:v>
      </x:c>
    </x:row>
    <x:row r="83">
      <x:c r="A83" s="187" t="n">
        <x:v>44866</x:v>
      </x:c>
      <x:c r="B83" s="186" t="n">
        <x:v>1725</x:v>
      </x:c>
      <x:c r="C83" s="186" t="n">
        <x:v>21</x:v>
      </x:c>
      <x:c r="D83" s="186" t="n">
        <x:v>0.036658653846153744</x:v>
      </x:c>
      <x:c r="E83" s="186" t="n">
        <x:v>0.08247422680412386</x:v>
      </x:c>
      <x:c r="F83" s="187" t="n">
        <x:v>44835</x:v>
      </x:c>
      <x:c r="G83" s="186" t="n">
        <x:v>93.1</x:v>
      </x:c>
      <x:c r="H83" s="186" t="n">
        <x:v>5.62</x:v>
      </x:c>
      <x:c r="I83" s="186" t="n">
        <x:v>2256</x:v>
      </x:c>
      <x:c r="J83" s="186" t="n">
        <x:v>7651</x:v>
      </x:c>
      <x:c r="K83" s="186" t="n">
        <x:v>1664</x:v>
      </x:c>
      <x:c r="L83" s="186" t="n">
        <x:v>915</x:v>
      </x:c>
      <x:c r="M83" s="186" t="n">
        <x:v>19.4</x:v>
      </x:c>
      <x:c r="N83" s="186" t="n">
        <x:v>85.77319587628867</x:v>
      </x:c>
      <x:c r="O83" s="186" t="n">
        <x:v>-0.01226439452620709</x:v>
      </x:c>
      <x:c r="P83" s="186" t="n">
        <x:v>0.032150776053214924</x:v>
      </x:c>
      <x:c r="Q83" s="186" t="n">
        <x:v>3.9835000000000003</x:v>
      </x:c>
      <x:c r="R83" s="186" t="n">
        <x:v>1.59</x:v>
      </x:c>
      <x:c r="S83" s="186" t="n">
        <x:v>2.3935</x:v>
      </x:c>
      <x:c r="T83" s="186" t="n">
        <x:v>127.480605</x:v>
      </x:c>
      <x:c r="U83" s="186" t="n">
        <x:v>143.16241</x:v>
      </x:c>
      <x:c r="V83" s="186" t="n">
        <x:v>185.2843</x:v>
      </x:c>
      <x:c r="W83" s="186" t="n">
        <x:v>112.675026</x:v>
      </x:c>
      <x:c r="X83" s="186" t="n">
        <x:v>1.1814154</x:v>
      </x:c>
      <x:c r="Y83" s="186" t="n">
        <x:v>3.3852096</x:v>
      </x:c>
      <x:c r="Z83" s="186" t="n">
        <x:v>3.4022493</x:v>
      </x:c>
      <x:c r="AA83" s="186" t="n">
        <x:v>-19235.25</x:v>
      </x:c>
      <x:c r="AB83" s="186" t="n">
        <x:v>-2419.5</x:v>
      </x:c>
      <x:c r="AC83" s="186" t="n">
        <x:v>-16952.75</x:v>
      </x:c>
      <x:c r="AD83" s="186" t="n">
        <x:v>-25132.5</x:v>
      </x:c>
      <x:c r="AE83" s="186" t="n">
        <x:v>-0.04320729453777994</x:v>
      </x:c>
      <x:c r="AF83" s="186" t="n">
        <x:v>-0.016934469029205278</x:v>
      </x:c>
      <x:c r="AG83" s="186" t="n">
        <x:v>0.46445238095238084</x:v>
      </x:c>
      <x:c r="AH83" s="186" t="n">
        <x:v>0.45333333333333337</x:v>
      </x:c>
      <x:c r="AI83" s="186" t="n">
        <x:v>0.011119047619047695</x:v>
      </x:c>
      <x:c r="AJ83" s="186" t="n">
        <x:v>0.015016608994335545</x:v>
      </x:c>
      <x:c r="AK83" s="186" t="n">
        <x:v>11.176544</x:v>
      </x:c>
      <x:c r="AL83" s="186" t="n">
        <x:v>-575.25</x:v>
      </x:c>
      <x:c r="AM83" s="186" t="n">
        <x:v>11615.1</x:v>
      </x:c>
      <x:c r="AN83" s="186" t="n">
        <x:v>-0.03562557878533279</x:v>
      </x:c>
      <x:c r="AO83" s="186" t="n">
        <x:v>1</x:v>
      </x:c>
      <x:c r="AP83" s="186" t="n">
        <x:v>1</x:v>
      </x:c>
    </x:row>
    <x:row r="84">
      <x:c r="A84" s="187" t="n">
        <x:v>44896</x:v>
      </x:c>
      <x:c r="B84" s="186" t="n">
        <x:v>1798</x:v>
      </x:c>
      <x:c r="C84" s="186" t="n">
        <x:v>23.3</x:v>
      </x:c>
      <x:c r="D84" s="186" t="n">
        <x:v>0.04231884057971014</x:v>
      </x:c>
      <x:c r="E84" s="186" t="n">
        <x:v>0.10952380952380958</x:v>
      </x:c>
      <x:c r="F84" s="187" t="n">
        <x:v>44866</x:v>
      </x:c>
      <x:c r="G84" s="186" t="n">
        <x:v>91.1</x:v>
      </x:c>
      <x:c r="H84" s="186" t="n">
        <x:v>5.28</x:v>
      </x:c>
      <x:c r="I84" s="186" t="n">
        <x:v>2351</x:v>
      </x:c>
      <x:c r="J84" s="186" t="n">
        <x:v>8050</x:v>
      </x:c>
      <x:c r="K84" s="186" t="n">
        <x:v>1725</x:v>
      </x:c>
      <x:c r="L84" s="186" t="n">
        <x:v>989</x:v>
      </x:c>
      <x:c r="M84" s="186" t="n">
        <x:v>21</x:v>
      </x:c>
      <x:c r="N84" s="186" t="n">
        <x:v>82.14285714285714</x:v>
      </x:c>
      <x:c r="O84" s="186" t="n">
        <x:v>0.05215004574565407</x:v>
      </x:c>
      <x:c r="P84" s="186" t="n">
        <x:v>-0.02148227712137485</x:v>
      </x:c>
      <x:c r="Q84" s="186" t="n">
        <x:v>3.8909999999999996</x:v>
      </x:c>
      <x:c r="R84" s="186" t="n">
        <x:v>1.52</x:v>
      </x:c>
      <x:c r="S84" s="186" t="n">
        <x:v>2.371</x:v>
      </x:c>
      <x:c r="T84" s="186" t="n">
        <x:v>124.85272</x:v>
      </x:c>
      <x:c r="U84" s="186" t="n">
        <x:v>116.716286</x:v>
      </x:c>
      <x:c r="V84" s="186" t="n">
        <x:v>143.04655</x:v>
      </x:c>
      <x:c r="W84" s="186" t="n">
        <x:v>98.68261</x:v>
      </x:c>
      <x:c r="X84" s="186" t="n">
        <x:v>1.1175096</x:v>
      </x:c>
      <x:c r="Y84" s="186" t="n">
        <x:v>2.4630823</x:v>
      </x:c>
      <x:c r="Z84" s="186" t="n">
        <x:v>2.696847</x:v>
      </x:c>
      <x:c r="AA84" s="186" t="n">
        <x:v>-3214.75</x:v>
      </x:c>
      <x:c r="AB84" s="186" t="n">
        <x:v>7191.25</x:v>
      </x:c>
      <x:c r="AC84" s="186" t="n">
        <x:v>-26183.75</x:v>
      </x:c>
      <x:c r="AD84" s="186" t="n">
        <x:v>-30116.5</x:v>
      </x:c>
      <x:c r="AE84" s="186" t="n">
        <x:v>-0.006857457461297732</x:v>
      </x:c>
      <x:c r="AF84" s="186" t="n">
        <x:v>0.05276476212787749</x:v>
      </x:c>
      <x:c r="AG84" s="186" t="n">
        <x:v>-0.09250000000000069</x:v>
      </x:c>
      <x:c r="AH84" s="186" t="n">
        <x:v>-0.07000000000000006</x:v>
      </x:c>
      <x:c r="AI84" s="186" t="n">
        <x:v>-0.022499999999999964</x:v>
      </x:c>
      <x:c r="AJ84" s="186" t="n">
        <x:v>-0.020613998498046016</x:v>
      </x:c>
      <x:c r="AK84" s="186" t="n">
        <x:v>-26.446129</x:v>
      </x:c>
      <x:c r="AL84" s="186" t="n">
        <x:v>16020.5</x:v>
      </x:c>
      <x:c r="AM84" s="186" t="n">
        <x:v>9610.75</x:v>
      </x:c>
      <x:c r="AN84" s="186" t="n">
        <x:v>-0.04232486263736279</x:v>
      </x:c>
      <x:c r="AO84" s="186" t="n">
        <x:v>1</x:v>
      </x:c>
      <x:c r="AP84" s="186" t="n">
        <x:v>1</x:v>
      </x:c>
    </x:row>
    <x:row r="85">
      <x:c r="A85" s="187" t="n">
        <x:v>44927</x:v>
      </x:c>
      <x:c r="B85" s="186" t="n">
        <x:v>1898</x:v>
      </x:c>
      <x:c r="C85" s="186" t="n">
        <x:v>23.7</x:v>
      </x:c>
      <x:c r="D85" s="186" t="n">
        <x:v>0.05561735261401557</x:v>
      </x:c>
      <x:c r="E85" s="186" t="n">
        <x:v>0.01716738197424883</x:v>
      </x:c>
      <x:c r="F85" s="187" t="n">
        <x:v>44896</x:v>
      </x:c>
      <x:c r="G85" s="186" t="n">
        <x:v>80.9</x:v>
      </x:c>
      <x:c r="H85" s="186" t="n">
        <x:v>5.5</x:v>
      </x:c>
      <x:c r="I85" s="186" t="n">
        <x:v>2402</x:v>
      </x:c>
      <x:c r="J85" s="186" t="n">
        <x:v>8375</x:v>
      </x:c>
      <x:c r="K85" s="186" t="n">
        <x:v>1798</x:v>
      </x:c>
      <x:c r="L85" s="186" t="n">
        <x:v>1011</x:v>
      </x:c>
      <x:c r="M85" s="186" t="n">
        <x:v>23.3</x:v>
      </x:c>
      <x:c r="N85" s="186" t="n">
        <x:v>77.16738197424893</x:v>
      </x:c>
      <x:c r="O85" s="186" t="n">
        <x:v>0.04037267080745344</x:v>
      </x:c>
      <x:c r="P85" s="186" t="n">
        <x:v>-0.11196487376509323</x:v>
      </x:c>
      <x:c r="Q85" s="186" t="n">
        <x:v>3.616190476190476</x:v>
      </x:c>
      <x:c r="R85" s="186" t="n">
        <x:v>1.3566666666666667</x:v>
      </x:c>
      <x:c r="S85" s="186" t="n">
        <x:v>2.2595238095238095</x:v>
      </x:c>
      <x:c r="T85" s="186" t="n">
        <x:v>122.23432857142858</x:v>
      </x:c>
      <x:c r="U85" s="186" t="n">
        <x:v>111.19594</x:v>
      </x:c>
      <x:c r="V85" s="186" t="n">
        <x:v>119.13853</x:v>
      </x:c>
      <x:c r="W85" s="186" t="n">
        <x:v>109.77222</x:v>
      </x:c>
      <x:c r="X85" s="186" t="n">
        <x:v>0.87409335</x:v>
      </x:c>
      <x:c r="Y85" s="186" t="n">
        <x:v>2.2813218</x:v>
      </x:c>
      <x:c r="Z85" s="186" t="n">
        <x:v>2.5540884</x:v>
      </x:c>
      <x:c r="AA85" s="186" t="n">
        <x:v>33125.6</x:v>
      </x:c>
      <x:c r="AB85" s="186" t="n">
        <x:v>20675.2</x:v>
      </x:c>
      <x:c r="AC85" s="186" t="n">
        <x:v>-38302.2</x:v>
      </x:c>
      <x:c r="AD85" s="186" t="n">
        <x:v>-34430.6</x:v>
      </x:c>
      <x:c r="AE85" s="186" t="n">
        <x:v>0.07608539135808999</x:v>
      </x:c>
      <x:c r="AF85" s="186" t="n">
        <x:v>0.1636355503726311</x:v>
      </x:c>
      <x:c r="AG85" s="186" t="n">
        <x:v>-0.2748095238095236</x:v>
      </x:c>
      <x:c r="AH85" s="186" t="n">
        <x:v>-0.16333333333333333</x:v>
      </x:c>
      <x:c r="AI85" s="186" t="n">
        <x:v>-0.1114761904761905</x:v>
      </x:c>
      <x:c r="AJ85" s="186" t="n">
        <x:v>-0.020971841290853943</x:v>
      </x:c>
      <x:c r="AK85" s="186" t="n">
        <x:v>-5.5203476</x:v>
      </x:c>
      <x:c r="AL85" s="186" t="n">
        <x:v>36340.35</x:v>
      </x:c>
      <x:c r="AM85" s="186" t="n">
        <x:v>13483.95</x:v>
      </x:c>
      <x:c r="AN85" s="186" t="n">
        <x:v>-0.06057100205262178</x:v>
      </x:c>
      <x:c r="AO85" s="186" t="n">
        <x:v>1</x:v>
      </x:c>
      <x:c r="AP85" s="186" t="n">
        <x:v>1</x:v>
      </x:c>
    </x:row>
    <x:row r="86">
      <x:c r="A86" s="187" t="n">
        <x:v>44958</x:v>
      </x:c>
      <x:c r="B86" s="186" t="n">
        <x:v>1855</x:v>
      </x:c>
      <x:c r="C86" s="186" t="n">
        <x:v>21.9</x:v>
      </x:c>
      <x:c r="D86" s="186" t="n">
        <x:v>-0.02265542676501575</x:v>
      </x:c>
      <x:c r="E86" s="186" t="n">
        <x:v>-0.07594936708860767</x:v>
      </x:c>
      <x:c r="F86" s="187" t="n">
        <x:v>44927</x:v>
      </x:c>
      <x:c r="G86" s="186" t="n">
        <x:v>83.1</x:v>
      </x:c>
      <x:c r="H86" s="186" t="n">
        <x:v>3.27</x:v>
      </x:c>
      <x:c r="I86" s="186" t="n">
        <x:v>2502</x:v>
      </x:c>
      <x:c r="J86" s="186" t="n">
        <x:v>9038</x:v>
      </x:c>
      <x:c r="K86" s="186" t="n">
        <x:v>1898</x:v>
      </x:c>
      <x:c r="L86" s="186" t="n">
        <x:v>1053</x:v>
      </x:c>
      <x:c r="M86" s="186" t="n">
        <x:v>23.7</x:v>
      </x:c>
      <x:c r="N86" s="186" t="n">
        <x:v>80.084388185654</x:v>
      </x:c>
      <x:c r="O86" s="186" t="n">
        <x:v>0.0791641791044777</x:v>
      </x:c>
      <x:c r="P86" s="186" t="n">
        <x:v>0.027194066749072876</x:v>
      </x:c>
      <x:c r="Q86" s="186" t="n">
        <x:v>3.5315</x:v>
      </x:c>
      <x:c r="R86" s="186" t="n">
        <x:v>1.2945</x:v>
      </x:c>
      <x:c r="S86" s="186" t="n">
        <x:v>2.237</x:v>
      </x:c>
      <x:c r="T86" s="186" t="n">
        <x:v>119.81006500000001</x:v>
      </x:c>
      <x:c r="U86" s="186" t="n">
        <x:v>104.267044</x:v>
      </x:c>
      <x:c r="V86" s="186" t="n">
        <x:v>113.021355</x:v>
      </x:c>
      <x:c r="W86" s="186" t="n">
        <x:v>94.62994</x:v>
      </x:c>
      <x:c r="X86" s="186" t="n">
        <x:v>0.66969925</x:v>
      </x:c>
      <x:c r="Y86" s="186" t="n">
        <x:v>1.9711903</x:v>
      </x:c>
      <x:c r="Z86" s="186" t="n">
        <x:v>2.4071267</x:v>
      </x:c>
      <x:c r="AA86" s="186" t="n">
        <x:v>66411.5</x:v>
      </x:c>
      <x:c r="AB86" s="186" t="n">
        <x:v>24325</x:v>
      </x:c>
      <x:c r="AC86" s="186" t="n">
        <x:v>-44537.25</x:v>
      </x:c>
      <x:c r="AD86" s="186" t="n">
        <x:v>-35182.25</x:v>
      </x:c>
      <x:c r="AE86" s="186" t="n">
        <x:v>0.13766528716569665</x:v>
      </x:c>
      <x:c r="AF86" s="186" t="n">
        <x:v>0.18421414334758968</x:v>
      </x:c>
      <x:c r="AG86" s="186" t="n">
        <x:v>-0.0846904761904761</x:v>
      </x:c>
      <x:c r="AH86" s="186" t="n">
        <x:v>-0.0621666666666667</x:v>
      </x:c>
      <x:c r="AI86" s="186" t="n">
        <x:v>-0.02252380952380939</x:v>
      </x:c>
      <x:c r="AJ86" s="186" t="n">
        <x:v>-0.01983291927694375</x:v>
      </x:c>
      <x:c r="AK86" s="186" t="n">
        <x:v>-6.928894</x:v>
      </x:c>
      <x:c r="AL86" s="186" t="n">
        <x:v>33285.9</x:v>
      </x:c>
      <x:c r="AM86" s="186" t="n">
        <x:v>3649.7999999999993</x:v>
      </x:c>
      <x:c r="AN86" s="186" t="n">
        <x:v>0.0378010259876187</x:v>
      </x:c>
      <x:c r="AO86" s="186" t="n">
        <x:v>0</x:v>
      </x:c>
      <x:c r="AP86" s="186" t="n">
        <x:v>0</x:v>
      </x:c>
    </x:row>
    <x:row r="87">
      <x:c r="A87" s="187" t="n">
        <x:v>44986</x:v>
      </x:c>
      <x:c r="B87" s="186" t="n">
        <x:v>1913</x:v>
      </x:c>
      <x:c r="C87" s="186" t="n">
        <x:v>22</x:v>
      </x:c>
      <x:c r="D87" s="186" t="n">
        <x:v>0.03126684636118604</x:v>
      </x:c>
      <x:c r="E87" s="186" t="n">
        <x:v>0.004566210045662267</x:v>
      </x:c>
      <x:c r="F87" s="187" t="n">
        <x:v>44958</x:v>
      </x:c>
      <x:c r="G87" s="186" t="n">
        <x:v>82.7</x:v>
      </x:c>
      <x:c r="H87" s="186" t="n">
        <x:v>2.38</x:v>
      </x:c>
      <x:c r="I87" s="186" t="n">
        <x:v>2416</x:v>
      </x:c>
      <x:c r="J87" s="186" t="n">
        <x:v>8937</x:v>
      </x:c>
      <x:c r="K87" s="186" t="n">
        <x:v>1855</x:v>
      </x:c>
      <x:c r="L87" s="186" t="n">
        <x:v>959</x:v>
      </x:c>
      <x:c r="M87" s="186" t="n">
        <x:v>21.9</x:v>
      </x:c>
      <x:c r="N87" s="186" t="n">
        <x:v>84.70319634703196</x:v>
      </x:c>
      <x:c r="O87" s="186" t="n">
        <x:v>-0.011175038725381725</x:v>
      </x:c>
      <x:c r="P87" s="186" t="n">
        <x:v>-0.004813477737665384</x:v>
      </x:c>
      <x:c r="Q87" s="186" t="n">
        <x:v>3.7468421052631578</x:v>
      </x:c>
      <x:c r="R87" s="186" t="n">
        <x:v>1.4131578947368422</x:v>
      </x:c>
      <x:c r="S87" s="186" t="n">
        <x:v>2.333684210526316</x:v>
      </x:c>
      <x:c r="T87" s="186" t="n">
        <x:v>120.30837368421054</x:v>
      </x:c>
      <x:c r="U87" s="186" t="n">
        <x:v>120.99438</x:v>
      </x:c>
      <x:c r="V87" s="186" t="n">
        <x:v>147.05016</x:v>
      </x:c>
      <x:c r="W87" s="186" t="n">
        <x:v>103.028755</x:v>
      </x:c>
      <x:c r="X87" s="186" t="n">
        <x:v>1.4876584</x:v>
      </x:c>
      <x:c r="Y87" s="186" t="n">
        <x:v>2.3015344</x:v>
      </x:c>
      <x:c r="Z87" s="186" t="n">
        <x:v>2.9753168</x:v>
      </x:c>
      <x:c r="AA87" s="186" t="n">
        <x:v>55475.5</x:v>
      </x:c>
      <x:c r="AB87" s="186" t="n">
        <x:v>10001.25</x:v>
      </x:c>
      <x:c r="AC87" s="186" t="n">
        <x:v>-31869.5</x:v>
      </x:c>
      <x:c r="AD87" s="186" t="n">
        <x:v>-29525.25</x:v>
      </x:c>
      <x:c r="AE87" s="186" t="n">
        <x:v>0.12449899574353226</x:v>
      </x:c>
      <x:c r="AF87" s="186" t="n">
        <x:v>0.07421311166882003</x:v>
      </x:c>
      <x:c r="AG87" s="186" t="n">
        <x:v>0.2153421052631579</x:v>
      </x:c>
      <x:c r="AH87" s="186" t="n">
        <x:v>0.11865789473684218</x:v>
      </x:c>
      <x:c r="AI87" s="186" t="n">
        <x:v>0.0966842105263157</x:v>
      </x:c>
      <x:c r="AJ87" s="186" t="n">
        <x:v>0.004159155444999785</x:v>
      </x:c>
      <x:c r="AK87" s="186" t="n">
        <x:v>16.727333</x:v>
      </x:c>
      <x:c r="AL87" s="186" t="n">
        <x:v>-10936</x:v>
      </x:c>
      <x:c r="AM87" s="186" t="n">
        <x:v>-14323.75</x:v>
      </x:c>
      <x:c r="AN87" s="186" t="n">
        <x:v>0.05767426418580479</x:v>
      </x:c>
      <x:c r="AO87" s="186" t="n">
        <x:v>1</x:v>
      </x:c>
      <x:c r="AP87" s="186" t="n">
        <x:v>1</x:v>
      </x:c>
    </x:row>
    <x:row r="88">
      <x:c r="A88" s="187" t="n">
        <x:v>45017</x:v>
      </x:c>
      <x:c r="B88" s="186" t="n">
        <x:v>2000</x:v>
      </x:c>
      <x:c r="C88" s="186" t="n">
        <x:v>25</x:v>
      </x:c>
      <x:c r="D88" s="186" t="n">
        <x:v>0.045478306325143825</x:v>
      </x:c>
      <x:c r="E88" s="186" t="n">
        <x:v>0.13636363636363646</x:v>
      </x:c>
      <x:c r="F88" s="187" t="n">
        <x:v>44986</x:v>
      </x:c>
      <x:c r="G88" s="186" t="n">
        <x:v>78.5</x:v>
      </x:c>
      <x:c r="H88" s="186" t="n">
        <x:v>2.3</x:v>
      </x:c>
      <x:c r="I88" s="186" t="n">
        <x:v>2296</x:v>
      </x:c>
      <x:c r="J88" s="186" t="n">
        <x:v>8856</x:v>
      </x:c>
      <x:c r="K88" s="186" t="n">
        <x:v>1913</x:v>
      </x:c>
      <x:c r="L88" s="186" t="n">
        <x:v>971</x:v>
      </x:c>
      <x:c r="M88" s="186" t="n">
        <x:v>22</x:v>
      </x:c>
      <x:c r="N88" s="186" t="n">
        <x:v>86.95454545454545</x:v>
      </x:c>
      <x:c r="O88" s="186" t="n">
        <x:v>-0.009063444108761365</x:v>
      </x:c>
      <x:c r="P88" s="186" t="n">
        <x:v>-0.050785973397823536</x:v>
      </x:c>
      <x:c r="Q88" s="186" t="n">
        <x:v>3.6630434782608696</x:v>
      </x:c>
      <x:c r="R88" s="186" t="n">
        <x:v>1.3608695652173914</x:v>
      </x:c>
      <x:c r="S88" s="186" t="n">
        <x:v>2.3021739130434784</x:v>
      </x:c>
      <x:c r="T88" s="186" t="n">
        <x:v>120.74501304347825</x:v>
      </x:c>
      <x:c r="U88" s="186" t="n">
        <x:v>105.379974</x:v>
      </x:c>
      <x:c r="V88" s="186" t="n">
        <x:v>125.085846</x:v>
      </x:c>
      <x:c r="W88" s="186" t="n">
        <x:v>86.75404</x:v>
      </x:c>
      <x:c r="X88" s="186" t="n">
        <x:v>1.4093643</x:v>
      </x:c>
      <x:c r="Y88" s="186" t="n">
        <x:v>2.046232</x:v>
      </x:c>
      <x:c r="Z88" s="186" t="n">
        <x:v>2.6241302</x:v>
      </x:c>
      <x:c r="AA88" s="186" t="n">
        <x:v>56216.8</x:v>
      </x:c>
      <x:c r="AB88" s="186" t="n">
        <x:v>-3877</x:v>
      </x:c>
      <x:c r="AC88" s="186" t="n">
        <x:v>-36100.8</x:v>
      </x:c>
      <x:c r="AD88" s="186" t="n">
        <x:v>-23403.4</x:v>
      </x:c>
      <x:c r="AE88" s="186" t="n">
        <x:v>0.12076175541768226</x:v>
      </x:c>
      <x:c r="AF88" s="186" t="n">
        <x:v>-0.029728639903227865</x:v>
      </x:c>
      <x:c r="AG88" s="186" t="n">
        <x:v>-0.08379862700228813</x:v>
      </x:c>
      <x:c r="AH88" s="186" t="n">
        <x:v>-0.05228832951945073</x:v>
      </x:c>
      <x:c r="AI88" s="186" t="n">
        <x:v>-0.0315102974828374</x:v>
      </x:c>
      <x:c r="AJ88" s="186" t="n">
        <x:v>0.00362933473287419</x:v>
      </x:c>
      <x:c r="AK88" s="186" t="n">
        <x:v>-15.614403</x:v>
      </x:c>
      <x:c r="AL88" s="186" t="n">
        <x:v>741.3000000000029</x:v>
      </x:c>
      <x:c r="AM88" s="186" t="n">
        <x:v>-13878.25</x:v>
      </x:c>
      <x:c r="AN88" s="186" t="n">
        <x:v>0.026579269786817017</x:v>
      </x:c>
      <x:c r="AO88" s="186" t="n">
        <x:v>1</x:v>
      </x:c>
      <x:c r="AP88" s="186" t="n">
        <x:v>1</x:v>
      </x:c>
    </x:row>
    <x:row r="89">
      <x:c r="A89" s="187" t="n">
        <x:v>45047</x:v>
      </x:c>
      <x:c r="B89" s="186" t="n">
        <x:v>1992</x:v>
      </x:c>
      <x:c r="C89" s="186" t="n">
        <x:v>24.3</x:v>
      </x:c>
      <x:c r="D89" s="186" t="n">
        <x:v>-0.0040000000000000036</x:v>
      </x:c>
      <x:c r="E89" s="186" t="n">
        <x:v>-0.028000000000000025</x:v>
      </x:c>
      <x:c r="F89" s="187" t="n">
        <x:v>45017</x:v>
      </x:c>
      <x:c r="G89" s="186" t="n">
        <x:v>84.1</x:v>
      </x:c>
      <x:c r="H89" s="186" t="n">
        <x:v>2.16</x:v>
      </x:c>
      <x:c r="I89" s="186" t="n">
        <x:v>2343</x:v>
      </x:c>
      <x:c r="J89" s="186" t="n">
        <x:v>8809</x:v>
      </x:c>
      <x:c r="K89" s="186" t="n">
        <x:v>2000</x:v>
      </x:c>
      <x:c r="L89" s="186" t="n">
        <x:v>1051</x:v>
      </x:c>
      <x:c r="M89" s="186" t="n">
        <x:v>25</x:v>
      </x:c>
      <x:c r="N89" s="186" t="n">
        <x:v>80</x:v>
      </x:c>
      <x:c r="O89" s="186" t="n">
        <x:v>-0.005307136404697377</x:v>
      </x:c>
      <x:c r="P89" s="186" t="n">
        <x:v>0.07133757961783438</x:v>
      </x:c>
      <x:c r="Q89" s="186" t="n">
        <x:v>3.46</x:v>
      </x:c>
      <x:c r="R89" s="186" t="n">
        <x:v>1.1935</x:v>
      </x:c>
      <x:c r="S89" s="186" t="n">
        <x:v>2.2664999999999997</x:v>
      </x:c>
      <x:c r="T89" s="186" t="n">
        <x:v>119.24514500000001</x:v>
      </x:c>
      <x:c r="U89" s="186" t="n">
        <x:v>106.809654</x:v>
      </x:c>
      <x:c r="V89" s="186" t="n">
        <x:v>118.166824</x:v>
      </x:c>
      <x:c r="W89" s="186" t="n">
        <x:v>93.24841</x:v>
      </x:c>
      <x:c r="X89" s="186" t="n">
        <x:v>1.225681</x:v>
      </x:c>
      <x:c r="Y89" s="186" t="n">
        <x:v>1.8093386</x:v>
      </x:c>
      <x:c r="Z89" s="186" t="n">
        <x:v>2.4448767</x:v>
      </x:c>
      <x:c r="AA89" s="186" t="n">
        <x:v>105059</x:v>
      </x:c>
      <x:c r="AB89" s="186" t="n">
        <x:v>20030</x:v>
      </x:c>
      <x:c r="AC89" s="186" t="n">
        <x:v>-34959</x:v>
      </x:c>
      <x:c r="AD89" s="186" t="n">
        <x:v>-30310</x:v>
      </x:c>
      <x:c r="AE89" s="186" t="n">
        <x:v>0.22019395487489507</x:v>
      </x:c>
      <x:c r="AF89" s="186" t="n">
        <x:v>0.13778983876134077</x:v>
      </x:c>
      <x:c r="AG89" s="186" t="n">
        <x:v>-0.20304347826086966</x:v>
      </x:c>
      <x:c r="AH89" s="186" t="n">
        <x:v>-0.16736956521739144</x:v>
      </x:c>
      <x:c r="AI89" s="186" t="n">
        <x:v>-0.03567391304347867</x:v>
      </x:c>
      <x:c r="AJ89" s="186" t="n">
        <x:v>-0.012421780458445664</x:v>
      </x:c>
      <x:c r="AK89" s="186" t="n">
        <x:v>1.4296799</x:v>
      </x:c>
      <x:c r="AL89" s="186" t="n">
        <x:v>48842.2</x:v>
      </x:c>
      <x:c r="AM89" s="186" t="n">
        <x:v>23907</x:v>
      </x:c>
      <x:c r="AN89" s="186" t="n">
        <x:v>-0.07997909043387352</x:v>
      </x:c>
      <x:c r="AO89" s="186" t="n">
        <x:v>0</x:v>
      </x:c>
      <x:c r="AP89" s="186" t="n">
        <x:v>0</x:v>
      </x:c>
    </x:row>
    <x:row r="90">
      <x:c r="A90" s="187" t="n">
        <x:v>45078</x:v>
      </x:c>
      <x:c r="B90" s="186" t="n">
        <x:v>1943</x:v>
      </x:c>
      <x:c r="C90" s="186" t="n">
        <x:v>23.4</x:v>
      </x:c>
      <x:c r="D90" s="186" t="n">
        <x:v>-0.02459839357429716</x:v>
      </x:c>
      <x:c r="E90" s="186" t="n">
        <x:v>-0.03703703703703709</x:v>
      </x:c>
      <x:c r="F90" s="187" t="n">
        <x:v>45047</x:v>
      </x:c>
      <x:c r="G90" s="186" t="n">
        <x:v>75.7</x:v>
      </x:c>
      <x:c r="H90" s="186" t="n">
        <x:v>2.15</x:v>
      </x:c>
      <x:c r="I90" s="186" t="n">
        <x:v>2269</x:v>
      </x:c>
      <x:c r="J90" s="186" t="n">
        <x:v>8217</x:v>
      </x:c>
      <x:c r="K90" s="186" t="n">
        <x:v>1992</x:v>
      </x:c>
      <x:c r="L90" s="186" t="n">
        <x:v>1063</x:v>
      </x:c>
      <x:c r="M90" s="186" t="n">
        <x:v>24.3</x:v>
      </x:c>
      <x:c r="N90" s="186" t="n">
        <x:v>81.9753086419753</x:v>
      </x:c>
      <x:c r="O90" s="186" t="n">
        <x:v>-0.06720399591327053</x:v>
      </x:c>
      <x:c r="P90" s="186" t="n">
        <x:v>-0.09988109393579059</x:v>
      </x:c>
      <x:c r="Q90" s="186" t="n">
        <x:v>3.5736363636363637</x:v>
      </x:c>
      <x:c r="R90" s="186" t="n">
        <x:v>1.36</x:v>
      </x:c>
      <x:c r="S90" s="186" t="n">
        <x:v>2.213636363636364</x:v>
      </x:c>
      <x:c r="T90" s="186" t="n">
        <x:v>119.62925454545456</x:v>
      </x:c>
      <x:c r="U90" s="186" t="n">
        <x:v>108.46768</x:v>
      </x:c>
      <x:c r="V90" s="186" t="n">
        <x:v>122.471504</x:v>
      </x:c>
      <x:c r="W90" s="186" t="n">
        <x:v>92.75944</x:v>
      </x:c>
      <x:c r="X90" s="186" t="n">
        <x:v>1.0844542</x:v>
      </x:c>
      <x:c r="Y90" s="186" t="n">
        <x:v>1.9023385</x:v>
      </x:c>
      <x:c r="Z90" s="186" t="n">
        <x:v>2.508179</x:v>
      </x:c>
      <x:c r="AA90" s="186" t="n">
        <x:v>105474.5</x:v>
      </x:c>
      <x:c r="AB90" s="186" t="n">
        <x:v>19105.75</x:v>
      </x:c>
      <x:c r="AC90" s="186" t="n">
        <x:v>-33234.5</x:v>
      </x:c>
      <x:c r="AD90" s="186" t="n">
        <x:v>-29355.75</x:v>
      </x:c>
      <x:c r="AE90" s="186" t="n">
        <x:v>0.20949477348690926</x:v>
      </x:c>
      <x:c r="AF90" s="186" t="n">
        <x:v>0.13464597455343535</x:v>
      </x:c>
      <x:c r="AG90" s="186" t="n">
        <x:v>0.11363636363636376</x:v>
      </x:c>
      <x:c r="AH90" s="186" t="n">
        <x:v>0.1665000000000001</x:v>
      </x:c>
      <x:c r="AI90" s="186" t="n">
        <x:v>-0.05286363636363589</x:v>
      </x:c>
      <x:c r="AJ90" s="186" t="n">
        <x:v>0.003221175549365629</x:v>
      </x:c>
      <x:c r="AK90" s="186" t="n">
        <x:v>1.6580276</x:v>
      </x:c>
      <x:c r="AL90" s="186" t="n">
        <x:v>415.5</x:v>
      </x:c>
      <x:c r="AM90" s="186" t="n">
        <x:v>-924.25</x:v>
      </x:c>
      <x:c r="AN90" s="186" t="n">
        <x:v>0.024691358024691246</x:v>
      </x:c>
      <x:c r="AO90" s="186" t="n">
        <x:v>0</x:v>
      </x:c>
      <x:c r="AP90" s="186" t="n">
        <x:v>0</x:v>
      </x:c>
    </x:row>
    <x:row r="91">
      <x:c r="A91" s="187" t="n">
        <x:v>45108</x:v>
      </x:c>
      <x:c r="B91" s="186" t="n">
        <x:v>1951</x:v>
      </x:c>
      <x:c r="C91" s="186" t="n">
        <x:v>24.3</x:v>
      </x:c>
      <x:c r="D91" s="186" t="n">
        <x:v>0.004117344312918103</x:v>
      </x:c>
      <x:c r="E91" s="186" t="n">
        <x:v>0.03846153846153855</x:v>
      </x:c>
      <x:c r="F91" s="187" t="n">
        <x:v>45078</x:v>
      </x:c>
      <x:c r="G91" s="186" t="n">
        <x:v>74.9</x:v>
      </x:c>
      <x:c r="H91" s="186" t="n">
        <x:v>2.18</x:v>
      </x:c>
      <x:c r="I91" s="186" t="n">
        <x:v>2185</x:v>
      </x:c>
      <x:c r="J91" s="186" t="n">
        <x:v>8397</x:v>
      </x:c>
      <x:c r="K91" s="186" t="n">
        <x:v>1943</x:v>
      </x:c>
      <x:c r="L91" s="186" t="n">
        <x:v>971</x:v>
      </x:c>
      <x:c r="M91" s="186" t="n">
        <x:v>23.4</x:v>
      </x:c>
      <x:c r="N91" s="186" t="n">
        <x:v>83.03418803418803</x:v>
      </x:c>
      <x:c r="O91" s="186" t="n">
        <x:v>0.02190580503833517</x:v>
      </x:c>
      <x:c r="P91" s="186" t="n">
        <x:v>-0.010568031704095038</x:v>
      </x:c>
      <x:c r="Q91" s="186" t="n">
        <x:v>3.7480952380952384</x:v>
      </x:c>
      <x:c r="R91" s="186" t="n">
        <x:v>1.5476190476190477</x:v>
      </x:c>
      <x:c r="S91" s="186" t="n">
        <x:v>2.2004761904761905</x:v>
      </x:c>
      <x:c r="T91" s="186" t="n">
        <x:v>119.29695238095238</x:v>
      </x:c>
      <x:c r="U91" s="186" t="n">
        <x:v>110.528946</x:v>
      </x:c>
      <x:c r="V91" s="186" t="n">
        <x:v>129.40652</x:v>
      </x:c>
      <x:c r="W91" s="186" t="n">
        <x:v>95.27891</x:v>
      </x:c>
      <x:c r="X91" s="186" t="n">
        <x:v>1.0581686</x:v>
      </x:c>
      <x:c r="Y91" s="186" t="n">
        <x:v>2.2142026</x:v>
      </x:c>
      <x:c r="Z91" s="186" t="n">
        <x:v>2.458866</x:v>
      </x:c>
      <x:c r="AA91" s="186" t="n">
        <x:v>80097.6</x:v>
      </x:c>
      <x:c r="AB91" s="186" t="n">
        <x:v>10685.6</x:v>
      </x:c>
      <x:c r="AC91" s="186" t="n">
        <x:v>-28284.2</x:v>
      </x:c>
      <x:c r="AD91" s="186" t="n">
        <x:v>-26569.6</x:v>
      </x:c>
      <x:c r="AE91" s="186" t="n">
        <x:v>0.18287421577897137</x:v>
      </x:c>
      <x:c r="AF91" s="186" t="n">
        <x:v>0.0763772653380612</x:v>
      </x:c>
      <x:c r="AG91" s="186" t="n">
        <x:v>0.17445887445887465</x:v>
      </x:c>
      <x:c r="AH91" s="186" t="n">
        <x:v>0.18761904761904757</x:v>
      </x:c>
      <x:c r="AI91" s="186" t="n">
        <x:v>-0.013160173160173372</x:v>
      </x:c>
      <x:c r="AJ91" s="186" t="n">
        <x:v>-0.0027777667407926643</x:v>
      </x:c>
      <x:c r="AK91" s="186" t="n">
        <x:v>2.061264</x:v>
      </x:c>
      <x:c r="AL91" s="186" t="n">
        <x:v>-25376.899999999994</x:v>
      </x:c>
      <x:c r="AM91" s="186" t="n">
        <x:v>-8420.15</x:v>
      </x:c>
      <x:c r="AN91" s="186" t="n">
        <x:v>0.012917052826691533</x:v>
      </x:c>
      <x:c r="AO91" s="186" t="n">
        <x:v>1</x:v>
      </x:c>
      <x:c r="AP91" s="186" t="n">
        <x:v>1</x:v>
      </x:c>
    </x:row>
    <x:row r="92">
      <x:c r="A92" s="187" t="n">
        <x:v>45139</x:v>
      </x:c>
      <x:c r="B92" s="186" t="n">
        <x:v>1919</x:v>
      </x:c>
      <x:c r="C92" s="186" t="n">
        <x:v>23.4</x:v>
      </x:c>
      <x:c r="D92" s="186" t="n">
        <x:v>-0.016401845207585808</x:v>
      </x:c>
      <x:c r="E92" s="186" t="n">
        <x:v>-0.03703703703703709</x:v>
      </x:c>
      <x:c r="F92" s="187" t="n">
        <x:v>45108</x:v>
      </x:c>
      <x:c r="G92" s="186" t="n">
        <x:v>80.1</x:v>
      </x:c>
      <x:c r="H92" s="186" t="n">
        <x:v>2.55</x:v>
      </x:c>
      <x:c r="I92" s="186" t="n">
        <x:v>2160</x:v>
      </x:c>
      <x:c r="J92" s="186" t="n">
        <x:v>8477</x:v>
      </x:c>
      <x:c r="K92" s="186" t="n">
        <x:v>1951</x:v>
      </x:c>
      <x:c r="L92" s="186" t="n">
        <x:v>950</x:v>
      </x:c>
      <x:c r="M92" s="186" t="n">
        <x:v>24.3</x:v>
      </x:c>
      <x:c r="N92" s="186" t="n">
        <x:v>80.2880658436214</x:v>
      </x:c>
      <x:c r="O92" s="186" t="n">
        <x:v>0.009527212099559312</x:v>
      </x:c>
      <x:c r="P92" s="186" t="n">
        <x:v>0.06942590120160208</x:v>
      </x:c>
      <x:c r="Q92" s="186" t="n">
        <x:v>3.8994999999999997</x:v>
      </x:c>
      <x:c r="R92" s="186" t="n">
        <x:v>1.6030000000000002</x:v>
      </x:c>
      <x:c r="S92" s="186" t="n">
        <x:v>2.2965</x:v>
      </x:c>
      <x:c r="T92" s="186" t="n">
        <x:v>118.04916499999999</x:v>
      </x:c>
      <x:c r="U92" s="186" t="n">
        <x:v>107.448784</x:v>
      </x:c>
      <x:c r="V92" s="186" t="n">
        <x:v>123.80915</x:v>
      </x:c>
      <x:c r="W92" s="186" t="n">
        <x:v>91.768005</x:v>
      </x:c>
      <x:c r="X92" s="186" t="n">
        <x:v>0.97491306</x:v>
      </x:c>
      <x:c r="Y92" s="186" t="n">
        <x:v>2.0802286</x:v>
      </x:c>
      <x:c r="Z92" s="186" t="n">
        <x:v>2.483855</x:v>
      </x:c>
      <x:c r="AA92" s="186" t="n">
        <x:v>94049</x:v>
      </x:c>
      <x:c r="AB92" s="186" t="n">
        <x:v>16146</x:v>
      </x:c>
      <x:c r="AC92" s="186" t="n">
        <x:v>-33679.25</x:v>
      </x:c>
      <x:c r="AD92" s="186" t="n">
        <x:v>-32595</x:v>
      </x:c>
      <x:c r="AE92" s="186" t="n">
        <x:v>0.19887690955623435</x:v>
      </x:c>
      <x:c r="AF92" s="186" t="n">
        <x:v>0.11672750389358294</x:v>
      </x:c>
      <x:c r="AG92" s="186" t="n">
        <x:v>0.15140476190476138</x:v>
      </x:c>
      <x:c r="AH92" s="186" t="n">
        <x:v>0.05538095238095253</x:v>
      </x:c>
      <x:c r="AI92" s="186" t="n">
        <x:v>0.09602380952380951</x:v>
      </x:c>
      <x:c r="AJ92" s="186" t="n">
        <x:v>-0.010459507607267438</x:v>
      </x:c>
      <x:c r="AK92" s="186" t="n">
        <x:v>-3.080162</x:v>
      </x:c>
      <x:c r="AL92" s="186" t="n">
        <x:v>13951.399999999994</x:v>
      </x:c>
      <x:c r="AM92" s="186" t="n">
        <x:v>5460.4</x:v>
      </x:c>
      <x:c r="AN92" s="186" t="n">
        <x:v>-0.03307218695793068</x:v>
      </x:c>
      <x:c r="AO92" s="186" t="n">
        <x:v>0</x:v>
      </x:c>
      <x:c r="AP92" s="186" t="n">
        <x:v>0</x:v>
      </x:c>
    </x:row>
    <x:row r="93">
      <x:c r="A93" s="187" t="n">
        <x:v>45170</x:v>
      </x:c>
      <x:c r="B93" s="186" t="n">
        <x:v>1916</x:v>
      </x:c>
      <x:c r="C93" s="186" t="n">
        <x:v>23.1</x:v>
      </x:c>
      <x:c r="D93" s="186" t="n">
        <x:v>-0.0015633142261594069</x:v>
      </x:c>
      <x:c r="E93" s="186" t="n">
        <x:v>-0.012820512820512664</x:v>
      </x:c>
      <x:c r="F93" s="187" t="n">
        <x:v>45139</x:v>
      </x:c>
      <x:c r="G93" s="186" t="n">
        <x:v>86.2</x:v>
      </x:c>
      <x:c r="H93" s="186" t="n">
        <x:v>2.58</x:v>
      </x:c>
      <x:c r="I93" s="186" t="n">
        <x:v>2137</x:v>
      </x:c>
      <x:c r="J93" s="186" t="n">
        <x:v>8349</x:v>
      </x:c>
      <x:c r="K93" s="186" t="n">
        <x:v>1919</x:v>
      </x:c>
      <x:c r="L93" s="186" t="n">
        <x:v>925</x:v>
      </x:c>
      <x:c r="M93" s="186" t="n">
        <x:v>23.4</x:v>
      </x:c>
      <x:c r="N93" s="186" t="n">
        <x:v>82.00854700854701</x:v>
      </x:c>
      <x:c r="O93" s="186" t="n">
        <x:v>-0.01509968149109353</x:v>
      </x:c>
      <x:c r="P93" s="186" t="n">
        <x:v>0.07615480649188533</x:v>
      </x:c>
      <x:c r="Q93" s="186" t="n">
        <x:v>4.167826086956522</x:v>
      </x:c>
      <x:c r="R93" s="186" t="n">
        <x:v>1.8326086956521739</x:v>
      </x:c>
      <x:c r="S93" s="186" t="n">
        <x:v>2.3352173913043477</x:v>
      </x:c>
      <x:c r="T93" s="186" t="n">
        <x:v>119.85634782608695</x:v>
      </x:c>
      <x:c r="U93" s="186" t="n">
        <x:v>101.14118</x:v>
      </x:c>
      <x:c r="V93" s="186" t="n">
        <x:v>117.609436</x:v>
      </x:c>
      <x:c r="W93" s="186" t="n">
        <x:v>83.60505</x:v>
      </x:c>
      <x:c r="X93" s="186" t="n">
        <x:v>0.98895764</x:v>
      </x:c>
      <x:c r="Y93" s="186" t="n">
        <x:v>1.9657809</x:v>
      </x:c>
      <x:c r="Z93" s="186" t="n">
        <x:v>2.1599321</x:v>
      </x:c>
      <x:c r="AA93" s="186" t="n">
        <x:v>44315</x:v>
      </x:c>
      <x:c r="AB93" s="186" t="n">
        <x:v>897.5</x:v>
      </x:c>
      <x:c r="AC93" s="186" t="n">
        <x:v>-23948.5</x:v>
      </x:c>
      <x:c r="AD93" s="186" t="n">
        <x:v>-30356.5</x:v>
      </x:c>
      <x:c r="AE93" s="186" t="n">
        <x:v>0.10209733530623898</x:v>
      </x:c>
      <x:c r="AF93" s="186" t="n">
        <x:v>0.005551746566848132</x:v>
      </x:c>
      <x:c r="AG93" s="186" t="n">
        <x:v>0.26832608695652205</x:v>
      </x:c>
      <x:c r="AH93" s="186" t="n">
        <x:v>0.22960869565217368</x:v>
      </x:c>
      <x:c r="AI93" s="186" t="n">
        <x:v>0.038717391304347704</x:v>
      </x:c>
      <x:c r="AJ93" s="186" t="n">
        <x:v>0.015308730274262938</x:v>
      </x:c>
      <x:c r="AK93" s="186" t="n">
        <x:v>-6.307602</x:v>
      </x:c>
      <x:c r="AL93" s="186" t="n">
        <x:v>-49734</x:v>
      </x:c>
      <x:c r="AM93" s="186" t="n">
        <x:v>-15248.5</x:v>
      </x:c>
      <x:c r="AN93" s="186" t="n">
        <x:v>0.021428853053660823</x:v>
      </x:c>
      <x:c r="AO93" s="186" t="n">
        <x:v>0</x:v>
      </x:c>
      <x:c r="AP93" s="186" t="n">
        <x:v>0</x:v>
      </x:c>
    </x:row>
    <x:row r="94">
      <x:c r="A94" s="187" t="n">
        <x:v>45200</x:v>
      </x:c>
      <x:c r="B94" s="186" t="n">
        <x:v>1916</x:v>
      </x:c>
      <x:c r="C94" s="186" t="n">
        <x:v>22.4</x:v>
      </x:c>
      <x:c r="D94" s="186" t="n">
        <x:v>0</x:v>
      </x:c>
      <x:c r="E94" s="186" t="n">
        <x:v>-0.030303030303030387</x:v>
      </x:c>
      <x:c r="F94" s="187" t="n">
        <x:v>45170</x:v>
      </x:c>
      <x:c r="G94" s="186" t="n">
        <x:v>94</x:v>
      </x:c>
      <x:c r="H94" s="186" t="n">
        <x:v>2.64</x:v>
      </x:c>
      <x:c r="I94" s="186" t="n">
        <x:v>2185</x:v>
      </x:c>
      <x:c r="J94" s="186" t="n">
        <x:v>8277</x:v>
      </x:c>
      <x:c r="K94" s="186" t="n">
        <x:v>1916</x:v>
      </x:c>
      <x:c r="L94" s="186" t="n">
        <x:v>921</x:v>
      </x:c>
      <x:c r="M94" s="186" t="n">
        <x:v>23.1</x:v>
      </x:c>
      <x:c r="N94" s="186" t="n">
        <x:v>82.94372294372293</x:v>
      </x:c>
      <x:c r="O94" s="186" t="n">
        <x:v>-0.008623787279913753</x:v>
      </x:c>
      <x:c r="P94" s="186" t="n">
        <x:v>0.09048723897911826</x:v>
      </x:c>
      <x:c r="Q94" s="186" t="n">
        <x:v>4.379</x:v>
      </x:c>
      <x:c r="R94" s="186" t="n">
        <x:v>2.037</x:v>
      </x:c>
      <x:c r="S94" s="186" t="n">
        <x:v>2.3419999999999996</x:v>
      </x:c>
      <x:c r="T94" s="186" t="n">
        <x:v>121.64553000000001</x:v>
      </x:c>
      <x:c r="U94" s="186" t="n">
        <x:v>98.63481</x:v>
      </x:c>
      <x:c r="V94" s="186" t="n">
        <x:v>125.651794</x:v>
      </x:c>
      <x:c r="W94" s="186" t="n">
        <x:v>68.46592</x:v>
      </x:c>
      <x:c r="X94" s="186" t="n">
        <x:v>1.0829451</x:v>
      </x:c>
      <x:c r="Y94" s="186" t="n">
        <x:v>1.9057415</x:v>
      </x:c>
      <x:c r="Z94" s="186" t="n">
        <x:v>2.22034</x:v>
      </x:c>
      <x:c r="AA94" s="186" t="n">
        <x:v>39001.2</x:v>
      </x:c>
      <x:c r="AB94" s="186" t="n">
        <x:v>7403.2</x:v>
      </x:c>
      <x:c r="AC94" s="186" t="n">
        <x:v>-23828.8</x:v>
      </x:c>
      <x:c r="AD94" s="186" t="n">
        <x:v>-29858</x:v>
      </x:c>
      <x:c r="AE94" s="186" t="n">
        <x:v>0.08875350348110642</x:v>
      </x:c>
      <x:c r="AF94" s="186" t="n">
        <x:v>0.05663233759789903</x:v>
      </x:c>
      <x:c r="AG94" s="186" t="n">
        <x:v>0.21117391304347777</x:v>
      </x:c>
      <x:c r="AH94" s="186" t="n">
        <x:v>0.20439130434782604</x:v>
      </x:c>
      <x:c r="AI94" s="186" t="n">
        <x:v>0.006782608695651948</x:v>
      </x:c>
      <x:c r="AJ94" s="186" t="n">
        <x:v>0.014927721446253317</x:v>
      </x:c>
      <x:c r="AK94" s="186" t="n">
        <x:v>-2.5063705</x:v>
      </x:c>
      <x:c r="AL94" s="186" t="n">
        <x:v>-5313.800000000003</x:v>
      </x:c>
      <x:c r="AM94" s="186" t="n">
        <x:v>6505.7</x:v>
      </x:c>
      <x:c r="AN94" s="186" t="n">
        <x:v>0.01140339597869544</x:v>
      </x:c>
      <x:c r="AO94" s="186" t="n">
        <x:v>0</x:v>
      </x:c>
      <x:c r="AP94" s="186" t="n">
        <x:v>0</x:v>
      </x:c>
    </x:row>
    <x:row r="95">
      <x:c r="A95" s="187" t="n">
        <x:v>45231</x:v>
      </x:c>
      <x:c r="B95" s="186" t="n">
        <x:v>1984</x:v>
      </x:c>
      <x:c r="C95" s="186" t="n">
        <x:v>23.5</x:v>
      </x:c>
      <x:c r="D95" s="186" t="n">
        <x:v>0.035490605427974886</x:v>
      </x:c>
      <x:c r="E95" s="186" t="n">
        <x:v>0.049107142857143016</x:v>
      </x:c>
      <x:c r="F95" s="187" t="n">
        <x:v>45200</x:v>
      </x:c>
      <x:c r="G95" s="186" t="n">
        <x:v>91.1</x:v>
      </x:c>
      <x:c r="H95" s="186" t="n">
        <x:v>2.99</x:v>
      </x:c>
      <x:c r="I95" s="186" t="n">
        <x:v>2192</x:v>
      </x:c>
      <x:c r="J95" s="186" t="n">
        <x:v>7937</x:v>
      </x:c>
      <x:c r="K95" s="186" t="n">
        <x:v>1916</x:v>
      </x:c>
      <x:c r="L95" s="186" t="n">
        <x:v>892</x:v>
      </x:c>
      <x:c r="M95" s="186" t="n">
        <x:v>22.4</x:v>
      </x:c>
      <x:c r="N95" s="186" t="n">
        <x:v>85.53571428571429</x:v>
      </x:c>
      <x:c r="O95" s="186" t="n">
        <x:v>-0.04107768515162502</x:v>
      </x:c>
      <x:c r="P95" s="186" t="n">
        <x:v>-0.030851063829787306</x:v>
      </x:c>
      <x:c r="Q95" s="186" t="n">
        <x:v>4.798095238095239</x:v>
      </x:c>
      <x:c r="R95" s="186" t="n">
        <x:v>2.4119047619047618</x:v>
      </x:c>
      <x:c r="S95" s="186" t="n">
        <x:v>2.386190476190476</x:v>
      </x:c>
      <x:c r="T95" s="186" t="n">
        <x:v>123.49714761904761</x:v>
      </x:c>
      <x:c r="U95" s="186" t="n">
        <x:v>197.88701</x:v>
      </x:c>
      <x:c r="V95" s="186" t="n">
        <x:v>205.04005</x:v>
      </x:c>
      <x:c r="W95" s="186" t="n">
        <x:v>221.80394</x:v>
      </x:c>
      <x:c r="X95" s="186" t="n">
        <x:v>1.038992</x:v>
      </x:c>
      <x:c r="Y95" s="186" t="n">
        <x:v>1.8391354</x:v>
      </x:c>
      <x:c r="Z95" s="186" t="n">
        <x:v>4.424673</x:v>
      </x:c>
      <x:c r="AA95" s="186" t="n">
        <x:v>9130.75</x:v>
      </x:c>
      <x:c r="AB95" s="186" t="n">
        <x:v>843.25</x:v>
      </x:c>
      <x:c r="AC95" s="186" t="n">
        <x:v>-27683.5</x:v>
      </x:c>
      <x:c r="AD95" s="186" t="n">
        <x:v>-30084.25</x:v>
      </x:c>
      <x:c r="AE95" s="186" t="n">
        <x:v>0.018946089327030145</x:v>
      </x:c>
      <x:c r="AF95" s="186" t="n">
        <x:v>0.007122238168359099</x:v>
      </x:c>
      <x:c r="AG95" s="186" t="n">
        <x:v>0.4190952380952391</x:v>
      </x:c>
      <x:c r="AH95" s="186" t="n">
        <x:v>0.37490476190476185</x:v>
      </x:c>
      <x:c r="AI95" s="186" t="n">
        <x:v>0.044190476190476335</x:v>
      </x:c>
      <x:c r="AJ95" s="186" t="n">
        <x:v>0.015221419307783757</x:v>
      </x:c>
      <x:c r="AK95" s="186" t="n">
        <x:v>99.2522</x:v>
      </x:c>
      <x:c r="AL95" s="186" t="n">
        <x:v>-29870.449999999997</x:v>
      </x:c>
      <x:c r="AM95" s="186" t="n">
        <x:v>-6559.95</x:v>
      </x:c>
      <x:c r="AN95" s="186" t="n">
        <x:v>0.03125000000000022</x:v>
      </x:c>
      <x:c r="AO95" s="186" t="n">
        <x:v>1</x:v>
      </x:c>
      <x:c r="AP95" s="186" t="n">
        <x:v>1</x:v>
      </x:c>
    </x:row>
    <x:row r="96">
      <x:c r="A96" s="187" t="n">
        <x:v>45261</x:v>
      </x:c>
      <x:c r="B96" s="186" t="n">
        <x:v>2026</x:v>
      </x:c>
      <x:c r="C96" s="186" t="n">
        <x:v>23.9</x:v>
      </x:c>
      <x:c r="D96" s="186" t="n">
        <x:v>0.021169354838709742</x:v>
      </x:c>
      <x:c r="E96" s="186" t="n">
        <x:v>0.017021276595744705</x:v>
      </x:c>
      <x:c r="F96" s="187" t="n">
        <x:v>45231</x:v>
      </x:c>
      <x:c r="G96" s="186" t="n">
        <x:v>83.2</x:v>
      </x:c>
      <x:c r="H96" s="186" t="n">
        <x:v>2.71</x:v>
      </x:c>
      <x:c r="I96" s="186" t="n">
        <x:v>2202</x:v>
      </x:c>
      <x:c r="J96" s="186" t="n">
        <x:v>8190</x:v>
      </x:c>
      <x:c r="K96" s="186" t="n">
        <x:v>1984</x:v>
      </x:c>
      <x:c r="L96" s="186" t="n">
        <x:v>906</x:v>
      </x:c>
      <x:c r="M96" s="186" t="n">
        <x:v>23.5</x:v>
      </x:c>
      <x:c r="N96" s="186" t="n">
        <x:v>84.42553191489361</x:v>
      </x:c>
      <x:c r="O96" s="186" t="n">
        <x:v>0.03187602368653142</x:v>
      </x:c>
      <x:c r="P96" s="186" t="n">
        <x:v>-0.08671789242590555</x:v>
      </x:c>
      <x:c r="Q96" s="186" t="n">
        <x:v>4.502857142857143</x:v>
      </x:c>
      <x:c r="R96" s="186" t="n">
        <x:v>2.198571428571429</x:v>
      </x:c>
      <x:c r="S96" s="186" t="n">
        <x:v>2.3042857142857143</x:v>
      </x:c>
      <x:c r="T96" s="186" t="n">
        <x:v>121.22211999999999</x:v>
      </x:c>
      <x:c r="U96" s="186" t="n">
        <x:v>156.69614</x:v>
      </x:c>
      <x:c r="V96" s="186" t="n">
        <x:v>143.49435</x:v>
      </x:c>
      <x:c r="W96" s="186" t="n">
        <x:v>189.5544</x:v>
      </x:c>
      <x:c r="X96" s="186" t="n">
        <x:v>0.91995746</x:v>
      </x:c>
      <x:c r="Y96" s="186" t="n">
        <x:v>1.2704175</x:v>
      </x:c>
      <x:c r="Z96" s="186" t="n">
        <x:v>3.7298956</x:v>
      </x:c>
      <x:c r="AA96" s="186" t="n">
        <x:v>74131.25</x:v>
      </x:c>
      <x:c r="AB96" s="186" t="n">
        <x:v>5789.75</x:v>
      </x:c>
      <x:c r="AC96" s="186" t="n">
        <x:v>-44535.5</x:v>
      </x:c>
      <x:c r="AD96" s="186" t="n">
        <x:v>-30753.75</x:v>
      </x:c>
      <x:c r="AE96" s="186" t="n">
        <x:v>0.15165654769771864</x:v>
      </x:c>
      <x:c r="AF96" s="186" t="n">
        <x:v>0.04360113597227588</x:v>
      </x:c>
      <x:c r="AG96" s="186" t="n">
        <x:v>-0.29523809523809597</x:v>
      </x:c>
      <x:c r="AH96" s="186" t="n">
        <x:v>-0.21333333333333293</x:v>
      </x:c>
      <x:c r="AI96" s="186" t="n">
        <x:v>-0.0819047619047617</x:v>
      </x:c>
      <x:c r="AJ96" s="186" t="n">
        <x:v>-0.018421701738937424</x:v>
      </x:c>
      <x:c r="AK96" s="186" t="n">
        <x:v>-41.190872</x:v>
      </x:c>
      <x:c r="AL96" s="186" t="n">
        <x:v>65000.5</x:v>
      </x:c>
      <x:c r="AM96" s="186" t="n">
        <x:v>4946.5</x:v>
      </x:c>
      <x:c r="AN96" s="186" t="n">
        <x:v>-0.012979167592058083</x:v>
      </x:c>
      <x:c r="AO96" s="186" t="n">
        <x:v>1</x:v>
      </x:c>
      <x:c r="AP96" s="186" t="n">
        <x:v>1</x:v>
      </x:c>
    </x:row>
    <x:row r="97">
      <x:c r="A97" s="187" t="n">
        <x:v>45292</x:v>
      </x:c>
      <x:c r="B97" s="186" t="n">
        <x:v>2034</x:v>
      </x:c>
      <x:c r="C97" s="186" t="n">
        <x:v>22.9</x:v>
      </x:c>
      <x:c r="D97" s="186" t="n">
        <x:v>0.003948667324777944</x:v>
      </x:c>
      <x:c r="E97" s="186" t="n">
        <x:v>-0.04184100418410042</x:v>
      </x:c>
      <x:c r="F97" s="187" t="n">
        <x:v>45261</x:v>
      </x:c>
      <x:c r="G97" s="186" t="n">
        <x:v>77.9</x:v>
      </x:c>
      <x:c r="H97" s="186" t="n">
        <x:v>2.53</x:v>
      </x:c>
      <x:c r="I97" s="186" t="n">
        <x:v>2182</x:v>
      </x:c>
      <x:c r="J97" s="186" t="n">
        <x:v>8400</x:v>
      </x:c>
      <x:c r="K97" s="186" t="n">
        <x:v>2026</x:v>
      </x:c>
      <x:c r="L97" s="186" t="n">
        <x:v>935</x:v>
      </x:c>
      <x:c r="M97" s="186" t="n">
        <x:v>23.9</x:v>
      </x:c>
      <x:c r="N97" s="186" t="n">
        <x:v>84.76987447698745</x:v>
      </x:c>
      <x:c r="O97" s="186" t="n">
        <x:v>0.02564102564102555</x:v>
      </x:c>
      <x:c r="P97" s="186" t="n">
        <x:v>-0.06370192307692302</x:v>
      </x:c>
      <x:c r="Q97" s="186" t="n">
        <x:v>4.0200000000000005</x:v>
      </x:c>
      <x:c r="R97" s="186" t="n">
        <x:v>1.8355000000000001</x:v>
      </x:c>
      <x:c r="S97" s="186" t="n">
        <x:v>2.1845000000000003</x:v>
      </x:c>
      <x:c r="T97" s="186" t="n">
        <x:v>119.83314</x:v>
      </x:c>
      <x:c r="U97" s="186" t="n">
        <x:v>142.27946</x:v>
      </x:c>
      <x:c r="V97" s="186" t="n">
        <x:v>136.17839</x:v>
      </x:c>
      <x:c r="W97" s="186" t="n">
        <x:v>173.9638</x:v>
      </x:c>
      <x:c r="X97" s="186" t="n">
        <x:v>0.7015963</x:v>
      </x:c>
      <x:c r="Y97" s="186" t="n">
        <x:v>1.4997425</x:v>
      </x:c>
      <x:c r="Z97" s="186" t="n">
        <x:v>3.4243047</x:v>
      </x:c>
      <x:c r="AA97" s="186" t="n">
        <x:v>106907.6</x:v>
      </x:c>
      <x:c r="AB97" s="186" t="n">
        <x:v>17125.4</x:v>
      </x:c>
      <x:c r="AC97" s="186" t="n">
        <x:v>-47689.2</x:v>
      </x:c>
      <x:c r="AD97" s="186" t="n">
        <x:v>-36195.2</x:v>
      </x:c>
      <x:c r="AE97" s="186" t="n">
        <x:v>0.2193120893524351</x:v>
      </x:c>
      <x:c r="AF97" s="186" t="n">
        <x:v>0.12675755009237397</x:v>
      </x:c>
      <x:c r="AG97" s="186" t="n">
        <x:v>-0.4828571428571422</x:v>
      </x:c>
      <x:c r="AH97" s="186" t="n">
        <x:v>-0.3630714285714287</x:v>
      </x:c>
      <x:c r="AI97" s="186" t="n">
        <x:v>-0.11978571428571394</x:v>
      </x:c>
      <x:c r="AJ97" s="186" t="n">
        <x:v>-0.011458139818046331</x:v>
      </x:c>
      <x:c r="AK97" s="186" t="n">
        <x:v>-14.416672</x:v>
      </x:c>
      <x:c r="AL97" s="186" t="n">
        <x:v>32776.350000000006</x:v>
      </x:c>
      <x:c r="AM97" s="186" t="n">
        <x:v>11335.650000000001</x:v>
      </x:c>
      <x:c r="AN97" s="186" t="n">
        <x:v>0.0040786543393172</x:v>
      </x:c>
      <x:c r="AO97" s="186" t="n">
        <x:v>1</x:v>
      </x:c>
      <x:c r="AP97" s="186" t="n">
        <x:v>0</x:v>
      </x:c>
    </x:row>
    <x:row r="98">
      <x:c r="A98" s="187" t="n">
        <x:v>45323</x:v>
      </x:c>
      <x:c r="B98" s="186" t="n">
        <x:v>2023</x:v>
      </x:c>
      <x:c r="C98" s="186" t="n">
        <x:v>22.7</x:v>
      </x:c>
      <x:c r="D98" s="186" t="n">
        <x:v>-0.005408062930186808</x:v>
      </x:c>
      <x:c r="E98" s="186" t="n">
        <x:v>-0.008733624454148492</x:v>
      </x:c>
      <x:c r="F98" s="187" t="n">
        <x:v>45292</x:v>
      </x:c>
      <x:c r="G98" s="186" t="n">
        <x:v>80.2</x:v>
      </x:c>
      <x:c r="H98" s="186" t="n">
        <x:v>3.18</x:v>
      </x:c>
      <x:c r="I98" s="186" t="n">
        <x:v>2193</x:v>
      </x:c>
      <x:c r="J98" s="186" t="n">
        <x:v>8339</x:v>
      </x:c>
      <x:c r="K98" s="186" t="n">
        <x:v>2034</x:v>
      </x:c>
      <x:c r="L98" s="186" t="n">
        <x:v>926</x:v>
      </x:c>
      <x:c r="M98" s="186" t="n">
        <x:v>22.9</x:v>
      </x:c>
      <x:c r="N98" s="186" t="n">
        <x:v>88.82096069868996</x:v>
      </x:c>
      <x:c r="O98" s="186" t="n">
        <x:v>-0.007261904761904803</x:v>
      </x:c>
      <x:c r="P98" s="186" t="n">
        <x:v>0.029525032092426073</x:v>
      </x:c>
      <x:c r="Q98" s="186" t="n">
        <x:v>4.058095238095238</x:v>
      </x:c>
      <x:c r="R98" s="186" t="n">
        <x:v>1.7919047619047621</x:v>
      </x:c>
      <x:c r="S98" s="186" t="n">
        <x:v>2.266190476190476</x:v>
      </x:c>
      <x:c r="T98" s="186" t="n">
        <x:v>120.22735714285714</x:v>
      </x:c>
      <x:c r="U98" s="186" t="n">
        <x:v>160.37366</x:v>
      </x:c>
      <x:c r="V98" s="186" t="n">
        <x:v>140.83609</x:v>
      </x:c>
      <x:c r="W98" s="186" t="n">
        <x:v>208.47115</x:v>
      </x:c>
      <x:c r="X98" s="186" t="n">
        <x:v>0.970813</x:v>
      </x:c>
      <x:c r="Y98" s="186" t="n">
        <x:v>1.5533007</x:v>
      </x:c>
      <x:c r="Z98" s="186" t="n">
        <x:v>3.8519354</x:v>
      </x:c>
      <x:c r="AA98" s="186" t="n">
        <x:v>85467.5</x:v>
      </x:c>
      <x:c r="AB98" s="186" t="n">
        <x:v>6993.5</x:v>
      </x:c>
      <x:c r="AC98" s="186" t="n">
        <x:v>-41551.25</x:v>
      </x:c>
      <x:c r="AD98" s="186" t="n">
        <x:v>-36204.5</x:v>
      </x:c>
      <x:c r="AE98" s="186" t="n">
        <x:v>0.17495444602823496</x:v>
      </x:c>
      <x:c r="AF98" s="186" t="n">
        <x:v>0.052610789464829874</x:v>
      </x:c>
      <x:c r="AG98" s="186" t="n">
        <x:v>0.03809523809523796</x:v>
      </x:c>
      <x:c r="AH98" s="186" t="n">
        <x:v>-0.04359523809523802</x:v>
      </x:c>
      <x:c r="AI98" s="186" t="n">
        <x:v>0.08169047619047554</x:v>
      </x:c>
      <x:c r="AJ98" s="186" t="n">
        <x:v>0.003289717208921905</x:v>
      </x:c>
      <x:c r="AK98" s="186" t="n">
        <x:v>18.094193</x:v>
      </x:c>
      <x:c r="AL98" s="186" t="n">
        <x:v>-21440.100000000006</x:v>
      </x:c>
      <x:c r="AM98" s="186" t="n">
        <x:v>-10131.900000000001</x:v>
      </x:c>
      <x:c r="AN98" s="186" t="n">
        <x:v>0.047789220483065</x:v>
      </x:c>
      <x:c r="AO98" s="186" t="n">
        <x:v>0</x:v>
      </x:c>
      <x:c r="AP98" s="186" t="n">
        <x:v>0</x:v>
      </x:c>
    </x:row>
    <x:row r="99">
      <x:c r="A99" s="187" t="n">
        <x:v>45352</x:v>
      </x:c>
      <x:c r="B99" s="186" t="n">
        <x:v>2158</x:v>
      </x:c>
      <x:c r="C99" s="186" t="n">
        <x:v>24.5</x:v>
      </x:c>
      <x:c r="D99" s="186" t="n">
        <x:v>0.06673257538309452</x:v>
      </x:c>
      <x:c r="E99" s="186" t="n">
        <x:v>0.07929515418502198</x:v>
      </x:c>
      <x:c r="F99" s="187" t="n">
        <x:v>45323</x:v>
      </x:c>
      <x:c r="G99" s="186" t="n">
        <x:v>83.8</x:v>
      </x:c>
      <x:c r="H99" s="186" t="n">
        <x:v>1.72</x:v>
      </x:c>
      <x:c r="I99" s="186" t="n">
        <x:v>2179</x:v>
      </x:c>
      <x:c r="J99" s="186" t="n">
        <x:v>8305</x:v>
      </x:c>
      <x:c r="K99" s="186" t="n">
        <x:v>2023</x:v>
      </x:c>
      <x:c r="L99" s="186" t="n">
        <x:v>894</x:v>
      </x:c>
      <x:c r="M99" s="186" t="n">
        <x:v>22.7</x:v>
      </x:c>
      <x:c r="N99" s="186" t="n">
        <x:v>89.11894273127754</x:v>
      </x:c>
      <x:c r="O99" s="186" t="n">
        <x:v>-0.004077227485310031</x:v>
      </x:c>
      <x:c r="P99" s="186" t="n">
        <x:v>0.0448877805486283</x:v>
      </x:c>
      <x:c r="Q99" s="186" t="n">
        <x:v>4.2075000000000005</x:v>
      </x:c>
      <x:c r="R99" s="186" t="n">
        <x:v>1.925</x:v>
      </x:c>
      <x:c r="S99" s="186" t="n">
        <x:v>2.2824999999999998</x:v>
      </x:c>
      <x:c r="T99" s="186" t="n">
        <x:v>121.06594</x:v>
      </x:c>
      <x:c r="U99" s="186" t="n">
        <x:v>146.59818</x:v>
      </x:c>
      <x:c r="V99" s="186" t="n">
        <x:v>140.24467</x:v>
      </x:c>
      <x:c r="W99" s="186" t="n">
        <x:v>171.18118</x:v>
      </x:c>
      <x:c r="X99" s="186" t="n">
        <x:v>0.77209973</x:v>
      </x:c>
      <x:c r="Y99" s="186" t="n">
        <x:v>1.7208663</x:v>
      </x:c>
      <x:c r="Z99" s="186" t="n">
        <x:v>3.39593</x:v>
      </x:c>
      <x:c r="AA99" s="186" t="n">
        <x:v>52048</x:v>
      </x:c>
      <x:c r="AB99" s="186" t="n">
        <x:v>-1081.5</x:v>
      </x:c>
      <x:c r="AC99" s="186" t="n">
        <x:v>-35417.75</x:v>
      </x:c>
      <x:c r="AD99" s="186" t="n">
        <x:v>-34120.5</x:v>
      </x:c>
      <x:c r="AE99" s="186" t="n">
        <x:v>0.1241135938093067</x:v>
      </x:c>
      <x:c r="AF99" s="186" t="n">
        <x:v>-0.006196433500891774</x:v>
      </x:c>
      <x:c r="AG99" s="186" t="n">
        <x:v>0.14940476190476204</x:v>
      </x:c>
      <x:c r="AH99" s="186" t="n">
        <x:v>0.13309523809523793</x:v>
      </x:c>
      <x:c r="AI99" s="186" t="n">
        <x:v>0.016309523809523885</x:v>
      </x:c>
      <x:c r="AJ99" s="186" t="n">
        <x:v>0.006974975388891025</x:v>
      </x:c>
      <x:c r="AK99" s="186" t="n">
        <x:v>-13.775482</x:v>
      </x:c>
      <x:c r="AL99" s="186" t="n">
        <x:v>-33419.5</x:v>
      </x:c>
      <x:c r="AM99" s="186" t="n">
        <x:v>-8075</x:v>
      </x:c>
      <x:c r="AN99" s="186" t="n">
        <x:v>0.0033548616254943653</x:v>
      </x:c>
      <x:c r="AO99" s="186" t="n">
        <x:v>1</x:v>
      </x:c>
      <x:c r="AP99" s="186" t="n">
        <x:v>1</x:v>
      </x:c>
    </x:row>
    <x:row r="100">
      <x:c r="A100" s="187" t="n">
        <x:v>45383</x:v>
      </x:c>
      <x:c r="B100" s="186" t="n">
        <x:v>2331</x:v>
      </x:c>
      <x:c r="C100" s="186" t="n">
        <x:v>27.5</x:v>
      </x:c>
      <x:c r="D100" s="186" t="n">
        <x:v>0.08016682113067652</x:v>
      </x:c>
      <x:c r="E100" s="186" t="n">
        <x:v>0.12244897959183665</x:v>
      </x:c>
      <x:c r="F100" s="187" t="n">
        <x:v>45352</x:v>
      </x:c>
      <x:c r="G100" s="186" t="n">
        <x:v>85.4</x:v>
      </x:c>
      <x:c r="H100" s="186" t="n">
        <x:v>1.5</x:v>
      </x:c>
      <x:c r="I100" s="186" t="n">
        <x:v>2226</x:v>
      </x:c>
      <x:c r="J100" s="186" t="n">
        <x:v>8689</x:v>
      </x:c>
      <x:c r="K100" s="186" t="n">
        <x:v>2158</x:v>
      </x:c>
      <x:c r="L100" s="186" t="n">
        <x:v>909</x:v>
      </x:c>
      <x:c r="M100" s="186" t="n">
        <x:v>24.5</x:v>
      </x:c>
      <x:c r="N100" s="186" t="n">
        <x:v>88.08163265306122</x:v>
      </x:c>
      <x:c r="O100" s="186" t="n">
        <x:v>0.046237206502107275</x:v>
      </x:c>
      <x:c r="P100" s="186" t="n">
        <x:v>0.019093078758950055</x:v>
      </x:c>
      <x:c r="Q100" s="186" t="n">
        <x:v>4.2085</x:v>
      </x:c>
      <x:c r="R100" s="186" t="n">
        <x:v>1.8969999999999998</x:v>
      </x:c>
      <x:c r="S100" s="186" t="n">
        <x:v>2.3114999999999997</x:v>
      </x:c>
      <x:c r="T100" s="186" t="n">
        <x:v>120.65883333333333</x:v>
      </x:c>
      <x:c r="U100" s="186" t="n">
        <x:v>133.21317</x:v>
      </x:c>
      <x:c r="V100" s="186" t="n">
        <x:v>121.53968</x:v>
      </x:c>
      <x:c r="W100" s="186" t="n">
        <x:v>151.814</x:v>
      </x:c>
      <x:c r="X100" s="186" t="n">
        <x:v>0.8790263</x:v>
      </x:c>
      <x:c r="Y100" s="186" t="n">
        <x:v>1.5797886</x:v>
      </x:c>
      <x:c r="Z100" s="186" t="n">
        <x:v>2.9444308</x:v>
      </x:c>
      <x:c r="AA100" s="186" t="n">
        <x:v>117138</x:v>
      </x:c>
      <x:c r="AB100" s="186" t="n">
        <x:v>20716.8</x:v>
      </x:c>
      <x:c r="AC100" s="186" t="n">
        <x:v>-46742.8</x:v>
      </x:c>
      <x:c r="AD100" s="186" t="n">
        <x:v>-36044.8</x:v>
      </x:c>
      <x:c r="AE100" s="186" t="n">
        <x:v>0.2358765926612001</x:v>
      </x:c>
      <x:c r="AF100" s="186" t="n">
        <x:v>0.13686698360715902</x:v>
      </x:c>
      <x:c r="AG100" s="186" t="n">
        <x:v>0.0009999999999994458</x:v>
      </x:c>
      <x:c r="AH100" s="186" t="n">
        <x:v>-0.028000000000000247</x:v>
      </x:c>
      <x:c r="AI100" s="186" t="n">
        <x:v>0.028999999999999915</x:v>
      </x:c>
      <x:c r="AJ100" s="186" t="n">
        <x:v>-0.0033626853817569913</x:v>
      </x:c>
      <x:c r="AK100" s="186" t="n">
        <x:v>-13.38501</x:v>
      </x:c>
      <x:c r="AL100" s="186" t="n">
        <x:v>65090</x:v>
      </x:c>
      <x:c r="AM100" s="186" t="n">
        <x:v>21798.3</x:v>
      </x:c>
      <x:c r="AN100" s="186" t="n">
        <x:v>-0.011639613828724915</x:v>
      </x:c>
      <x:c r="AO100" s="186" t="n">
        <x:v>1</x:v>
      </x:c>
      <x:c r="AP100" s="186" t="n">
        <x:v>1</x:v>
      </x:c>
    </x:row>
    <x:row r="101">
      <x:c r="A101" s="187" t="n">
        <x:v>45413</x:v>
      </x:c>
      <x:c r="B101" s="186" t="n">
        <x:v>2351</x:v>
      </x:c>
      <x:c r="C101" s="186" t="n">
        <x:v>29.4</x:v>
      </x:c>
      <x:c r="D101" s="186" t="n">
        <x:v>0.008580008580008514</x:v>
      </x:c>
      <x:c r="E101" s="186" t="n">
        <x:v>0.06909090909090909</x:v>
      </x:c>
      <x:c r="F101" s="187" t="n">
        <x:v>45383</x:v>
      </x:c>
      <x:c r="G101" s="186" t="n">
        <x:v>90.1</x:v>
      </x:c>
      <x:c r="H101" s="186" t="n">
        <x:v>1.6</x:v>
      </x:c>
      <x:c r="I101" s="186" t="n">
        <x:v>2506</x:v>
      </x:c>
      <x:c r="J101" s="186" t="n">
        <x:v>9464</x:v>
      </x:c>
      <x:c r="K101" s="186" t="n">
        <x:v>2331</x:v>
      </x:c>
      <x:c r="L101" s="186" t="n">
        <x:v>940</x:v>
      </x:c>
      <x:c r="M101" s="186" t="n">
        <x:v>27.5</x:v>
      </x:c>
      <x:c r="N101" s="186" t="n">
        <x:v>84.76363636363637</x:v>
      </x:c>
      <x:c r="O101" s="186" t="n">
        <x:v>0.08919323282310976</x:v>
      </x:c>
      <x:c r="P101" s="186" t="n">
        <x:v>0.05503512880562056</x:v>
      </x:c>
      <x:c r="Q101" s="186" t="n">
        <x:v>4.539090909090909</x:v>
      </x:c>
      <x:c r="R101" s="186" t="n">
        <x:v>2.145</x:v>
      </x:c>
      <x:c r="S101" s="186" t="n">
        <x:v>2.394090909090909</x:v>
      </x:c>
      <x:c r="T101" s="186" t="n">
        <x:v>122.14281363636364</x:v>
      </x:c>
      <x:c r="U101" s="186" t="n">
        <x:v>163.94734</x:v>
      </x:c>
      <x:c r="V101" s="186" t="n">
        <x:v>170.698</x:v>
      </x:c>
      <x:c r="W101" s="186" t="n">
        <x:v>165.99069</x:v>
      </x:c>
      <x:c r="X101" s="186" t="n">
        <x:v>1.0442377</x:v>
      </x:c>
      <x:c r="Y101" s="186" t="n">
        <x:v>1.8289982</x:v>
      </x:c>
      <x:c r="Z101" s="186" t="n">
        <x:v>4.018733</x:v>
      </x:c>
      <x:c r="AA101" s="186" t="n">
        <x:v>141421.75</x:v>
      </x:c>
      <x:c r="AB101" s="186" t="n">
        <x:v>37378.75</x:v>
      </x:c>
      <x:c r="AC101" s="186" t="n">
        <x:v>-38352.25</x:v>
      </x:c>
      <x:c r="AD101" s="186" t="n">
        <x:v>-40785</x:v>
      </x:c>
      <x:c r="AE101" s="186" t="n">
        <x:v>0.27762908854862467</x:v>
      </x:c>
      <x:c r="AF101" s="186" t="n">
        <x:v>0.2156125944188189</x:v>
      </x:c>
      <x:c r="AG101" s="186" t="n">
        <x:v>0.33059090909090916</x:v>
      </x:c>
      <x:c r="AH101" s="186" t="n">
        <x:v>0.24800000000000022</x:v>
      </x:c>
      <x:c r="AI101" s="186" t="n">
        <x:v>0.08259090909090938</x:v>
      </x:c>
      <x:c r="AJ101" s="186" t="n">
        <x:v>0.012298977721180604</x:v>
      </x:c>
      <x:c r="AK101" s="186" t="n">
        <x:v>30.734177</x:v>
      </x:c>
      <x:c r="AL101" s="186" t="n">
        <x:v>24283.75</x:v>
      </x:c>
      <x:c r="AM101" s="186" t="n">
        <x:v>16661.95</x:v>
      </x:c>
      <x:c r="AN101" s="186" t="n">
        <x:v>-0.037669559356306226</x:v>
      </x:c>
      <x:c r="AO101" s="186" t="n">
        <x:v>1</x:v>
      </x:c>
      <x:c r="AP101" s="186" t="n">
        <x:v>1</x:v>
      </x:c>
    </x:row>
    <x:row r="102">
      <x:c r="A102" s="187" t="n">
        <x:v>45444</x:v>
      </x:c>
      <x:c r="B102" s="186" t="n">
        <x:v>2326</x:v>
      </x:c>
      <x:c r="C102" s="186" t="n">
        <x:v>29.6</x:v>
      </x:c>
      <x:c r="D102" s="186" t="n">
        <x:v>-0.01063377286261169</x:v>
      </x:c>
      <x:c r="E102" s="186" t="n">
        <x:v>0.006802721088435382</x:v>
      </x:c>
      <x:c r="F102" s="187" t="n">
        <x:v>45413</x:v>
      </x:c>
      <x:c r="G102" s="186" t="n">
        <x:v>82</x:v>
      </x:c>
      <x:c r="H102" s="186" t="n">
        <x:v>2.13</x:v>
      </x:c>
      <x:c r="I102" s="186" t="n">
        <x:v>2565</x:v>
      </x:c>
      <x:c r="J102" s="186" t="n">
        <x:v>10139</x:v>
      </x:c>
      <x:c r="K102" s="186" t="n">
        <x:v>2351</x:v>
      </x:c>
      <x:c r="L102" s="186" t="n">
        <x:v>1015</x:v>
      </x:c>
      <x:c r="M102" s="186" t="n">
        <x:v>29.4</x:v>
      </x:c>
      <x:c r="N102" s="186" t="n">
        <x:v>79.96598639455783</x:v>
      </x:c>
      <x:c r="O102" s="186" t="n">
        <x:v>0.0713229078613693</x:v>
      </x:c>
      <x:c r="P102" s="186" t="n">
        <x:v>-0.08990011098779127</x:v>
      </x:c>
      <x:c r="Q102" s="186" t="n">
        <x:v>4.482272727272727</x:v>
      </x:c>
      <x:c r="R102" s="186" t="n">
        <x:v>2.148181818181818</x:v>
      </x:c>
      <x:c r="S102" s="186" t="n">
        <x:v>2.334090909090909</x:v>
      </x:c>
      <x:c r="T102" s="186" t="n">
        <x:v>121.8583409090909</x:v>
      </x:c>
      <x:c r="U102" s="186" t="n">
        <x:v>130.52187</x:v>
      </x:c>
      <x:c r="V102" s="186" t="n">
        <x:v>131.44713</x:v>
      </x:c>
      <x:c r="W102" s="186" t="n">
        <x:v>133.1543</x:v>
      </x:c>
      <x:c r="X102" s="186" t="n">
        <x:v>0.9358943</x:v>
      </x:c>
      <x:c r="Y102" s="186" t="n">
        <x:v>1.7188647</x:v>
      </x:c>
      <x:c r="Z102" s="186" t="n">
        <x:v>3.1074138</x:v>
      </x:c>
      <x:c r="AA102" s="186" t="n">
        <x:v>137782.4</x:v>
      </x:c>
      <x:c r="AB102" s="186" t="n">
        <x:v>36340.2</x:v>
      </x:c>
      <x:c r="AC102" s="186" t="n">
        <x:v>-34014</x:v>
      </x:c>
      <x:c r="AD102" s="186" t="n">
        <x:v>-41958.2</x:v>
      </x:c>
      <x:c r="AE102" s="186" t="n">
        <x:v>0.2667398039205279</x:v>
      </x:c>
      <x:c r="AF102" s="186" t="n">
        <x:v>0.2088720736143816</x:v>
      </x:c>
      <x:c r="AG102" s="186" t="n">
        <x:v>-0.05681818181818166</x:v>
      </x:c>
      <x:c r="AH102" s="186" t="n">
        <x:v>0.0031818181818179525</x:v>
      </x:c>
      <x:c r="AI102" s="186" t="n">
        <x:v>-0.06000000000000005</x:v>
      </x:c>
      <x:c r="AJ102" s="186" t="n">
        <x:v>-0.002329017310176429</x:v>
      </x:c>
      <x:c r="AK102" s="186" t="n">
        <x:v>-33.425476</x:v>
      </x:c>
      <x:c r="AL102" s="186" t="n">
        <x:v>-3639.350000000006</x:v>
      </x:c>
      <x:c r="AM102" s="186" t="n">
        <x:v>-1038.550000000003</x:v>
      </x:c>
      <x:c r="AN102" s="186" t="n">
        <x:v>-0.05660033211053617</x:v>
      </x:c>
      <x:c r="AO102" s="186" t="n">
        <x:v>0</x:v>
      </x:c>
      <x:c r="AP102" s="186" t="n">
        <x:v>1</x:v>
      </x:c>
    </x:row>
    <x:row r="103">
      <x:c r="A103" s="187" t="n">
        <x:v>45474</x:v>
      </x:c>
      <x:c r="B103" s="186" t="n">
        <x:v>2398</x:v>
      </x:c>
      <x:c r="C103" s="186" t="n">
        <x:v>29.8</x:v>
      </x:c>
      <x:c r="D103" s="186" t="n">
        <x:v>0.03095442820292349</x:v>
      </x:c>
      <x:c r="E103" s="186" t="n">
        <x:v>0.006756756756756799</x:v>
      </x:c>
      <x:c r="F103" s="187" t="n">
        <x:v>45444</x:v>
      </x:c>
      <x:c r="G103" s="186" t="n">
        <x:v>82.6</x:v>
      </x:c>
      <x:c r="H103" s="186" t="n">
        <x:v>2.51</x:v>
      </x:c>
      <x:c r="I103" s="186" t="n">
        <x:v>2498</x:v>
      </x:c>
      <x:c r="J103" s="186" t="n">
        <x:v>9648</x:v>
      </x:c>
      <x:c r="K103" s="186" t="n">
        <x:v>2326</x:v>
      </x:c>
      <x:c r="L103" s="186" t="n">
        <x:v>985</x:v>
      </x:c>
      <x:c r="M103" s="186" t="n">
        <x:v>29.6</x:v>
      </x:c>
      <x:c r="N103" s="186" t="n">
        <x:v>78.58108108108108</x:v>
      </x:c>
      <x:c r="O103" s="186" t="n">
        <x:v>-0.04842686655488704</x:v>
      </x:c>
      <x:c r="P103" s="186" t="n">
        <x:v>0.007317073170731714</x:v>
      </x:c>
      <x:c r="Q103" s="186" t="n">
        <x:v>4.3052631578947365</x:v>
      </x:c>
      <x:c r="R103" s="186" t="n">
        <x:v>2.05</x:v>
      </x:c>
      <x:c r="S103" s="186" t="n">
        <x:v>2.255263157894737</x:v>
      </x:c>
      <x:c r="T103" s="186" t="n">
        <x:v>123.70947894736841</x:v>
      </x:c>
      <x:c r="U103" s="186" t="n">
        <x:v>113.0928</x:v>
      </x:c>
      <x:c r="V103" s="186" t="n">
        <x:v>125.71303</x:v>
      </x:c>
      <x:c r="W103" s="186" t="n">
        <x:v>109.73841</x:v>
      </x:c>
      <x:c r="X103" s="186" t="n">
        <x:v>0.8939893</x:v>
      </x:c>
      <x:c r="Y103" s="186" t="n">
        <x:v>1.4709612</x:v>
      </x:c>
      <x:c r="Z103" s="186" t="n">
        <x:v>2.6883085</x:v>
      </x:c>
      <x:c r="AA103" s="186" t="n">
        <x:v>156021.75</x:v>
      </x:c>
      <x:c r="AB103" s="186" t="n">
        <x:v>31446.5</x:v>
      </x:c>
      <x:c r="AC103" s="186" t="n">
        <x:v>-41463.5</x:v>
      </x:c>
      <x:c r="AD103" s="186" t="n">
        <x:v>-40822.75</x:v>
      </x:c>
      <x:c r="AE103" s="186" t="n">
        <x:v>0.35045662088066865</x:v>
      </x:c>
      <x:c r="AF103" s="186" t="n">
        <x:v>0.18009938080017565</x:v>
      </x:c>
      <x:c r="AG103" s="186" t="n">
        <x:v>-0.17700956937799095</x:v>
      </x:c>
      <x:c r="AH103" s="186" t="n">
        <x:v>-0.09818181818181815</x:v>
      </x:c>
      <x:c r="AI103" s="186" t="n">
        <x:v>-0.07882775119617191</x:v>
      </x:c>
      <x:c r="AJ103" s="186" t="n">
        <x:v>0.015190901373411059</x:v>
      </x:c>
      <x:c r="AK103" s="186" t="n">
        <x:v>-17.42907</x:v>
      </x:c>
      <x:c r="AL103" s="186" t="n">
        <x:v>18239.350000000006</x:v>
      </x:c>
      <x:c r="AM103" s="186" t="n">
        <x:v>-4893.699999999997</x:v>
      </x:c>
      <x:c r="AN103" s="186" t="n">
        <x:v>-0.017318679802729275</x:v>
      </x:c>
      <x:c r="AO103" s="186" t="n">
        <x:v>1</x:v>
      </x:c>
      <x:c r="AP103" s="186" t="n">
        <x:v>1</x:v>
      </x:c>
    </x:row>
    <x:row r="104">
      <x:c r="A104" s="187" t="n">
        <x:v>45505</x:v>
      </x:c>
      <x:c r="B104" s="186" t="n">
        <x:v>2470</x:v>
      </x:c>
      <x:c r="C104" s="186" t="n">
        <x:v>28.5</x:v>
      </x:c>
      <x:c r="D104" s="186" t="n">
        <x:v>0.030025020850708906</x:v>
      </x:c>
      <x:c r="E104" s="186" t="n">
        <x:v>-0.043624161073825496</x:v>
      </x:c>
      <x:c r="F104" s="187" t="n">
        <x:v>45474</x:v>
      </x:c>
      <x:c r="G104" s="186" t="n">
        <x:v>85.3</x:v>
      </x:c>
      <x:c r="H104" s="186" t="n">
        <x:v>2.08</x:v>
      </x:c>
      <x:c r="I104" s="186" t="n">
        <x:v>2349</x:v>
      </x:c>
      <x:c r="J104" s="186" t="n">
        <x:v>9385</x:v>
      </x:c>
      <x:c r="K104" s="186" t="n">
        <x:v>2398</x:v>
      </x:c>
      <x:c r="L104" s="186" t="n">
        <x:v>979</x:v>
      </x:c>
      <x:c r="M104" s="186" t="n">
        <x:v>29.8</x:v>
      </x:c>
      <x:c r="N104" s="186" t="n">
        <x:v>80.46979865771812</x:v>
      </x:c>
      <x:c r="O104" s="186" t="n">
        <x:v>-0.02725953565505801</x:v>
      </x:c>
      <x:c r="P104" s="186" t="n">
        <x:v>0.032687651331719136</x:v>
      </x:c>
      <x:c r="Q104" s="186" t="n">
        <x:v>4.248636363636364</x:v>
      </x:c>
      <x:c r="R104" s="186" t="n">
        <x:v>1.9740909090909091</x:v>
      </x:c>
      <x:c r="S104" s="186" t="n">
        <x:v>2.274545454545455</x:v>
      </x:c>
      <x:c r="T104" s="186" t="n">
        <x:v>123.38243636363636</x:v>
      </x:c>
      <x:c r="U104" s="186" t="n">
        <x:v>92.394875</x:v>
      </x:c>
      <x:c r="V104" s="186" t="n">
        <x:v>95.16028</x:v>
      </x:c>
      <x:c r="W104" s="186" t="n">
        <x:v>95.1103</x:v>
      </x:c>
      <x:c r="X104" s="186" t="n">
        <x:v>0.7328489</x:v>
      </x:c>
      <x:c r="Y104" s="186" t="n">
        <x:v>0.9915014</x:v>
      </x:c>
      <x:c r="Z104" s="186" t="n">
        <x:v>2.093854</x:v>
      </x:c>
      <x:c r="AA104" s="186" t="n">
        <x:v>163918.5</x:v>
      </x:c>
      <x:c r="AB104" s="186" t="n">
        <x:v>32872</x:v>
      </x:c>
      <x:c r="AC104" s="186" t="n">
        <x:v>-52917.25</x:v>
      </x:c>
      <x:c r="AD104" s="186" t="n">
        <x:v>-39393.5</x:v>
      </x:c>
      <x:c r="AE104" s="186" t="n">
        <x:v>0.3098594595974171</x:v>
      </x:c>
      <x:c r="AF104" s="186" t="n">
        <x:v>0.20440018268329865</x:v>
      </x:c>
      <x:c r="AG104" s="186" t="n">
        <x:v>-0.05662679425837247</x:v>
      </x:c>
      <x:c r="AH104" s="186" t="n">
        <x:v>-0.0759090909090907</x:v>
      </x:c>
      <x:c r="AI104" s="186" t="n">
        <x:v>0.01928229665071779</x:v>
      </x:c>
      <x:c r="AJ104" s="186" t="n">
        <x:v>-0.0026436339924379437</x:v>
      </x:c>
      <x:c r="AK104" s="186" t="n">
        <x:v>-20.697922</x:v>
      </x:c>
      <x:c r="AL104" s="186" t="n">
        <x:v>7896.75</x:v>
      </x:c>
      <x:c r="AM104" s="186" t="n">
        <x:v>1425.5</x:v>
      </x:c>
      <x:c r="AN104" s="186" t="n">
        <x:v>0.024035270966662248</x:v>
      </x:c>
      <x:c r="AO104" s="186" t="n">
        <x:v>1</x:v>
      </x:c>
      <x:c r="AP104" s="186" t="n">
        <x:v>0</x:v>
      </x:c>
    </x:row>
    <x:row r="105">
      <x:c r="A105" s="187" t="n">
        <x:v>45536</x:v>
      </x:c>
      <x:c r="B105" s="186" t="n">
        <x:v>2571</x:v>
      </x:c>
      <x:c r="C105" s="186" t="n">
        <x:v>30.1</x:v>
      </x:c>
      <x:c r="D105" s="186" t="n">
        <x:v>0.04089068825910935</x:v>
      </x:c>
      <x:c r="E105" s="186" t="n">
        <x:v>0.056140350877192935</x:v>
      </x:c>
      <x:c r="F105" s="187" t="n">
        <x:v>45505</x:v>
      </x:c>
      <x:c r="G105" s="186" t="n">
        <x:v>80.9</x:v>
      </x:c>
      <x:c r="H105" s="186" t="n">
        <x:v>1.99</x:v>
      </x:c>
      <x:c r="I105" s="186" t="n">
        <x:v>2344</x:v>
      </x:c>
      <x:c r="J105" s="186" t="n">
        <x:v>8972</x:v>
      </x:c>
      <x:c r="K105" s="186" t="n">
        <x:v>2470</x:v>
      </x:c>
      <x:c r="L105" s="186" t="n">
        <x:v>945</x:v>
      </x:c>
      <x:c r="M105" s="186" t="n">
        <x:v>28.5</x:v>
      </x:c>
      <x:c r="N105" s="186" t="n">
        <x:v>86.66666666666667</x:v>
      </x:c>
      <x:c r="O105" s="186" t="n">
        <x:v>-0.044006393180607395</x:v>
      </x:c>
      <x:c r="P105" s="186" t="n">
        <x:v>-0.05158264947245006</x:v>
      </x:c>
      <x:c r="Q105" s="186" t="n">
        <x:v>3.8709090909090906</x:v>
      </x:c>
      <x:c r="R105" s="186" t="n">
        <x:v>1.760909090909091</x:v>
      </x:c>
      <x:c r="S105" s="186" t="n">
        <x:v>2.11</x:v>
      </x:c>
      <x:c r="T105" s="186" t="n">
        <x:v>122.61374090909091</x:v>
      </x:c>
      <x:c r="U105" s="186" t="n">
        <x:v>140.97507</x:v>
      </x:c>
      <x:c r="V105" s="186" t="n">
        <x:v>124.804985</x:v>
      </x:c>
      <x:c r="W105" s="186" t="n">
        <x:v>165.17947</x:v>
      </x:c>
      <x:c r="X105" s="186" t="n">
        <x:v>0.63932145</x:v>
      </x:c>
      <x:c r="Y105" s="186" t="n">
        <x:v>1.5508292</x:v>
      </x:c>
      <x:c r="Z105" s="186" t="n">
        <x:v>3.209267</x:v>
      </x:c>
      <x:c r="AA105" s="186" t="n">
        <x:v>174932.2</x:v>
      </x:c>
      <x:c r="AB105" s="186" t="n">
        <x:v>26991.8</x:v>
      </x:c>
      <x:c r="AC105" s="186" t="n">
        <x:v>-55444.8</x:v>
      </x:c>
      <x:c r="AD105" s="186" t="n">
        <x:v>-34014.8</x:v>
      </x:c>
      <x:c r="AE105" s="186" t="n">
        <x:v>0.34205492027440487</x:v>
      </x:c>
      <x:c r="AF105" s="186" t="n">
        <x:v>0.1840686931318309</x:v>
      </x:c>
      <x:c r="AG105" s="186" t="n">
        <x:v>-0.37772727272727336</x:v>
      </x:c>
      <x:c r="AH105" s="186" t="n">
        <x:v>-0.21318181818181814</x:v>
      </x:c>
      <x:c r="AI105" s="186" t="n">
        <x:v>-0.164545454545455</x:v>
      </x:c>
      <x:c r="AJ105" s="186" t="n">
        <x:v>-0.006230185407264388</x:v>
      </x:c>
      <x:c r="AK105" s="186" t="n">
        <x:v>48.580193</x:v>
      </x:c>
      <x:c r="AL105" s="186" t="n">
        <x:v>11013.700000000012</x:v>
      </x:c>
      <x:c r="AM105" s="186" t="n">
        <x:v>-5880.200000000001</x:v>
      </x:c>
      <x:c r="AN105" s="186" t="n">
        <x:v>0.07700861829302208</x:v>
      </x:c>
      <x:c r="AO105" s="186" t="n">
        <x:v>1</x:v>
      </x:c>
      <x:c r="AP105" s="186" t="n">
        <x:v>1</x:v>
      </x:c>
    </x:row>
    <x:row r="106">
      <x:c r="A106" s="187" t="n">
        <x:v>45566</x:v>
      </x:c>
      <x:c r="B106" s="186" t="n">
        <x:v>2690</x:v>
      </x:c>
      <x:c r="C106" s="186" t="n">
        <x:v>32.4</x:v>
      </x:c>
      <x:c r="D106" s="186" t="n">
        <x:v>0.04628549202644883</x:v>
      </x:c>
      <x:c r="E106" s="186" t="n">
        <x:v>0.07641196013289031</x:v>
      </x:c>
      <x:c r="F106" s="187" t="n">
        <x:v>45536</x:v>
      </x:c>
      <x:c r="G106" s="186" t="n">
        <x:v>74.3</x:v>
      </x:c>
      <x:c r="H106" s="186" t="n">
        <x:v>2.25</x:v>
      </x:c>
      <x:c r="I106" s="186" t="n">
        <x:v>2450</x:v>
      </x:c>
      <x:c r="J106" s="186" t="n">
        <x:v>9237</x:v>
      </x:c>
      <x:c r="K106" s="186" t="n">
        <x:v>2571</x:v>
      </x:c>
      <x:c r="L106" s="186" t="n">
        <x:v>967</x:v>
      </x:c>
      <x:c r="M106" s="186" t="n">
        <x:v>30.1</x:v>
      </x:c>
      <x:c r="N106" s="186" t="n">
        <x:v>85.41528239202657</x:v>
      </x:c>
      <x:c r="O106" s="186" t="n">
        <x:v>0.029536335265269775</x:v>
      </x:c>
      <x:c r="P106" s="186" t="n">
        <x:v>-0.08158220024721885</x:v>
      </x:c>
      <x:c r="Q106" s="186" t="n">
        <x:v>3.7235</x:v>
      </x:c>
      <x:c r="R106" s="186" t="n">
        <x:v>1.616</x:v>
      </x:c>
      <x:c r="S106" s="186" t="n">
        <x:v>2.1075</x:v>
      </x:c>
      <x:c r="T106" s="186" t="n">
        <x:v>121.88485499999999</x:v>
      </x:c>
      <x:c r="U106" s="186" t="n">
        <x:v>130.35878</x:v>
      </x:c>
      <x:c r="V106" s="186" t="n">
        <x:v>134.03705</x:v>
      </x:c>
      <x:c r="W106" s="186" t="n">
        <x:v>135.55461</x:v>
      </x:c>
      <x:c r="X106" s="186" t="n">
        <x:v>0.7676794</x:v>
      </x:c>
      <x:c r="Y106" s="186" t="n">
        <x:v>1.4442782</x:v>
      </x:c>
      <x:c r="Z106" s="186" t="n">
        <x:v>2.9731312</x:v>
      </x:c>
      <x:c r="AA106" s="186" t="n">
        <x:v>204482.25</x:v>
      </x:c>
      <x:c r="AB106" s="186" t="n">
        <x:v>33478.5</x:v>
      </x:c>
      <x:c r="AC106" s="186" t="n">
        <x:v>-75655</x:v>
      </x:c>
      <x:c r="AD106" s="186" t="n">
        <x:v>-34001.75</x:v>
      </x:c>
      <x:c r="AE106" s="186" t="n">
        <x:v>0.38462255733100287</x:v>
      </x:c>
      <x:c r="AF106" s="186" t="n">
        <x:v>0.24073177756951866</x:v>
      </x:c>
      <x:c r="AG106" s="186" t="n">
        <x:v>-0.1474090909090906</x:v>
      </x:c>
      <x:c r="AH106" s="186" t="n">
        <x:v>-0.14490909090909088</x:v>
      </x:c>
      <x:c r="AI106" s="186" t="n">
        <x:v>-0.0024999999999999467</x:v>
      </x:c>
      <x:c r="AJ106" s="186" t="n">
        <x:v>-0.005944569537531197</x:v>
      </x:c>
      <x:c r="AK106" s="186" t="n">
        <x:v>-10.616287</x:v>
      </x:c>
      <x:c r="AL106" s="186" t="n">
        <x:v>29550.04999999999</x:v>
      </x:c>
      <x:c r="AM106" s="186" t="n">
        <x:v>6486.700000000001</x:v>
      </x:c>
      <x:c r="AN106" s="186" t="n">
        <x:v>-0.014439049322770403</x:v>
      </x:c>
      <x:c r="AO106" s="186" t="n">
        <x:v>1</x:v>
      </x:c>
      <x:c r="AP106" s="186" t="n">
        <x:v>1</x:v>
      </x:c>
    </x:row>
    <x:row r="107">
      <x:c r="A107" s="187" t="n">
        <x:v>45597</x:v>
      </x:c>
      <x:c r="B107" s="186" t="n">
        <x:v>2651</x:v>
      </x:c>
      <x:c r="C107" s="186" t="n">
        <x:v>31.1</x:v>
      </x:c>
      <x:c r="D107" s="186" t="n">
        <x:v>-0.014498141263940556</x:v>
      </x:c>
      <x:c r="E107" s="186" t="n">
        <x:v>-0.04012345679012341</x:v>
      </x:c>
      <x:c r="F107" s="187" t="n">
        <x:v>45566</x:v>
      </x:c>
      <x:c r="G107" s="186" t="n">
        <x:v>75.7</x:v>
      </x:c>
      <x:c r="H107" s="186" t="n">
        <x:v>2.21</x:v>
      </x:c>
      <x:c r="I107" s="186" t="n">
        <x:v>2596</x:v>
      </x:c>
      <x:c r="J107" s="186" t="n">
        <x:v>9534</x:v>
      </x:c>
      <x:c r="K107" s="186" t="n">
        <x:v>2690</x:v>
      </x:c>
      <x:c r="L107" s="186" t="n">
        <x:v>999</x:v>
      </x:c>
      <x:c r="M107" s="186" t="n">
        <x:v>32.4</x:v>
      </x:c>
      <x:c r="N107" s="186" t="n">
        <x:v>83.0246913580247</x:v>
      </x:c>
      <x:c r="O107" s="186" t="n">
        <x:v>0.032153296524845665</x:v>
      </x:c>
      <x:c r="P107" s="186" t="n">
        <x:v>0.018842530282638048</x:v>
      </x:c>
      <x:c r="Q107" s="186" t="n">
        <x:v>4.095454545454545</x:v>
      </x:c>
      <x:c r="R107" s="186" t="n">
        <x:v>1.8095454545454546</x:v>
      </x:c>
      <x:c r="S107" s="186" t="n">
        <x:v>2.2859090909090907</x:v>
      </x:c>
      <x:c r="T107" s="186" t="n">
        <x:v>123.5952909090909</x:v>
      </x:c>
      <x:c r="U107" s="186" t="n">
        <x:v>130.68921</x:v>
      </x:c>
      <x:c r="V107" s="186" t="n">
        <x:v>128.4097</x:v>
      </x:c>
      <x:c r="W107" s="186" t="n">
        <x:v>142.81839</x:v>
      </x:c>
      <x:c r="X107" s="186" t="n">
        <x:v>0.9768765</x:v>
      </x:c>
      <x:c r="Y107" s="186" t="n">
        <x:v>1.3663905</x:v>
      </x:c>
      <x:c r="Z107" s="186" t="n">
        <x:v>3.0295537</x:v>
      </x:c>
      <x:c r="AA107" s="186" t="n">
        <x:v>203275.5</x:v>
      </x:c>
      <x:c r="AB107" s="186" t="n">
        <x:v>38077.5</x:v>
      </x:c>
      <x:c r="AC107" s="186" t="n">
        <x:v>-75792.5</x:v>
      </x:c>
      <x:c r="AD107" s="186" t="n">
        <x:v>-37759.75</x:v>
      </x:c>
      <x:c r="AE107" s="186" t="n">
        <x:v>0.37531983424186577</x:v>
      </x:c>
      <x:c r="AF107" s="186" t="n">
        <x:v>0.25878706299926274</x:v>
      </x:c>
      <x:c r="AG107" s="186" t="n">
        <x:v>0.37195454545454476</x:v>
      </x:c>
      <x:c r="AH107" s="186" t="n">
        <x:v>0.19354545454545447</x:v>
      </x:c>
      <x:c r="AI107" s="186" t="n">
        <x:v>0.17840909090909074</x:v>
      </x:c>
      <x:c r="AJ107" s="186" t="n">
        <x:v>0.014033211173700932</x:v>
      </x:c>
      <x:c r="AK107" s="186" t="n">
        <x:v>0.33042908</x:v>
      </x:c>
      <x:c r="AL107" s="186" t="n">
        <x:v>-1206.75</x:v>
      </x:c>
      <x:c r="AM107" s="186" t="n">
        <x:v>4599</x:v>
      </x:c>
      <x:c r="AN107" s="186" t="n">
        <x:v>-0.02798786080258897</x:v>
      </x:c>
      <x:c r="AO107" s="186" t="n">
        <x:v>0</x:v>
      </x:c>
      <x:c r="AP107" s="186" t="n">
        <x:v>0</x:v>
      </x:c>
    </x:row>
    <x:row r="108">
      <x:c r="A108" s="187" t="n">
        <x:v>45627</x:v>
      </x:c>
      <x:c r="B108" s="186" t="n">
        <x:v>2648</x:v>
      </x:c>
      <x:c r="C108" s="186" t="n">
        <x:v>30.8</x:v>
      </x:c>
      <x:c r="D108" s="186" t="n">
        <x:v>-0.0011316484345530453</x:v>
      </x:c>
      <x:c r="E108" s="186" t="n">
        <x:v>-0.009646302250803873</x:v>
      </x:c>
      <x:c r="F108" s="187" t="n">
        <x:v>45597</x:v>
      </x:c>
      <x:c r="G108" s="186" t="n">
        <x:v>74.4</x:v>
      </x:c>
      <x:c r="H108" s="186" t="n">
        <x:v>2.1</x:v>
      </x:c>
      <x:c r="I108" s="186" t="n">
        <x:v>2582</x:v>
      </x:c>
      <x:c r="J108" s="186" t="n">
        <x:v>9076</x:v>
      </x:c>
      <x:c r="K108" s="186" t="n">
        <x:v>2651</x:v>
      </x:c>
      <x:c r="L108" s="186" t="n">
        <x:v>966</x:v>
      </x:c>
      <x:c r="M108" s="186" t="n">
        <x:v>31.1</x:v>
      </x:c>
      <x:c r="N108" s="186" t="n">
        <x:v>85.2411575562701</x:v>
      </x:c>
      <x:c r="O108" s="186" t="n">
        <x:v>-0.048038598699391644</x:v>
      </x:c>
      <x:c r="P108" s="186" t="n">
        <x:v>-0.017173051519154492</x:v>
      </x:c>
      <x:c r="Q108" s="186" t="n">
        <x:v>4.35578947368421</x:v>
      </x:c>
      <x:c r="R108" s="186" t="n">
        <x:v>2.034736842105263</x:v>
      </x:c>
      <x:c r="S108" s="186" t="n">
        <x:v>2.3210526315789473</x:v>
      </x:c>
      <x:c r="T108" s="186" t="n">
        <x:v>126.31133684210526</x:v>
      </x:c>
      <x:c r="U108" s="186" t="n">
        <x:v>128.90164</x:v>
      </x:c>
      <x:c r="V108" s="186" t="n">
        <x:v>139.14867</x:v>
      </x:c>
      <x:c r="W108" s="186" t="n">
        <x:v>127.42887</x:v>
      </x:c>
      <x:c r="X108" s="186" t="n">
        <x:v>1.0074933</x:v>
      </x:c>
      <x:c r="Y108" s="186" t="n">
        <x:v>1.9709086</x:v>
      </x:c>
      <x:c r="Z108" s="186" t="n">
        <x:v>3.167307</x:v>
      </x:c>
      <x:c r="AA108" s="186" t="n">
        <x:v>175587.2</x:v>
      </x:c>
      <x:c r="AB108" s="186" t="n">
        <x:v>29063.6</x:v>
      </x:c>
      <x:c r="AC108" s="186" t="n">
        <x:v>-69767.2</x:v>
      </x:c>
      <x:c r="AD108" s="186" t="n">
        <x:v>-35641.4</x:v>
      </x:c>
      <x:c r="AE108" s="186" t="n">
        <x:v>0.33220064705197927</x:v>
      </x:c>
      <x:c r="AF108" s="186" t="n">
        <x:v>0.19749519772653074</x:v>
      </x:c>
      <x:c r="AG108" s="186" t="n">
        <x:v>0.260334928229665</x:v>
      </x:c>
      <x:c r="AH108" s="186" t="n">
        <x:v>0.2251913875598084</x:v>
      </x:c>
      <x:c r="AI108" s="186" t="n">
        <x:v>0.03514354066985659</x:v>
      </x:c>
      <x:c r="AJ108" s="186" t="n">
        <x:v>0.021975318906058527</x:v>
      </x:c>
      <x:c r="AK108" s="186" t="n">
        <x:v>-1.7875671</x:v>
      </x:c>
      <x:c r="AL108" s="186" t="n">
        <x:v>-27688.29999999999</x:v>
      </x:c>
      <x:c r="AM108" s="186" t="n">
        <x:v>-9013.900000000001</x:v>
      </x:c>
      <x:c r="AN108" s="186" t="n">
        <x:v>0.02669647019447985</x:v>
      </x:c>
      <x:c r="AO108" s="186" t="n">
        <x:v>0</x:v>
      </x:c>
      <x:c r="AP108" s="186" t="n">
        <x:v>0</x:v>
      </x:c>
    </x:row>
    <x:row r="109">
      <x:c r="A109" s="187" t="n">
        <x:v>45658</x:v>
      </x:c>
      <x:c r="B109" s="186" t="n">
        <x:v>2710</x:v>
      </x:c>
      <x:c r="C109" s="186" t="n">
        <x:v>30.4</x:v>
      </x:c>
      <x:c r="D109" s="186" t="n">
        <x:v>0.023413897280966767</x:v>
      </x:c>
      <x:c r="E109" s="186" t="n">
        <x:v>-0.012987012987013102</x:v>
      </x:c>
      <x:c r="F109" s="187" t="n">
        <x:v>45627</x:v>
      </x:c>
      <x:c r="G109" s="186" t="n">
        <x:v>73.8</x:v>
      </x:c>
      <x:c r="H109" s="186" t="n">
        <x:v>3.02</x:v>
      </x:c>
      <x:c r="I109" s="186" t="n">
        <x:v>2541</x:v>
      </x:c>
      <x:c r="J109" s="186" t="n">
        <x:v>8916</x:v>
      </x:c>
      <x:c r="K109" s="186" t="n">
        <x:v>2648</x:v>
      </x:c>
      <x:c r="L109" s="186" t="n">
        <x:v>938</x:v>
      </x:c>
      <x:c r="M109" s="186" t="n">
        <x:v>30.8</x:v>
      </x:c>
      <x:c r="N109" s="186" t="n">
        <x:v>85.97402597402598</x:v>
      </x:c>
      <x:c r="O109" s="186" t="n">
        <x:v>-0.017628911414720116</x:v>
      </x:c>
      <x:c r="P109" s="186" t="n">
        <x:v>-0.008064516129032362</x:v>
      </x:c>
      <x:c r="Q109" s="186" t="n">
        <x:v>4.3914285714285715</x:v>
      </x:c>
      <x:c r="R109" s="186" t="n">
        <x:v>2.0880952380952382</x:v>
      </x:c>
      <x:c r="S109" s="186" t="n">
        <x:v>2.3033333333333337</x:v>
      </x:c>
      <x:c r="T109" s="186" t="n">
        <x:v>127.57578095238097</x:v>
      </x:c>
      <x:c r="U109" s="186" t="n">
        <x:v>142.36644</x:v>
      </x:c>
      <x:c r="V109" s="186" t="n">
        <x:v>128.26247</x:v>
      </x:c>
      <x:c r="W109" s="186" t="n">
        <x:v>164.81374</x:v>
      </x:c>
      <x:c r="X109" s="186" t="n">
        <x:v>0.841505</x:v>
      </x:c>
      <x:c r="Y109" s="186" t="n">
        <x:v>2.2950137</x:v>
      </x:c>
      <x:c r="Z109" s="186" t="n">
        <x:v>3.2895195</x:v>
      </x:c>
      <x:c r="AA109" s="186" t="n">
        <x:v>181453</x:v>
      </x:c>
      <x:c r="AB109" s="186" t="n">
        <x:v>24019.75</x:v>
      </x:c>
      <x:c r="AC109" s="186" t="n">
        <x:v>-69007.5</x:v>
      </x:c>
      <x:c r="AD109" s="186" t="n">
        <x:v>-34052.75</x:v>
      </x:c>
      <x:c r="AE109" s="186" t="n">
        <x:v>0.38853687472420595</x:v>
      </x:c>
      <x:c r="AF109" s="186" t="n">
        <x:v>0.16638478739206833</x:v>
      </x:c>
      <x:c r="AG109" s="186" t="n">
        <x:v>0.03563909774436169</x:v>
      </x:c>
      <x:c r="AH109" s="186" t="n">
        <x:v>0.05335839598997527</x:v>
      </x:c>
      <x:c r="AI109" s="186" t="n">
        <x:v>-0.01771929824561358</x:v>
      </x:c>
      <x:c r="AJ109" s="186" t="n">
        <x:v>0.010010535411055788</x:v>
      </x:c>
      <x:c r="AK109" s="186" t="n">
        <x:v>13.464798</x:v>
      </x:c>
      <x:c r="AL109" s="186" t="n">
        <x:v>5865.799999999988</x:v>
      </x:c>
      <x:c r="AM109" s="186" t="n">
        <x:v>-5043.8499999999985</x:v>
      </x:c>
      <x:c r="AN109" s="186" t="n">
        <x:v>0.00859758875601968</x:v>
      </x:c>
      <x:c r="AO109" s="186" t="n">
        <x:v>1</x:v>
      </x:c>
      <x:c r="AP109" s="186" t="n">
        <x:v>0</x:v>
      </x:c>
    </x:row>
    <x:row r="110">
      <x:c r="A110" s="187" t="n">
        <x:v>45689</x:v>
      </x:c>
      <x:c r="B110" s="186" t="n">
        <x:v>2895</x:v>
      </x:c>
      <x:c r="C110" s="186" t="n">
        <x:v>32.2</x:v>
      </x:c>
      <x:c r="D110" s="186" t="n">
        <x:v>0.06826568265682664</x:v>
      </x:c>
      <x:c r="E110" s="186" t="n">
        <x:v>0.0592105263157896</x:v>
      </x:c>
      <x:c r="F110" s="187" t="n">
        <x:v>45658</x:v>
      </x:c>
      <x:c r="G110" s="186" t="n">
        <x:v>79.2</x:v>
      </x:c>
      <x:c r="H110" s="186" t="n">
        <x:v>4.1</x:v>
      </x:c>
      <x:c r="I110" s="186" t="n">
        <x:v>2573</x:v>
      </x:c>
      <x:c r="J110" s="186" t="n">
        <x:v>8991</x:v>
      </x:c>
      <x:c r="K110" s="186" t="n">
        <x:v>2710</x:v>
      </x:c>
      <x:c r="L110" s="186" t="n">
        <x:v>949</x:v>
      </x:c>
      <x:c r="M110" s="186" t="n">
        <x:v>30.4</x:v>
      </x:c>
      <x:c r="N110" s="186" t="n">
        <x:v>89.14473684210527</x:v>
      </x:c>
      <x:c r="O110" s="186" t="n">
        <x:v>0.00841184387617755</x:v>
      </x:c>
      <x:c r="P110" s="186" t="n">
        <x:v>0.07317073170731714</x:v>
      </x:c>
      <x:c r="Q110" s="186" t="n">
        <x:v>4.629047619047618</x:v>
      </x:c>
      <x:c r="R110" s="186" t="n">
        <x:v>2.2285714285714286</x:v>
      </x:c>
      <x:c r="S110" s="186" t="n">
        <x:v>2.40047619047619</x:v>
      </x:c>
      <x:c r="T110" s="186" t="n">
        <x:v>128.83695238095237</x:v>
      </x:c>
      <x:c r="U110" s="186" t="n">
        <x:v>113.233154</x:v>
      </x:c>
      <x:c r="V110" s="186" t="n">
        <x:v>117.08644</x:v>
      </x:c>
      <x:c r="W110" s="186" t="n">
        <x:v>109.50494</x:v>
      </x:c>
      <x:c r="X110" s="186" t="n">
        <x:v>0.85689265</x:v>
      </x:c>
      <x:c r="Y110" s="186" t="n">
        <x:v>1.1258444</x:v>
      </x:c>
      <x:c r="Z110" s="186" t="n">
        <x:v>2.7458093</x:v>
      </x:c>
      <x:c r="AA110" s="186" t="n">
        <x:v>193168.2</x:v>
      </x:c>
      <x:c r="AB110" s="186" t="n">
        <x:v>25424.6</x:v>
      </x:c>
      <x:c r="AC110" s="186" t="n">
        <x:v>-75963.8</x:v>
      </x:c>
      <x:c r="AD110" s="186" t="n">
        <x:v>-33871.6</x:v>
      </x:c>
      <x:c r="AE110" s="186" t="n">
        <x:v>0.369734670840669</x:v>
      </x:c>
      <x:c r="AF110" s="186" t="n">
        <x:v>0.16331010569509458</x:v>
      </x:c>
      <x:c r="AG110" s="186" t="n">
        <x:v>0.23761904761904695</x:v>
      </x:c>
      <x:c r="AH110" s="186" t="n">
        <x:v>0.14047619047619042</x:v>
      </x:c>
      <x:c r="AI110" s="186" t="n">
        <x:v>0.09714285714285653</x:v>
      </x:c>
      <x:c r="AJ110" s="186" t="n">
        <x:v>0.009885664968354302</x:v>
      </x:c>
      <x:c r="AK110" s="186" t="n">
        <x:v>-29.133286</x:v>
      </x:c>
      <x:c r="AL110" s="186" t="n">
        <x:v>11715.200000000012</x:v>
      </x:c>
      <x:c r="AM110" s="186" t="n">
        <x:v>1404.8499999999985</x:v>
      </x:c>
      <x:c r="AN110" s="186" t="n">
        <x:v>0.03687986961361123</x:v>
      </x:c>
      <x:c r="AO110" s="186" t="n">
        <x:v>1</x:v>
      </x:c>
      <x:c r="AP110" s="186" t="n">
        <x:v>1</x:v>
      </x:c>
    </x:row>
    <x:row r="111">
      <x:c r="A111" s="187" t="n">
        <x:v>45717</x:v>
      </x:c>
      <x:c r="B111" s="186" t="n">
        <x:v>2983</x:v>
      </x:c>
      <x:c r="C111" s="186" t="n">
        <x:v>33.2</x:v>
      </x:c>
      <x:c r="D111" s="186" t="n">
        <x:v>0.030397236614853274</x:v>
      </x:c>
      <x:c r="E111" s="186" t="n">
        <x:v>0.03105590062111796</x:v>
      </x:c>
      <x:c r="F111" s="187" t="n">
        <x:v>45689</x:v>
      </x:c>
      <x:c r="G111" s="186" t="n">
        <x:v>75.2</x:v>
      </x:c>
      <x:c r="H111" s="186" t="n">
        <x:v>4.22</x:v>
      </x:c>
      <x:c r="I111" s="186" t="n">
        <x:v>2658</x:v>
      </x:c>
      <x:c r="J111" s="186" t="n">
        <x:v>9331</x:v>
      </x:c>
      <x:c r="K111" s="186" t="n">
        <x:v>2895</x:v>
      </x:c>
      <x:c r="L111" s="186" t="n">
        <x:v>978</x:v>
      </x:c>
      <x:c r="M111" s="186" t="n">
        <x:v>32.2</x:v>
      </x:c>
      <x:c r="N111" s="186" t="n">
        <x:v>89.90683229813664</x:v>
      </x:c>
      <x:c r="O111" s="186" t="n">
        <x:v>0.03781559337114904</x:v>
      </x:c>
      <x:c r="P111" s="186" t="n">
        <x:v>-0.0505050505050505</x:v>
      </x:c>
      <x:c r="Q111" s="186" t="n">
        <x:v>4.451052631578947</x:v>
      </x:c>
      <x:c r="R111" s="186" t="n">
        <x:v>2.026842105263158</x:v>
      </x:c>
      <x:c r="S111" s="186" t="n">
        <x:v>2.4242105263157896</x:v>
      </x:c>
      <x:c r="T111" s="186" t="n">
        <x:v>127.87583157894737</x:v>
      </x:c>
      <x:c r="U111" s="186" t="n">
        <x:v>136.98059</x:v>
      </x:c>
      <x:c r="V111" s="186" t="n">
        <x:v>138.76765</x:v>
      </x:c>
      <x:c r="W111" s="186" t="n">
        <x:v>140.78716</x:v>
      </x:c>
      <x:c r="X111" s="186" t="n">
        <x:v>1.1046003</x:v>
      </x:c>
      <x:c r="Y111" s="186" t="n">
        <x:v>1.9532566</x:v>
      </x:c>
      <x:c r="Z111" s="186" t="n">
        <x:v>3.536068</x:v>
      </x:c>
      <x:c r="AA111" s="186" t="n">
        <x:v>192369.25</x:v>
      </x:c>
      <x:c r="AB111" s="186" t="n">
        <x:v>35467</x:v>
      </x:c>
      <x:c r="AC111" s="186" t="n">
        <x:v>-61313.5</x:v>
      </x:c>
      <x:c r="AD111" s="186" t="n">
        <x:v>-38790.75</x:v>
      </x:c>
      <x:c r="AE111" s="186" t="n">
        <x:v>0.36522935372232784</x:v>
      </x:c>
      <x:c r="AF111" s="186" t="n">
        <x:v>0.21200676672750948</x:v>
      </x:c>
      <x:c r="AG111" s="186" t="n">
        <x:v>-0.17799498746867126</x:v>
      </x:c>
      <x:c r="AH111" s="186" t="n">
        <x:v>-0.20172932330827065</x:v>
      </x:c>
      <x:c r="AI111" s="186" t="n">
        <x:v>0.023734335839599385</x:v>
      </x:c>
      <x:c r="AJ111" s="186" t="n">
        <x:v>-0.007459977780001403</x:v>
      </x:c>
      <x:c r="AK111" s="186" t="n">
        <x:v>23.747437</x:v>
      </x:c>
      <x:c r="AL111" s="186" t="n">
        <x:v>-798.9500000000116</x:v>
      </x:c>
      <x:c r="AM111" s="186" t="n">
        <x:v>10042.400000000001</x:v>
      </x:c>
      <x:c r="AN111" s="186" t="n">
        <x:v>0.00854896747725209</x:v>
      </x:c>
      <x:c r="AO111" s="186" t="n">
        <x:v>1</x:v>
      </x:c>
      <x:c r="AP111" s="186" t="n">
        <x:v>1</x:v>
      </x:c>
    </x:row>
    <x:row r="112">
      <x:c r="A112" s="187" t="n">
        <x:v>45748</x:v>
      </x:c>
      <x:c r="B112" s="186" t="n">
        <x:v>3218</x:v>
      </x:c>
      <x:c r="C112" s="186" t="n">
        <x:v>32.2</x:v>
      </x:c>
      <x:c r="D112" s="186" t="n">
        <x:v>0.07877975192758968</x:v>
      </x:c>
      <x:c r="E112" s="186" t="n">
        <x:v>-0.030120481927710885</x:v>
      </x:c>
      <x:c r="F112" s="187" t="n">
        <x:v>45717</x:v>
      </x:c>
      <x:c r="G112" s="186" t="n">
        <x:v>72.6</x:v>
      </x:c>
      <x:c r="H112" s="186" t="n">
        <x:v>4.13</x:v>
      </x:c>
      <x:c r="I112" s="186" t="n">
        <x:v>2658</x:v>
      </x:c>
      <x:c r="J112" s="186" t="n">
        <x:v>9740</x:v>
      </x:c>
      <x:c r="K112" s="186" t="n">
        <x:v>2983</x:v>
      </x:c>
      <x:c r="L112" s="186" t="n">
        <x:v>980</x:v>
      </x:c>
      <x:c r="M112" s="186" t="n">
        <x:v>33.2</x:v>
      </x:c>
      <x:c r="N112" s="186" t="n">
        <x:v>89.84939759036143</x:v>
      </x:c>
      <x:c r="O112" s="186" t="n">
        <x:v>0.043832386668095635</x:v>
      </x:c>
      <x:c r="P112" s="186" t="n">
        <x:v>-0.03457446808510645</x:v>
      </x:c>
      <x:c r="Q112" s="186" t="n">
        <x:v>4.2804761904761905</x:v>
      </x:c>
      <x:c r="R112" s="186" t="n">
        <x:v>1.946190476190476</x:v>
      </x:c>
      <x:c r="S112" s="186" t="n">
        <x:v>2.334285714285714</x:v>
      </x:c>
      <x:c r="T112" s="186" t="n">
        <x:v>126.24304285714285</x:v>
      </x:c>
      <x:c r="U112" s="186" t="n">
        <x:v>175.90112</x:v>
      </x:c>
      <x:c r="V112" s="186" t="n">
        <x:v>195.67752</x:v>
      </x:c>
      <x:c r="W112" s="186" t="n">
        <x:v>159.82245</x:v>
      </x:c>
      <x:c r="X112" s="186" t="n">
        <x:v>1.0789021</x:v>
      </x:c>
      <x:c r="Y112" s="186" t="n">
        <x:v>2.47199</x:v>
      </x:c>
      <x:c r="Z112" s="186" t="n">
        <x:v>4.505306</x:v>
      </x:c>
      <x:c r="AA112" s="186" t="n">
        <x:v>173200</x:v>
      </x:c>
      <x:c r="AB112" s="186" t="n">
        <x:v>42738.75</x:v>
      </x:c>
      <x:c r="AC112" s="186" t="n">
        <x:v>-60743.75</x:v>
      </x:c>
      <x:c r="AD112" s="186" t="n">
        <x:v>-35383</x:v>
      </x:c>
      <x:c r="AE112" s="186" t="n">
        <x:v>0.338635920987049</x:v>
      </x:c>
      <x:c r="AF112" s="186" t="n">
        <x:v>0.26543745002414637</x:v>
      </x:c>
      <x:c r="AG112" s="186" t="n">
        <x:v>-0.1705764411027566</x:v>
      </x:c>
      <x:c r="AH112" s="186" t="n">
        <x:v>-0.08065162907268197</x:v>
      </x:c>
      <x:c r="AI112" s="186" t="n">
        <x:v>-0.08992481203007552</x:v>
      </x:c>
      <x:c r="AJ112" s="186" t="n">
        <x:v>-0.012768548220908116</x:v>
      </x:c>
      <x:c r="AK112" s="186" t="n">
        <x:v>38.920532</x:v>
      </x:c>
      <x:c r="AL112" s="186" t="n">
        <x:v>-19169.25</x:v>
      </x:c>
      <x:c r="AM112" s="186" t="n">
        <x:v>7271.75</x:v>
      </x:c>
      <x:c r="AN112" s="186" t="n">
        <x:v>-0.0006388247289677018</x:v>
      </x:c>
      <x:c r="AO112" s="186" t="n">
        <x:v>1</x:v>
      </x:c>
      <x:c r="AP112" s="186" t="n">
        <x:v>0</x:v>
      </x:c>
    </x:row>
    <x:row r="113">
      <x:c r="A113" s="187" t="n">
        <x:v>45778</x:v>
      </x:c>
      <x:c r="B113" s="186" t="n">
        <x:v>3309</x:v>
      </x:c>
      <x:c r="C113" s="186" t="n">
        <x:v>32.8</x:v>
      </x:c>
      <x:c r="D113" s="186" t="n">
        <x:v>0.02827843380981987</x:v>
      </x:c>
      <x:c r="E113" s="186" t="n">
        <x:v>0.01863354037267073</x:v>
      </x:c>
      <x:c r="F113" s="187" t="n">
        <x:v>45748</x:v>
      </x:c>
      <x:c r="G113" s="186" t="n">
        <x:v>67.7</x:v>
      </x:c>
      <x:c r="H113" s="186" t="n">
        <x:v>3.4</x:v>
      </x:c>
      <x:c r="I113" s="186" t="n">
        <x:v>2372</x:v>
      </x:c>
      <x:c r="J113" s="186" t="n">
        <x:v>9177</x:v>
      </x:c>
      <x:c r="K113" s="186" t="n">
        <x:v>3218</x:v>
      </x:c>
      <x:c r="L113" s="186" t="n">
        <x:v>959</x:v>
      </x:c>
      <x:c r="M113" s="186" t="n">
        <x:v>32.2</x:v>
      </x:c>
      <x:c r="N113" s="186" t="n">
        <x:v>99.93788819875776</x:v>
      </x:c>
      <x:c r="O113" s="186" t="n">
        <x:v>-0.05780287474332646</x:v>
      </x:c>
      <x:c r="P113" s="186" t="n">
        <x:v>-0.06749311294765825</x:v>
      </x:c>
      <x:c r="Q113" s="186" t="n">
        <x:v>4.279047619047619</x:v>
      </x:c>
      <x:c r="R113" s="186" t="n">
        <x:v>2.038095238095238</x:v>
      </x:c>
      <x:c r="S113" s="186" t="n">
        <x:v>2.2409523809523813</x:v>
      </x:c>
      <x:c r="T113" s="186" t="n">
        <x:v>124.14020000000001</x:v>
      </x:c>
      <x:c r="U113" s="186" t="n">
        <x:v>140.9737</x:v>
      </x:c>
      <x:c r="V113" s="186" t="n">
        <x:v>159.25746</x:v>
      </x:c>
      <x:c r="W113" s="186" t="n">
        <x:v>132.05573</x:v>
      </x:c>
      <x:c r="X113" s="186" t="n">
        <x:v>1.055569</x:v>
      </x:c>
      <x:c r="Y113" s="186" t="n">
        <x:v>1.5226886</x:v>
      </x:c>
      <x:c r="Z113" s="186" t="n">
        <x:v>3.5185635</x:v>
      </x:c>
      <x:c r="AA113" s="186" t="n">
        <x:v>129685.25</x:v>
      </x:c>
      <x:c r="AB113" s="186" t="n">
        <x:v>28286.75</x:v>
      </x:c>
      <x:c r="AC113" s="186" t="n">
        <x:v>-52969.25</x:v>
      </x:c>
      <x:c r="AD113" s="186" t="n">
        <x:v>-33164.5</x:v>
      </x:c>
      <x:c r="AE113" s="186" t="n">
        <x:v>0.27799690989629955</x:v>
      </x:c>
      <x:c r="AF113" s="186" t="n">
        <x:v>0.18184056899705042</x:v>
      </x:c>
      <x:c r="AG113" s="186" t="n">
        <x:v>-0.0014285714285717788</x:v>
      </x:c>
      <x:c r="AH113" s="186" t="n">
        <x:v>0.09190476190476193</x:v>
      </x:c>
      <x:c r="AI113" s="186" t="n">
        <x:v>-0.09333333333333282</x:v>
      </x:c>
      <x:c r="AJ113" s="186" t="n">
        <x:v>-0.016657098954137473</x:v>
      </x:c>
      <x:c r="AK113" s="186" t="n">
        <x:v>-34.92743</x:v>
      </x:c>
      <x:c r="AL113" s="186" t="n">
        <x:v>-43514.75</x:v>
      </x:c>
      <x:c r="AM113" s="186" t="n">
        <x:v>-14452</x:v>
      </x:c>
      <x:c r="AN113" s="186" t="n">
        <x:v>0.1122822286955274</x:v>
      </x:c>
      <x:c r="AO113" s="186" t="n">
        <x:v>1</x:v>
      </x:c>
      <x:c r="AP113" s="186" t="n">
        <x:v>1</x:v>
      </x:c>
    </x:row>
    <x:row r="114">
      <x:c r="A114" s="187" t="n">
        <x:v>45809</x:v>
      </x:c>
      <x:c r="B114" s="186" t="n">
        <x:v>3353</x:v>
      </x:c>
      <x:c r="C114" s="186" t="n">
        <x:v>36</x:v>
      </x:c>
      <x:c r="D114" s="186" t="n">
        <x:v>0.013297068600785833</x:v>
      </x:c>
      <x:c r="E114" s="186" t="n">
        <x:v>0.09756097560975618</x:v>
      </x:c>
      <x:c r="F114" s="187" t="n">
        <x:v>45778</x:v>
      </x:c>
      <x:c r="G114" s="186" t="n">
        <x:v>64.2</x:v>
      </x:c>
      <x:c r="H114" s="186" t="n">
        <x:v>3.12</x:v>
      </x:c>
      <x:c r="I114" s="186" t="n">
        <x:v>2449</x:v>
      </x:c>
      <x:c r="J114" s="186" t="n">
        <x:v>9533</x:v>
      </x:c>
      <x:c r="K114" s="186" t="n">
        <x:v>3309</x:v>
      </x:c>
      <x:c r="L114" s="186" t="n">
        <x:v>980</x:v>
      </x:c>
      <x:c r="M114" s="186" t="n">
        <x:v>32.8</x:v>
      </x:c>
      <x:c r="N114" s="186" t="n">
        <x:v>100.88414634146342</x:v>
      </x:c>
      <x:c r="O114" s="186" t="n">
        <x:v>0.03879263375830888</x:v>
      </x:c>
      <x:c r="P114" s="186" t="n">
        <x:v>-0.05169867060561295</x:v>
      </x:c>
      <x:c r="Q114" s="186" t="n">
        <x:v>4.423809523809524</x:v>
      </x:c>
      <x:c r="R114" s="186" t="n">
        <x:v>2.1104761904761906</x:v>
      </x:c>
      <x:c r="S114" s="186" t="n">
        <x:v>2.3133333333333335</x:v>
      </x:c>
      <x:c r="T114" s="186" t="n">
        <x:v>122.3421619047619</x:v>
      </x:c>
      <x:c r="U114" s="186" t="n">
        <x:v>166.82773</x:v>
      </x:c>
      <x:c r="V114" s="186" t="n">
        <x:v>205.17381</x:v>
      </x:c>
      <x:c r="W114" s="186" t="n">
        <x:v>149.21245</x:v>
      </x:c>
      <x:c r="X114" s="186" t="n">
        <x:v>1.1295136</x:v>
      </x:c>
      <x:c r="Y114" s="186" t="n">
        <x:v>1.5040674</x:v>
      </x:c>
      <x:c r="Z114" s="186" t="n">
        <x:v>4.1259437</x:v>
      </x:c>
      <x:c r="AA114" s="186" t="n">
        <x:v>105531.6</x:v>
      </x:c>
      <x:c r="AB114" s="186" t="n">
        <x:v>30522</x:v>
      </x:c>
      <x:c r="AC114" s="186" t="n">
        <x:v>-43380.2</x:v>
      </x:c>
      <x:c r="AD114" s="186" t="n">
        <x:v>-30847.8</x:v>
      </x:c>
      <x:c r="AE114" s="186" t="n">
        <x:v>0.23662894781293353</x:v>
      </x:c>
      <x:c r="AF114" s="186" t="n">
        <x:v>0.21192429363178616</x:v>
      </x:c>
      <x:c r="AG114" s="186" t="n">
        <x:v>0.1447619047619053</x:v>
      </x:c>
      <x:c r="AH114" s="186" t="n">
        <x:v>0.07238095238095266</x:v>
      </x:c>
      <x:c r="AI114" s="186" t="n">
        <x:v>0.07238095238095221</x:v>
      </x:c>
      <x:c r="AJ114" s="186" t="n">
        <x:v>-0.014483931033123176</x:v>
      </x:c>
      <x:c r="AK114" s="186" t="n">
        <x:v>25.854034</x:v>
      </x:c>
      <x:c r="AL114" s="186" t="n">
        <x:v>-24153.649999999994</x:v>
      </x:c>
      <x:c r="AM114" s="186" t="n">
        <x:v>2235.25</x:v>
      </x:c>
      <x:c r="AN114" s="186" t="n">
        <x:v>0.00946846245964017</x:v>
      </x:c>
      <x:c r="AO114" s="186" t="n">
        <x:v>1</x:v>
      </x:c>
      <x:c r="AP114" s="186" t="n">
        <x:v>1</x:v>
      </x:c>
    </x:row>
    <x:row r="115">
      <x:c r="A115" s="187" t="n">
        <x:v>45839</x:v>
      </x:c>
      <x:c r="B115" s="186" t="n">
        <x:v>3340</x:v>
      </x:c>
      <x:c r="C115" s="186" t="n">
        <x:v>37.7</x:v>
      </x:c>
      <x:c r="D115" s="186" t="n">
        <x:v>-0.003877124962719969</x:v>
      </x:c>
      <x:c r="E115" s="186" t="n">
        <x:v>0.047222222222222276</x:v>
      </x:c>
      <x:c r="F115" s="187" t="n">
        <x:v>45809</x:v>
      </x:c>
      <x:c r="G115" s="186" t="n">
        <x:v>71.5</x:v>
      </x:c>
      <x:c r="H115" s="186" t="n">
        <x:v>3.02</x:v>
      </x:c>
      <x:c r="I115" s="186" t="n">
        <x:v>2526</x:v>
      </x:c>
      <x:c r="J115" s="186" t="n">
        <x:v>9835</x:v>
      </x:c>
      <x:c r="K115" s="186" t="n">
        <x:v>3353</x:v>
      </x:c>
      <x:c r="L115" s="186" t="n">
        <x:v>1251</x:v>
      </x:c>
      <x:c r="M115" s="186" t="n">
        <x:v>36</x:v>
      </x:c>
      <x:c r="N115" s="186" t="n">
        <x:v>93.13888888888889</x:v>
      </x:c>
      <x:c r="O115" s="186" t="n">
        <x:v>0.03167942935067658</x:v>
      </x:c>
      <x:c r="P115" s="186" t="n">
        <x:v>0.11370716510903423</x:v>
      </x:c>
      <x:c r="Q115" s="186" t="n">
        <x:v>4.3835</x:v>
      </x:c>
      <x:c r="R115" s="186" t="n">
        <x:v>2.0865</x:v>
      </x:c>
      <x:c r="S115" s="186" t="n">
        <x:v>2.2969999999999997</x:v>
      </x:c>
      <x:c r="T115" s="186" t="n">
        <x:v>120.59387</x:v>
      </x:c>
      <x:c r="U115" s="186" t="n">
        <x:v>221.1349</x:v>
      </x:c>
      <x:c r="V115" s="186" t="n">
        <x:v>286.4391</x:v>
      </x:c>
      <x:c r="W115" s="186" t="n">
        <x:v>182.07474</x:v>
      </x:c>
      <x:c r="X115" s="186" t="n">
        <x:v>1.3924286</x:v>
      </x:c>
      <x:c r="Y115" s="186" t="n">
        <x:v>2.1694536</x:v>
      </x:c>
      <x:c r="Z115" s="186" t="n">
        <x:v>5.638093</x:v>
      </x:c>
      <x:c r="AA115" s="186" t="n">
        <x:v>125828</x:v>
      </x:c>
      <x:c r="AB115" s="186" t="n">
        <x:v>46685.5</x:v>
      </x:c>
      <x:c r="AC115" s="186" t="n">
        <x:v>-50212.5</x:v>
      </x:c>
      <x:c r="AD115" s="186" t="n">
        <x:v>-35238.75</x:v>
      </x:c>
      <x:c r="AE115" s="186" t="n">
        <x:v>0.2945176745381792</x:v>
      </x:c>
      <x:c r="AF115" s="186" t="n">
        <x:v>0.26805568693303516</x:v>
      </x:c>
      <x:c r="AG115" s="186" t="n">
        <x:v>-0.04030952380952435</x:v>
      </x:c>
      <x:c r="AH115" s="186" t="n">
        <x:v>-0.023976190476190595</x:v>
      </x:c>
      <x:c r="AI115" s="186" t="n">
        <x:v>-0.016333333333333755</x:v>
      </x:c>
      <x:c r="AJ115" s="186" t="n">
        <x:v>-0.014290183184132998</x:v>
      </x:c>
      <x:c r="AK115" s="186" t="n">
        <x:v>54.307175</x:v>
      </x:c>
      <x:c r="AL115" s="186" t="n">
        <x:v>20296.399999999994</x:v>
      </x:c>
      <x:c r="AM115" s="186" t="n">
        <x:v>16163.5</x:v>
      </x:c>
      <x:c r="AN115" s="186" t="n">
        <x:v>-0.07677378194150641</x:v>
      </x:c>
      <x:c r="AO115" s="186" t="n">
        <x:v>0</x:v>
      </x:c>
      <x:c r="AP115" s="186" t="n">
        <x:v>1</x:v>
      </x:c>
    </x:row>
    <x:row r="116">
      <x:c r="A116" s="187" t="n">
        <x:v>45870</x:v>
      </x:c>
      <x:c r="B116" s="186" t="n">
        <x:v>3368</x:v>
      </x:c>
      <x:c r="C116" s="186" t="n">
        <x:v>38.2</x:v>
      </x:c>
      <x:c r="D116" s="186" t="n">
        <x:v>0.008383233532934131</x:v>
      </x:c>
      <x:c r="E116" s="186" t="n">
        <x:v>0.013262599469495928</x:v>
      </x:c>
      <x:c r="F116" s="187" t="n">
        <x:v>45839</x:v>
      </x:c>
      <x:c r="G116" s="186" t="n">
        <x:v>71</x:v>
      </x:c>
      <x:c r="H116" s="186" t="n">
        <x:v>3.19</x:v>
      </x:c>
      <x:c r="I116" s="186" t="n">
        <x:v>2606</x:v>
      </x:c>
      <x:c r="J116" s="186" t="n">
        <x:v>9771</x:v>
      </x:c>
      <x:c r="K116" s="186" t="n">
        <x:v>3340</x:v>
      </x:c>
      <x:c r="L116" s="186" t="n">
        <x:v>1391</x:v>
      </x:c>
      <x:c r="M116" s="186" t="n">
        <x:v>37.7</x:v>
      </x:c>
      <x:c r="N116" s="186" t="n">
        <x:v>88.59416445623341</x:v>
      </x:c>
      <x:c r="O116" s="186" t="n">
        <x:v>-0.006507371631926828</x:v>
      </x:c>
      <x:c r="P116" s="186" t="n">
        <x:v>-0.006993006993006978</x:v>
      </x:c>
      <x:c r="Q116" s="186" t="n">
        <x:v>4.391818181818182</x:v>
      </x:c>
      <x:c r="R116" s="186" t="n">
        <x:v>2.0081818181818183</x:v>
      </x:c>
      <x:c r="S116" s="186" t="n">
        <x:v>2.3836363636363633</x:v>
      </x:c>
      <x:c r="T116" s="186" t="n">
        <x:v>120.11269090909092</x:v>
      </x:c>
      <x:c r="U116" s="186" t="n">
        <x:v>134.222</x:v>
      </x:c>
      <x:c r="V116" s="186" t="n">
        <x:v>156.11005</x:v>
      </x:c>
      <x:c r="W116" s="186" t="n">
        <x:v>119.33243</x:v>
      </x:c>
      <x:c r="X116" s="186" t="n">
        <x:v>0.899324</x:v>
      </x:c>
      <x:c r="Y116" s="186" t="n">
        <x:v>1.394254</x:v>
      </x:c>
      <x:c r="Z116" s="186" t="n">
        <x:v>3.168759</x:v>
      </x:c>
      <x:c r="AA116" s="186" t="n">
        <x:v>138990.75</x:v>
      </x:c>
      <x:c r="AB116" s="186" t="n">
        <x:v>43725.75</x:v>
      </x:c>
      <x:c r="AC116" s="186" t="n">
        <x:v>-48580.75</x:v>
      </x:c>
      <x:c r="AD116" s="186" t="n">
        <x:v>-29404.75</x:v>
      </x:c>
      <x:c r="AE116" s="186" t="n">
        <x:v>0.3051099776541737</x:v>
      </x:c>
      <x:c r="AF116" s="186" t="n">
        <x:v>0.26067106054057143</x:v>
      </x:c>
      <x:c r="AG116" s="186" t="n">
        <x:v>0.008318181818181891</x:v>
      </x:c>
      <x:c r="AH116" s="186" t="n">
        <x:v>-0.07831818181818173</x:v>
      </x:c>
      <x:c r="AI116" s="186" t="n">
        <x:v>0.08663636363636362</x:v>
      </x:c>
      <x:c r="AJ116" s="186" t="n">
        <x:v>-0.003990079188179951</x:v>
      </x:c>
      <x:c r="AK116" s="186" t="n">
        <x:v>-86.9129</x:v>
      </x:c>
      <x:c r="AL116" s="186" t="n">
        <x:v>13162.75</x:v>
      </x:c>
      <x:c r="AM116" s="186" t="n">
        <x:v>-2959.75</x:v>
      </x:c>
      <x:c r="AN116" s="186" t="n">
        <x:v>-0.04879513259039581</x:v>
      </x:c>
      <x:c r="AO116" s="186" t="n">
        <x:v>1</x:v>
      </x:c>
      <x:c r="AP116" s="186" t="n">
        <x:v>1</x:v>
      </x:c>
    </x:row>
    <x:row r="117">
      <x:c r="A117" s="187" t="n">
        <x:v>45901</x:v>
      </x:c>
      <x:c r="B117" s="186" t="n">
        <x:v>3668</x:v>
      </x:c>
      <x:c r="C117" s="186" t="n">
        <x:v>42.8</x:v>
      </x:c>
      <x:c r="D117" s="186" t="n">
        <x:v>0.0890736342042755</x:v>
      </x:c>
      <x:c r="E117" s="186" t="n">
        <x:v>0.120418848167539</x:v>
      </x:c>
      <x:c r="F117" s="187" t="n">
        <x:v>45870</x:v>
      </x:c>
      <x:c r="G117" s="186" t="n">
        <x:v>68.2</x:v>
      </x:c>
      <x:c r="H117" s="186" t="n">
        <x:v>2.91</x:v>
      </x:c>
      <x:c r="I117" s="186" t="n">
        <x:v>2597</x:v>
      </x:c>
      <x:c r="J117" s="186" t="n">
        <x:v>9670</x:v>
      </x:c>
      <x:c r="K117" s="186" t="n">
        <x:v>3368</x:v>
      </x:c>
      <x:c r="L117" s="186" t="n">
        <x:v>1343</x:v>
      </x:c>
      <x:c r="M117" s="186" t="n">
        <x:v>38.2</x:v>
      </x:c>
      <x:c r="N117" s="186" t="n">
        <x:v>88.1675392670157</x:v>
      </x:c>
      <x:c r="O117" s="186" t="n">
        <x:v>-0.010336710674444749</x:v>
      </x:c>
      <x:c r="P117" s="186" t="n">
        <x:v>-0.03943661971830981</x:v>
      </x:c>
      <x:c r="Q117" s="186" t="n">
        <x:v>4.2647619047619045</x:v>
      </x:c>
      <x:c r="R117" s="186" t="n">
        <x:v>1.8828571428571428</x:v>
      </x:c>
      <x:c r="S117" s="186" t="n">
        <x:v>2.3819047619047615</x:v>
      </x:c>
      <x:c r="T117" s="186" t="n">
        <x:v>120.57584285714286</x:v>
      </x:c>
      <x:c r="U117" s="186" t="n">
        <x:v>138.98846</x:v>
      </x:c>
      <x:c r="V117" s="186" t="n">
        <x:v>160.41519</x:v>
      </x:c>
      <x:c r="W117" s="186" t="n">
        <x:v>121.73106</x:v>
      </x:c>
      <x:c r="X117" s="186" t="n">
        <x:v>0.81841433</x:v>
      </x:c>
      <x:c r="Y117" s="186" t="n">
        <x:v>1.713555</x:v>
      </x:c>
      <x:c r="Z117" s="186" t="n">
        <x:v>3.4015346</x:v>
      </x:c>
      <x:c r="AA117" s="186" t="n">
        <x:v>143166.4</x:v>
      </x:c>
      <x:c r="AB117" s="186" t="n">
        <x:v>32228.8</x:v>
      </x:c>
      <x:c r="AC117" s="186" t="n">
        <x:v>-40854</x:v>
      </x:c>
      <x:c r="AD117" s="186" t="n">
        <x:v>-25823.6</x:v>
      </x:c>
      <x:c r="AE117" s="186" t="n">
        <x:v>0.3218874669154263</x:v>
      </x:c>
      <x:c r="AF117" s="186" t="n">
        <x:v>0.19934759234964747</x:v>
      </x:c>
      <x:c r="AG117" s="186" t="n">
        <x:v>-0.1270562770562771</x:v>
      </x:c>
      <x:c r="AH117" s="186" t="n">
        <x:v>-0.1253246753246755</x:v>
      </x:c>
      <x:c r="AI117" s="186" t="n">
        <x:v>-0.0017316017316018062</x:v>
      </x:c>
      <x:c r="AJ117" s="186" t="n">
        <x:v>0.003855978452788955</x:v>
      </x:c>
      <x:c r="AK117" s="186" t="n">
        <x:v>4.766464</x:v>
      </x:c>
      <x:c r="AL117" s="186" t="n">
        <x:v>4175.649999999994</x:v>
      </x:c>
      <x:c r="AM117" s="186" t="n">
        <x:v>-11496.95</x:v>
      </x:c>
      <x:c r="AN117" s="186" t="n">
        <x:v>-0.004815499890271857</x:v>
      </x:c>
      <x:c r="AO117" s="186" t="n">
        <x:v>1</x:v>
      </x:c>
      <x:c r="AP117" s="186" t="n">
        <x:v>1</x:v>
      </x:c>
    </x:row>
    <x:row r="118">
      <x:c r="A118" s="187" t="n">
        <x:v>45931</x:v>
      </x:c>
      <x:c r="B118" s="186" t="n">
        <x:v>4058</x:v>
      </x:c>
      <x:c r="C118" s="186" t="n">
        <x:v>49.4</x:v>
      </x:c>
      <x:c r="D118" s="186" t="n">
        <x:v>0.10632497273718644</x:v>
      </x:c>
      <x:c r="E118" s="186" t="n">
        <x:v>0.1542056074766356</x:v>
      </x:c>
      <x:c r="F118" s="187" t="n">
        <x:v>45901</x:v>
      </x:c>
      <x:c r="G118" s="186" t="n">
        <x:v>68</x:v>
      </x:c>
      <x:c r="H118" s="186" t="n">
        <x:v>2.97</x:v>
      </x:c>
      <x:c r="I118" s="186" t="n">
        <x:v>2653</x:v>
      </x:c>
      <x:c r="J118" s="186" t="n">
        <x:v>9984</x:v>
      </x:c>
      <x:c r="K118" s="186" t="n">
        <x:v>3668</x:v>
      </x:c>
      <x:c r="L118" s="186" t="n">
        <x:v>1435</x:v>
      </x:c>
      <x:c r="M118" s="186" t="n">
        <x:v>42.8</x:v>
      </x:c>
      <x:c r="N118" s="186" t="n">
        <x:v>85.70093457943926</x:v>
      </x:c>
      <x:c r="O118" s="186" t="n">
        <x:v>0.032471561530506676</x:v>
      </x:c>
      <x:c r="P118" s="186" t="n">
        <x:v>-0.0029325513196480912</x:v>
      </x:c>
      <x:c r="Q118" s="186" t="n">
        <x:v>4.12047619047619</x:v>
      </x:c>
      <x:c r="R118" s="186" t="n">
        <x:v>1.749047619047619</x:v>
      </x:c>
      <x:c r="S118" s="186" t="n">
        <x:v>2.3714285714285714</x:v>
      </x:c>
      <x:c r="T118" s="186" t="n">
        <x:v>120.0290619047619</x:v>
      </x:c>
      <x:c r="U118" s="186" t="n">
        <x:v>126.740585</x:v>
      </x:c>
      <x:c r="V118" s="186" t="n">
        <x:v>142.89134</x:v>
      </x:c>
      <x:c r="W118" s="186" t="n">
        <x:v>115.22395</x:v>
      </x:c>
      <x:c r="X118" s="186" t="n">
        <x:v>1.0189419</x:v>
      </x:c>
      <x:c r="Y118" s="186" t="n">
        <x:v>1.4565643</x:v>
      </x:c>
      <x:c r="Z118" s="186" t="n">
        <x:v>3.128674</x:v>
      </x:c>
      <x:c r="AA118" s="186" t="n">
        <x:v>161135.25</x:v>
      </x:c>
      <x:c r="AB118" s="186" t="n">
        <x:v>36882.5</x:v>
      </x:c>
      <x:c r="AC118" s="186" t="n">
        <x:v>-62598</x:v>
      </x:c>
      <x:c r="AD118" s="186" t="n">
        <x:v>-28603.25</x:v>
      </x:c>
      <x:c r="AE118" s="186" t="n">
        <x:v>0.31502016024077134</x:v>
      </x:c>
      <x:c r="AF118" s="186" t="n">
        <x:v>0.229274927157234</x:v>
      </x:c>
      <x:c r="AG118" s="186" t="n">
        <x:v>-0.14428571428571413</x:v>
      </x:c>
      <x:c r="AH118" s="186" t="n">
        <x:v>-0.13380952380952382</x:v>
      </x:c>
      <x:c r="AI118" s="186" t="n">
        <x:v>-0.010476190476190084</x:v>
      </x:c>
      <x:c r="AJ118" s="186" t="n">
        <x:v>-0.004534747088840829</x:v>
      </x:c>
      <x:c r="AK118" s="186" t="n">
        <x:v>-12.247879</x:v>
      </x:c>
      <x:c r="AL118" s="186" t="n">
        <x:v>17968.850000000006</x:v>
      </x:c>
      <x:c r="AM118" s="186" t="n">
        <x:v>4653.700000000001</x:v>
      </x:c>
      <x:c r="AN118" s="186" t="n">
        <x:v>-0.027976335827024856</x:v>
      </x:c>
      <x:c r="AO118" s="186" t="n">
        <x:v>1</x:v>
      </x:c>
      <x:c r="AP118" s="186" t="n">
        <x:v>1</x:v>
      </x:c>
    </x:row>
    <x:row r="119">
      <x:c r="A119" s="187" t="n">
        <x:v>45962</x:v>
      </x:c>
      <x:c r="B119" s="186" t="n">
        <x:v>4087</x:v>
      </x:c>
      <x:c r="C119" s="186" t="n">
        <x:v>50.4</x:v>
      </x:c>
      <x:c r="D119" s="186" t="n">
        <x:v>0.007146377525874881</x:v>
      </x:c>
      <x:c r="E119" s="186" t="n">
        <x:v>0.020242914979757165</x:v>
      </x:c>
      <x:c r="F119" s="187" t="n">
        <x:v>45931</x:v>
      </x:c>
      <x:c r="G119" s="186" t="n">
        <x:v>64.7</x:v>
      </x:c>
      <x:c r="H119" s="186" t="n">
        <x:v>3.2</x:v>
      </x:c>
      <x:c r="I119" s="186" t="n">
        <x:v>2793</x:v>
      </x:c>
      <x:c r="J119" s="186" t="n">
        <x:v>10740</x:v>
      </x:c>
      <x:c r="K119" s="186" t="n">
        <x:v>4058</x:v>
      </x:c>
      <x:c r="L119" s="186" t="n">
        <x:v>1616</x:v>
      </x:c>
      <x:c r="M119" s="186" t="n">
        <x:v>49.4</x:v>
      </x:c>
      <x:c r="N119" s="186" t="n">
        <x:v>82.14574898785425</x:v>
      </x:c>
      <x:c r="O119" s="186" t="n">
        <x:v>0.07572115384615374</x:v>
      </x:c>
      <x:c r="P119" s="186" t="n">
        <x:v>-0.04852941176470582</x:v>
      </x:c>
      <x:c r="Q119" s="186" t="n">
        <x:v>4.0618181818181816</x:v>
      </x:c>
      <x:c r="R119" s="186" t="n">
        <x:v>1.7568181818181818</x:v>
      </x:c>
      <x:c r="S119" s="186" t="n">
        <x:v>2.305</x:v>
      </x:c>
      <x:c r="T119" s="186" t="n">
        <x:v>120.7618</x:v>
      </x:c>
      <x:c r="U119" s="186" t="n">
        <x:v>154.51292</x:v>
      </x:c>
      <x:c r="V119" s="186" t="n">
        <x:v>167.99814</x:v>
      </x:c>
      <x:c r="W119" s="186" t="n">
        <x:v>151.54868</x:v>
      </x:c>
      <x:c r="X119" s="186" t="n">
        <x:v>0.9443993</x:v>
      </x:c>
      <x:c r="Y119" s="186" t="n">
        <x:v>1.5135405</x:v>
      </x:c>
      <x:c r="Z119" s="186" t="n">
        <x:v>3.75258</x:v>
      </x:c>
      <x:c r="AA119" s="186" t="n">
        <x:v>115936.4</x:v>
      </x:c>
      <x:c r="AB119" s="186" t="n">
        <x:v>24912.6</x:v>
      </x:c>
      <x:c r="AC119" s="186" t="n">
        <x:v>-61635.6</x:v>
      </x:c>
      <x:c r="AD119" s="186" t="n">
        <x:v>-24776.8</x:v>
      </x:c>
      <x:c r="AE119" s="186" t="n">
        <x:v>0.24148114998904074</x:v>
      </x:c>
      <x:c r="AF119" s="186" t="n">
        <x:v>0.15038908792072953</x:v>
      </x:c>
      <x:c r="AG119" s="186" t="n">
        <x:v>-0.05865800865800885</x:v>
      </x:c>
      <x:c r="AH119" s="186" t="n">
        <x:v>0.007770562770562872</x:v>
      </x:c>
      <x:c r="AI119" s="186" t="n">
        <x:v>-0.06642857142857128</x:v>
      </x:c>
      <x:c r="AJ119" s="186" t="n">
        <x:v>0.006104672348597351</x:v>
      </x:c>
      <x:c r="AK119" s="186" t="n">
        <x:v>27.772339</x:v>
      </x:c>
      <x:c r="AL119" s="186" t="n">
        <x:v>-45198.850000000006</x:v>
      </x:c>
      <x:c r="AM119" s="186" t="n">
        <x:v>-11969.900000000001</x:v>
      </x:c>
      <x:c r="AN119" s="186" t="n">
        <x:v>-0.041483626859279865</x:v>
      </x:c>
      <x:c r="AO119" s="186" t="n">
        <x:v>1</x:v>
      </x:c>
      <x:c r="AP119" s="186" t="n">
        <x:v>1</x:v>
      </x:c>
    </x:row>
    <x:row r="120">
      <x:c r="A120" s="187" t="n">
        <x:v>45992</x:v>
      </x:c>
      <x:c r="B120" s="186" t="n">
        <x:v>4309</x:v>
      </x:c>
      <x:c r="C120" s="186" t="n">
        <x:v>62.3</x:v>
      </x:c>
      <x:c r="D120" s="186" t="n">
        <x:v>0.05431857107903104</x:v>
      </x:c>
      <x:c r="E120" s="186" t="n">
        <x:v>0.23611111111111116</x:v>
      </x:c>
      <x:c r="F120" s="187" t="n">
        <x:v>45962</x:v>
      </x:c>
      <x:c r="G120" s="186" t="n">
        <x:v>63.6</x:v>
      </x:c>
      <x:c r="H120" s="186" t="n">
        <x:v>3.79</x:v>
      </x:c>
      <x:c r="I120" s="186" t="n">
        <x:v>2819</x:v>
      </x:c>
      <x:c r="J120" s="186" t="n">
        <x:v>10812</x:v>
      </x:c>
      <x:c r="K120" s="186" t="n">
        <x:v>4087</x:v>
      </x:c>
      <x:c r="L120" s="186" t="n">
        <x:v>1565</x:v>
      </x:c>
      <x:c r="M120" s="186" t="n">
        <x:v>50.4</x:v>
      </x:c>
      <x:c r="N120" s="186" t="n">
        <x:v>81.09126984126985</x:v>
      </x:c>
      <x:c r="O120" s="186" t="n">
        <x:v>0.006703910614525244</x:v>
      </x:c>
      <x:c r="P120" s="186" t="n">
        <x:v>-0.01700154559505407</x:v>
      </x:c>
      <x:c r="Q120" s="186" t="n">
        <x:v>4.0938888888888885</x:v>
      </x:c>
      <x:c r="R120" s="186" t="n">
        <x:v>1.8277777777777777</x:v>
      </x:c>
      <x:c r="S120" s="186" t="n">
        <x:v>2.266111111111111</x:v>
      </x:c>
      <x:c r="T120" s="186" t="n">
        <x:v>121.41771666666666</x:v>
      </x:c>
      <x:c r="U120" s="186" t="n">
        <x:v>104.35177</x:v>
      </x:c>
      <x:c r="V120" s="186" t="n">
        <x:v>118.69732</x:v>
      </x:c>
      <x:c r="W120" s="186" t="n">
        <x:v>88.69731</x:v>
      </x:c>
      <x:c r="X120" s="186" t="n">
        <x:v>0.6473509</x:v>
      </x:c>
      <x:c r="Y120" s="186" t="n">
        <x:v>1.2884169</x:v>
      </x:c>
      <x:c r="Z120" s="186" t="n">
        <x:v>2.658538</x:v>
      </x:c>
      <x:c r="AA120" s="186" t="n">
        <x:v>103036.5</x:v>
      </x:c>
      <x:c r="AB120" s="186" t="n">
        <x:v>20276.75</x:v>
      </x:c>
      <x:c r="AC120" s="186" t="n">
        <x:v>-55946.5</x:v>
      </x:c>
      <x:c r="AD120" s="186" t="n">
        <x:v>-23369.25</x:v>
      </x:c>
      <x:c r="AE120" s="186" t="n">
        <x:v>0.22751808389974243</x:v>
      </x:c>
      <x:c r="AF120" s="186" t="n">
        <x:v>0.13229012530780787</x:v>
      </x:c>
      <x:c r="AG120" s="186" t="n">
        <x:v>0.032070707070706916</x:v>
      </x:c>
      <x:c r="AH120" s="186" t="n">
        <x:v>0.07095959595959589</x:v>
      </x:c>
      <x:c r="AI120" s="186" t="n">
        <x:v>-0.038888888888889195</x:v>
      </x:c>
      <x:c r="AJ120" s="186" t="n">
        <x:v>0.0054314913049215985</x:v>
      </x:c>
      <x:c r="AK120" s="186" t="n">
        <x:v>-50.161156</x:v>
      </x:c>
      <x:c r="AL120" s="186" t="n">
        <x:v>-12899.899999999994</x:v>
      </x:c>
      <x:c r="AM120" s="186" t="n">
        <x:v>-4635.8499999999985</x:v>
      </x:c>
      <x:c r="AN120" s="186" t="n">
        <x:v>-0.012836685520273394</x:v>
      </x:c>
      <x:c r="AO120" s="186" t="n">
        <x:v>1</x:v>
      </x:c>
      <x:c r="AP120" s="186" t="n">
        <x:v>1</x:v>
      </x:c>
    </x:row>
    <x:row r="121">
      <x:c r="A121" s="187" t="n">
        <x:v>46023</x:v>
      </x:c>
      <x:c r="B121" s="186" t="n">
        <x:v>4753</x:v>
      </x:c>
      <x:c r="C121" s="186" t="n">
        <x:v>92.1</x:v>
      </x:c>
      <x:c r="D121" s="186" t="n">
        <x:v>0.10304014852634014</x:v>
      </x:c>
      <x:c r="E121" s="186" t="n">
        <x:v>0.478330658105939</x:v>
      </x:c>
      <x:c r="F121" s="187" t="n">
        <x:v>45992</x:v>
      </x:c>
      <x:c r="G121" s="186" t="n">
        <x:v>62.7</x:v>
      </x:c>
      <x:c r="H121" s="186" t="n">
        <x:v>4.25</x:v>
      </x:c>
      <x:c r="I121" s="186" t="n">
        <x:v>2876</x:v>
      </x:c>
      <x:c r="J121" s="186" t="n">
        <x:v>11785</x:v>
      </x:c>
      <x:c r="K121" s="186" t="n">
        <x:v>4309</x:v>
      </x:c>
      <x:c r="L121" s="186" t="n">
        <x:v>1893</x:v>
      </x:c>
      <x:c r="M121" s="186" t="n">
        <x:v>62.3</x:v>
      </x:c>
      <x:c r="N121" s="186" t="n">
        <x:v>69.16532905296951</x:v>
      </x:c>
      <x:c r="O121" s="186" t="n">
        <x:v>0.08999260081391047</x:v>
      </x:c>
      <x:c r="P121" s="186" t="n">
        <x:v>-0.014150943396226356</x:v>
      </x:c>
      <x:c r="Q121" s="186" t="n">
        <x:v>4.1431818181818185</x:v>
      </x:c>
      <x:c r="R121" s="186" t="n">
        <x:v>1.8990909090909092</x:v>
      </x:c>
      <x:c r="S121" s="186" t="n">
        <x:v>2.244090909090909</x:v>
      </x:c>
      <x:c r="T121" s="186" t="n">
        <x:v>120.18832272727272</x:v>
      </x:c>
      <x:c r="U121" s="186" t="n">
        <x:v>132.48622</x:v>
      </x:c>
      <x:c r="V121" s="186" t="n">
        <x:v>146.35893</x:v>
      </x:c>
      <x:c r="W121" s="186" t="n">
        <x:v>123.53462</x:v>
      </x:c>
      <x:c r="X121" s="186" t="n">
        <x:v>1.0032787</x:v>
      </x:c>
      <x:c r="Y121" s="186" t="n">
        <x:v>1.6983607</x:v>
      </x:c>
      <x:c r="Z121" s="186" t="n">
        <x:v>3.2459016</x:v>
      </x:c>
      <x:c r="AA121" s="186" t="n">
        <x:v>128184.5</x:v>
      </x:c>
      <x:c r="AB121" s="186" t="n">
        <x:v>22061</x:v>
      </x:c>
      <x:c r="AC121" s="186" t="n">
        <x:v>-48408.25</x:v>
      </x:c>
      <x:c r="AD121" s="186" t="n">
        <x:v>-26294.5</x:v>
      </x:c>
      <x:c r="AE121" s="186" t="n">
        <x:v>0.28287803285156193</x:v>
      </x:c>
      <x:c r="AF121" s="186" t="n">
        <x:v>0.14355965492395953</x:v>
      </x:c>
      <x:c r="AG121" s="186" t="n">
        <x:v>0.049292929292930054</x:v>
      </x:c>
      <x:c r="AH121" s="186" t="n">
        <x:v>0.07131313131313144</x:v>
      </x:c>
      <x:c r="AI121" s="186" t="n">
        <x:v>-0.02202020202020183</x:v>
      </x:c>
      <x:c r="AJ121" s="186" t="n">
        <x:v>-0.010125325802074259</x:v>
      </x:c>
      <x:c r="AK121" s="186" t="n">
        <x:v>28.134453</x:v>
      </x:c>
      <x:c r="AL121" s="186" t="n">
        <x:v>25148</x:v>
      </x:c>
      <x:c r="AM121" s="186" t="n">
        <x:v>1784.25</x:v>
      </x:c>
      <x:c r="AN121" s="186" t="n">
        <x:v>-0.14706812227314336</x:v>
      </x:c>
      <x:c r="AO121" s="186" t="n">
        <x:v>1</x:v>
      </x:c>
      <x:c r="AP121" s="186" t="n">
        <x:v>1</x:v>
      </x:c>
    </x:row>
    <x:row r="122">
      <x:c r="A122" s="187" t="n">
        <x:v>46054</x:v>
      </x:c>
      <x:c r="B122" s="186" t="n">
        <x:v>5020</x:v>
      </x:c>
      <x:c r="C122" s="186" t="n">
        <x:v>81.9</x:v>
      </x:c>
      <x:c r="D122" s="186" t="n">
        <x:v>0.056175047338522965</x:v>
      </x:c>
      <x:c r="E122" s="186" t="n">
        <x:v>-0.11074918566775238</x:v>
      </x:c>
      <x:c r="F122" s="187" t="n">
        <x:v>46023</x:v>
      </x:c>
      <x:c r="G122" s="186" t="n">
        <x:v>66.8</x:v>
      </x:c>
      <x:c r="H122" s="186" t="n">
        <x:v>7.58</x:v>
      </x:c>
      <x:c r="I122" s="186" t="n">
        <x:v>3142</x:v>
      </x:c>
      <x:c r="J122" s="186" t="n">
        <x:v>13012</x:v>
      </x:c>
      <x:c r="K122" s="186" t="n">
        <x:v>4753</x:v>
      </x:c>
      <x:c r="L122" s="186" t="n">
        <x:v>2434</x:v>
      </x:c>
      <x:c r="M122" s="186" t="n">
        <x:v>92.1</x:v>
      </x:c>
      <x:c r="N122" s="186" t="n">
        <x:v>51.60694896851249</x:v>
      </x:c>
      <x:c r="O122" s="186" t="n">
        <x:v>0.10411540093339</x:v>
      </x:c>
      <x:c r="P122" s="186" t="n">
        <x:v>0.06539074960127578</x:v>
      </x:c>
      <x:c r="Q122" s="186" t="n">
        <x:v>4.2135</x:v>
      </x:c>
      <x:c r="R122" s="186" t="n">
        <x:v>1.907</x:v>
      </x:c>
      <x:c r="S122" s="186" t="n">
        <x:v>2.3065</x:v>
      </x:c>
      <x:c r="T122" s="186" t="n">
        <x:v>119.22981</x:v>
      </x:c>
      <x:c r="U122" s="186" t="n">
        <x:v>168.62987</x:v>
      </x:c>
      <x:c r="V122" s="186" t="n">
        <x:v>220.17142</x:v>
      </x:c>
      <x:c r="W122" s="186" t="n">
        <x:v>100.2221</x:v>
      </x:c>
      <x:c r="X122" s="186" t="n">
        <x:v>1.5055369</x:v>
      </x:c>
      <x:c r="Y122" s="186" t="n">
        <x:v>1.9036955</x:v>
      </x:c>
      <x:c r="Z122" s="186" t="n">
        <x:v>4.5663805</x:v>
      </x:c>
      <x:c r="AA122" s="186" t="n">
        <x:v>127920.2</x:v>
      </x:c>
      <x:c r="AB122" s="186" t="n">
        <x:v>12253.4</x:v>
      </x:c>
      <x:c r="AC122" s="186" t="n">
        <x:v>-47813.2</x:v>
      </x:c>
      <x:c r="AD122" s="186" t="n">
        <x:v>-23619.8</x:v>
      </x:c>
      <x:c r="AE122" s="186" t="n">
        <x:v>0.25433258460156893</x:v>
      </x:c>
      <x:c r="AF122" s="186" t="n">
        <x:v>0.079571407294705</x:v>
      </x:c>
      <x:c r="AG122" s="186" t="n">
        <x:v>0.07031818181818128</x:v>
      </x:c>
      <x:c r="AH122" s="186" t="n">
        <x:v>0.007909090909090866</x:v>
      </x:c>
      <x:c r="AI122" s="186" t="n">
        <x:v>0.06240909090909108</x:v>
      </x:c>
      <x:c r="AJ122" s="186" t="n">
        <x:v>-0.0079750903043031</x:v>
      </x:c>
      <x:c r="AK122" s="186" t="n">
        <x:v>36.143646</x:v>
      </x:c>
      <x:c r="AL122" s="186" t="n">
        <x:v>-264.3000000000029</x:v>
      </x:c>
      <x:c r="AM122" s="186" t="n">
        <x:v>-9807.6</x:v>
      </x:c>
      <x:c r="AN122" s="186" t="n">
        <x:v>-0.25386100702289915</x:v>
      </x:c>
      <x:c r="AO122" s="186" t="n">
        <x:v>1</x:v>
      </x:c>
      <x:c r="AP122" s="186" t="n">
        <x:v>0</x:v>
      </x:c>
    </x:row>
    <x:row r="123">
      <x:c r="A123" s="187" t="n">
        <x:v>46082</x:v>
      </x:c>
      <x:c r="B123" s="186" t="n">
        <x:v>4856</x:v>
      </x:c>
      <x:c r="C123" s="186" t="n">
        <x:v>77.9</x:v>
      </x:c>
      <x:c r="D123" s="186" t="n">
        <x:v>-0.03266932270916334</x:v>
      </x:c>
      <x:c r="E123" s="186" t="n">
        <x:v>-0.04884004884004889</x:v>
      </x:c>
      <x:c r="F123" s="187" t="n">
        <x:v>46054</x:v>
      </x:c>
      <x:c r="G123" s="186" t="n">
        <x:v>71.1</x:v>
      </x:c>
      <x:c r="H123" s="186" t="n">
        <x:v>3.61</x:v>
      </x:c>
      <x:c r="I123" s="186" t="n">
        <x:v>3065</x:v>
      </x:c>
      <x:c r="J123" s="186" t="n">
        <x:v>12951</x:v>
      </x:c>
      <x:c r="K123" s="186" t="n">
        <x:v>5020</x:v>
      </x:c>
      <x:c r="L123" s="186" t="n">
        <x:v>2137</x:v>
      </x:c>
      <x:c r="M123" s="186" t="n">
        <x:v>81.9</x:v>
      </x:c>
      <x:c r="N123" s="186" t="n">
        <x:v>61.29426129426129</x:v>
      </x:c>
      <x:c r="O123" s="186" t="n">
        <x:v>-0.004687980325853047</x:v>
      </x:c>
      <x:c r="P123" s="186" t="n">
        <x:v>0.06437125748502992</x:v>
      </x:c>
      <x:c r="Q123" s="186" t="n">
        <x:v>4.12578947368421</x:v>
      </x:c>
      <x:c r="R123" s="186" t="n">
        <x:v>1.8247368421052632</x:v>
      </x:c>
      <x:c r="S123" s="186" t="n">
        <x:v>2.3010526315789472</x:v>
      </x:c>
      <x:c r="T123" s="186" t="n">
        <x:v>117.90602105263157</x:v>
      </x:c>
      <x:c r="U123" s="186" t="n">
        <x:v>119.86541</x:v>
      </x:c>
      <x:c r="V123" s="186" t="n">
        <x:v>156.00601</x:v>
      </x:c>
      <x:c r="W123" s="186" t="n">
        <x:v>81.24062</x:v>
      </x:c>
      <x:c r="X123" s="186" t="n">
        <x:v>0.87076986</x:v>
      </x:c>
      <x:c r="Y123" s="186" t="n">
        <x:v>1.2863646</x:v>
      </x:c>
      <x:c r="Z123" s="186" t="n">
        <x:v>3.0740814</x:v>
      </x:c>
      <x:c r="AA123" s="186" t="n">
        <x:v>93990.25</x:v>
      </x:c>
      <x:c r="AB123" s="186" t="n">
        <x:v>6010.75</x:v>
      </x:c>
      <x:c r="AC123" s="186" t="n">
        <x:v>-21073.75</x:v>
      </x:c>
      <x:c r="AD123" s="186" t="n">
        <x:v>-16903.75</x:v>
      </x:c>
      <x:c r="AE123" s="186" t="n">
        <x:v>0.22906632807307958</x:v>
      </x:c>
      <x:c r="AF123" s="186" t="n">
        <x:v>0.045578404835889555</x:v>
      </x:c>
      <x:c r="AG123" s="186" t="n">
        <x:v>-0.08771052631578957</x:v>
      </x:c>
      <x:c r="AH123" s="186" t="n">
        <x:v>-0.08226315789473682</x:v>
      </x:c>
      <x:c r="AI123" s="186" t="n">
        <x:v>-0.005447368421052978</x:v>
      </x:c>
      <x:c r="AJ123" s="186" t="n">
        <x:v>-0.011102835334287908</x:v>
      </x:c>
      <x:c r="AK123" s="186" t="n">
        <x:v>-48.764458</x:v>
      </x:c>
      <x:c r="AL123" s="186" t="n">
        <x:v>-33929.95</x:v>
      </x:c>
      <x:c r="AM123" s="186" t="n">
        <x:v>-6242.65</x:v>
      </x:c>
      <x:c r="AN123" s="186" t="n">
        <x:v>0.18771333162244153</x:v>
      </x:c>
      <x:c r="AO123" s="186" t="n">
        <x:v>0</x:v>
      </x:c>
      <x:c r="AP123" s="186" t="n">
        <x:v>0</x:v>
      </x:c>
    </x:row>
    <x:row r="124">
      <x:c r="A124" s="187" t="n">
        <x:v>46113</x:v>
      </x:c>
      <x:c r="B124" s="186" t="n">
        <x:v>4721</x:v>
      </x:c>
      <x:c r="C124" s="186" t="n">
        <x:v>75.9</x:v>
      </x:c>
      <x:c r="D124" s="186" t="n">
        <x:v>-0.027800658978583193</x:v>
      </x:c>
      <x:c r="E124" s="186" t="n">
        <x:v>-0.025673940949935803</x:v>
      </x:c>
      <x:c r="F124" s="187" t="n">
        <x:v>46082</x:v>
      </x:c>
      <x:c r="G124" s="186" t="n">
        <x:v>103.7</x:v>
      </x:c>
      <x:c r="H124" s="186" t="n">
        <x:v>3.06</x:v>
      </x:c>
      <x:c r="I124" s="186" t="n">
        <x:v>3373</x:v>
      </x:c>
      <x:c r="J124" s="186" t="n">
        <x:v>12529</x:v>
      </x:c>
      <x:c r="K124" s="186" t="n">
        <x:v>4856</x:v>
      </x:c>
      <x:c r="L124" s="186" t="n">
        <x:v>2046</x:v>
      </x:c>
      <x:c r="M124" s="186" t="n">
        <x:v>77.9</x:v>
      </x:c>
      <x:c r="N124" s="186" t="n">
        <x:v>62.33632862644416</x:v>
      </x:c>
      <x:c r="O124" s="186" t="n">
        <x:v>-0.03258435642035362</x:v>
      </x:c>
      <x:c r="P124" s="186" t="n">
        <x:v>0.45850914205344595</x:v>
      </x:c>
      <x:c r="Q124" s="186" t="n">
        <x:v>4.245909090909091</x:v>
      </x:c>
      <x:c r="R124" s="186" t="n">
        <x:v>1.9090909090909092</x:v>
      </x:c>
      <x:c r="S124" s="186" t="n">
        <x:v>2.3368181818181815</x:v>
      </x:c>
      <x:c r="T124" s="186" t="n">
        <x:v>119.91985454545456</x:v>
      </x:c>
      <x:c r="U124" s="186" t="n">
        <x:v>330.94464</x:v>
      </x:c>
      <x:c r="V124" s="186" t="n">
        <x:v>320.1606</x:v>
      </x:c>
      <x:c r="W124" s="186" t="n">
        <x:v>450.74365</x:v>
      </x:c>
      <x:c r="X124" s="186" t="n">
        <x:v>1.698526</x:v>
      </x:c>
      <x:c r="Y124" s="186" t="n">
        <x:v>2.5046062</x:v>
      </x:c>
      <x:c r="Z124" s="186" t="n">
        <x:v>8.682634</x:v>
      </x:c>
      <x:c r="AA124" s="186" t="n">
        <x:v>97495</x:v>
      </x:c>
      <x:c r="AB124" s="186" t="n">
        <x:v>9715</x:v>
      </x:c>
      <x:c r="AC124" s="186" t="n">
        <x:v>-20134.25</x:v>
      </x:c>
      <x:c r="AD124" s="186" t="n">
        <x:v>-15301.75</x:v>
      </x:c>
      <x:c r="AE124" s="186" t="n">
        <x:v>0.237880332657406</x:v>
      </x:c>
      <x:c r="AF124" s="186" t="n">
        <x:v>0.08507668441696457</x:v>
      </x:c>
      <x:c r="AG124" s="186" t="n">
        <x:v>0.12011961722488085</x:v>
      </x:c>
      <x:c r="AH124" s="186" t="n">
        <x:v>0.08435406698564596</x:v>
      </x:c>
      <x:c r="AI124" s="186" t="n">
        <x:v>0.03576555023923422</x:v>
      </x:c>
      <x:c r="AJ124" s="186" t="n">
        <x:v>0.017079988577716865</x:v>
      </x:c>
      <x:c r="AK124" s="186" t="n">
        <x:v>211.07922</x:v>
      </x:c>
      <x:c r="AL124" s="186" t="n">
        <x:v>3504.75</x:v>
      </x:c>
      <x:c r="AM124" s="186" t="n">
        <x:v>3704.25</x:v>
      </x:c>
      <x:c r="AN124" s="186" t="n">
        <x:v>0.017001058666489488</x:v>
      </x:c>
      <x:c r="AO124" s="186" t="n">
        <x:v>0</x:v>
      </x:c>
      <x:c r="AP124" s="186" t="n">
        <x:v>0</x:v>
      </x:c>
    </x:row>
    <x:row r="125">
      <x:c r="A125" s="187" t="n">
        <x:v>46143</x:v>
      </x:c>
      <x:c r="B125" s="186" t="n">
        <x:v>4587</x:v>
      </x:c>
      <x:c r="C125" s="186" t="n">
        <x:v>78</x:v>
      </x:c>
      <x:c r="D125" s="186" t="n">
        <x:v>-0.028383816987926247</x:v>
      </x:c>
      <x:c r="E125" s="186" t="n">
        <x:v>0.02766798418972316</x:v>
      </x:c>
      <x:c r="F125" s="187" t="n">
        <x:v>46113</x:v>
      </x:c>
      <x:c r="G125" s="186" t="n">
        <x:v>120.4</x:v>
      </x:c>
      <x:c r="H125" s="186" t="n">
        <x:v>2.77</x:v>
      </x:c>
      <x:c r="I125" s="186" t="n">
        <x:v>3600</x:v>
      </x:c>
      <x:c r="J125" s="186" t="n">
        <x:v>12951</x:v>
      </x:c>
      <x:c r="K125" s="186" t="n">
        <x:v>4721</x:v>
      </x:c>
      <x:c r="L125" s="186" t="n">
        <x:v>2028</x:v>
      </x:c>
      <x:c r="M125" s="186" t="n">
        <x:v>75.9</x:v>
      </x:c>
      <x:c r="N125" s="186" t="n">
        <x:v>62.20026350461133</x:v>
      </x:c>
      <x:c r="O125" s="186" t="n">
        <x:v>0.033681858089233074</x:v>
      </x:c>
      <x:c r="P125" s="186" t="n">
        <x:v>0.16104146576663458</x:v>
      </x:c>
      <x:c r="Q125" s="186" t="n">
        <x:v>4.319090909090909</x:v>
      </x:c>
      <x:c r="R125" s="186" t="n">
        <x:v>1.9368181818181818</x:v>
      </x:c>
      <x:c r="S125" s="186" t="n">
        <x:v>2.3822727272727273</x:v>
      </x:c>
      <x:c r="T125" s="186" t="n">
        <x:v>119.03631818181817</x:v>
      </x:c>
      <x:c r="U125" s="186" t="n">
        <x:v>254.4295</x:v>
      </x:c>
      <x:c r="V125" s="186" t="n">
        <x:v>274.10672</x:v>
      </x:c>
      <x:c r="W125" s="186" t="n">
        <x:v>310.0836</x:v>
      </x:c>
      <x:c r="X125" s="186" t="n">
        <x:v>1.6724479</x:v>
      </x:c>
      <x:c r="Y125" s="186" t="n">
        <x:v>1.746779</x:v>
      </x:c>
      <x:c r="Z125" s="186" t="n">
        <x:v>6.7269573</x:v>
      </x:c>
      <x:c r="AA125" s="186" t="n">
        <x:v>92740.75</x:v>
      </x:c>
      <x:c r="AB125" s="186" t="n">
        <x:v>10450.5</x:v>
      </x:c>
      <x:c r="AC125" s="186" t="n">
        <x:v>-19538.5</x:v>
      </x:c>
      <x:c r="AD125" s="186" t="n">
        <x:v>-16058.75</x:v>
      </x:c>
      <x:c r="AE125" s="186" t="n">
        <x:v>0.2568187161482261</x:v>
      </x:c>
      <x:c r="AF125" s="186" t="n">
        <x:v>0.09031843922727677</x:v>
      </x:c>
      <x:c r="AG125" s="186" t="n">
        <x:v>0.07318181818181824</x:v>
      </x:c>
      <x:c r="AH125" s="186" t="n">
        <x:v>0.0277272727272726</x:v>
      </x:c>
      <x:c r="AI125" s="186" t="n">
        <x:v>0.04545454545454586</x:v>
      </x:c>
      <x:c r="AJ125" s="186" t="n">
        <x:v>-0.007367723776728563</x:v>
      </x:c>
      <x:c r="AK125" s="186" t="n">
        <x:v>-76.51514</x:v>
      </x:c>
      <x:c r="AL125" s="186" t="n">
        <x:v>-4754.25</x:v>
      </x:c>
      <x:c r="AM125" s="186" t="n">
        <x:v>735.5</x:v>
      </x:c>
      <x:c r="AN125" s="186" t="n">
        <x:v>-0.0021827580294022653</x:v>
      </x:c>
      <x:c r="AO125" s="186" t="n">
        <x:v>0</x:v>
      </x:c>
      <x:c r="AP125" s="186" t="n">
        <x:v>1</x:v>
      </x:c>
    </x:row>
    <x:row r="126">
      <x:c r="A126" s="187" t="n">
        <x:v>46174</x:v>
      </x:c>
      <x:c r="B126" s="186" t="n">
        <x:v>4228</x:v>
      </x:c>
      <x:c r="C126" s="186" t="n">
        <x:v>66.7</x:v>
      </x:c>
      <x:c r="D126" s="186" t="n">
        <x:v>-0.07826466099847396</x:v>
      </x:c>
      <x:c r="E126" s="186" t="n">
        <x:v>-0.1448717948717948</x:v>
      </x:c>
      <x:c r="F126" s="187" t="n">
        <x:v>46143</x:v>
      </x:c>
      <x:c r="G126" s="186" t="n">
        <x:v>107.5</x:v>
      </x:c>
      <x:c r="H126" s="186" t="n">
        <x:v>2.93</x:v>
      </x:c>
      <x:c r="I126" s="186" t="n">
        <x:v>3666</x:v>
      </x:c>
      <x:c r="J126" s="186" t="n">
        <x:v>13543</x:v>
      </x:c>
      <x:c r="K126" s="186" t="n">
        <x:v>4587</x:v>
      </x:c>
      <x:c r="L126" s="186" t="n">
        <x:v>1998</x:v>
      </x:c>
      <x:c r="M126" s="186" t="n">
        <x:v>78</x:v>
      </x:c>
      <x:c r="N126" s="186" t="n">
        <x:v>58.80769230769231</x:v>
      </x:c>
      <x:c r="O126" s="186" t="n">
        <x:v>0.045710755926183344</x:v>
      </x:c>
      <x:c r="P126" s="186" t="n">
        <x:v>-0.1071428571428572</x:v>
      </x:c>
      <x:c r="Q126" s="186" t="n">
        <x:v>4.484</x:v>
      </x:c>
      <x:c r="R126" s="186" t="n">
        <x:v>2.039</x:v>
      </x:c>
      <x:c r="S126" s="186" t="n">
        <x:v>2.445</x:v>
      </x:c>
      <x:c r="T126" s="186" t="n">
        <x:v>118.77918500000001</x:v>
      </x:c>
      <x:c r="U126" s="186" t="n">
        <x:v>203.55667</x:v>
      </x:c>
      <x:c r="V126" s="186" t="n">
        <x:v>233.46385</x:v>
      </x:c>
      <x:c r="W126" s="186" t="n">
        <x:v>215.21938</x:v>
      </x:c>
      <x:c r="X126" s="186" t="n">
        <x:v>1.7222084</x:v>
      </x:c>
      <x:c r="Y126" s="186" t="n">
        <x:v>1.6600348</x:v>
      </x:c>
      <x:c r="Z126" s="186" t="n">
        <x:v>5.303407</x:v>
      </x:c>
      <x:c r="AA126" s="186" t="n">
        <x:v>94601.4</x:v>
      </x:c>
      <x:c r="AB126" s="186" t="n">
        <x:v>11765.8</x:v>
      </x:c>
      <x:c r="AC126" s="186" t="n">
        <x:v>-19386</x:v>
      </x:c>
      <x:c r="AD126" s="186" t="n">
        <x:v>-18838.6</x:v>
      </x:c>
      <x:c r="AE126" s="186" t="n">
        <x:v>0.2563307296056082</x:v>
      </x:c>
      <x:c r="AF126" s="186" t="n">
        <x:v>0.11640624874600884</x:v>
      </x:c>
      <x:c r="AG126" s="186" t="n">
        <x:v>0.16490909090909067</x:v>
      </x:c>
      <x:c r="AH126" s="186" t="n">
        <x:v>0.10218181818181837</x:v>
      </x:c>
      <x:c r="AI126" s="186" t="n">
        <x:v>0.06272727272727252</x:v>
      </x:c>
      <x:c r="AJ126" s="186" t="n">
        <x:v>-0.0021601237819319774</x:v>
      </x:c>
      <x:c r="AK126" s="186" t="n">
        <x:v>-50.872833</x:v>
      </x:c>
      <x:c r="AL126" s="186" t="n">
        <x:v>1860.6499999999942</x:v>
      </x:c>
      <x:c r="AM126" s="186" t="n">
        <x:v>1315.2999999999993</x:v>
      </x:c>
      <x:c r="AN126" s="186" t="n">
        <x:v>-0.05454271422286672</x:v>
      </x:c>
      <x:c r="AO126" s="186" t="n">
        <x:v>0</x:v>
      </x:c>
      <x:c r="AP126" s="18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2d7afde77d49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8" hidden="0" customHeight="1">
      <x:c r="A1" s="185" t="str">
        <x:v>date</x:v>
      </x:c>
      <x:c r="B1" s="185" t="str">
        <x:v>brent_usd_bbl</x:v>
      </x:c>
      <x:c r="C1" s="185" t="str">
        <x:v>natural_gas_us_usd_mmbtu</x:v>
      </x:c>
      <x:c r="D1" s="185" t="str">
        <x:v>aluminum_usd_mt</x:v>
      </x:c>
      <x:c r="E1" s="185" t="str">
        <x:v>copper_usd_mt</x:v>
      </x:c>
      <x:c r="F1" s="185" t="str">
        <x:v>gold_usd_oz</x:v>
      </x:c>
      <x:c r="G1" s="185" t="str">
        <x:v>platinum_usd_oz</x:v>
      </x:c>
      <x:c r="H1" s="185" t="str">
        <x:v>silver_usd_oz</x:v>
      </x:c>
      <x:c r="I1" s="185" t="str">
        <x:v>gold_silver_ratio</x:v>
      </x:c>
      <x:c r="J1" s="185" t="str">
        <x:v>gold_return_1m</x:v>
      </x:c>
      <x:c r="K1" s="185" t="str">
        <x:v>silver_return_1m</x:v>
      </x:c>
      <x:c r="L1" s="185" t="str">
        <x:v>copper_return_1m</x:v>
      </x:c>
      <x:c r="M1" s="185" t="str">
        <x:v>brent_return_1m</x:v>
      </x:c>
    </x:row>
    <x:row r="2" ht="15" hidden="0" customHeight="1">
      <x:c r="A2" s="194" t="n">
        <x:v>42370</x:v>
      </x:c>
      <x:c r="B2" s="195" t="n">
        <x:v>30.8</x:v>
      </x:c>
      <x:c r="C2" s="195" t="n">
        <x:v>2.27</x:v>
      </x:c>
      <x:c r="D2" s="195" t="n">
        <x:v>1481</x:v>
      </x:c>
      <x:c r="E2" s="195" t="n">
        <x:v>4472</x:v>
      </x:c>
      <x:c r="F2" s="195" t="n">
        <x:v>1098</x:v>
      </x:c>
      <x:c r="G2" s="195" t="n">
        <x:v>855</x:v>
      </x:c>
      <x:c r="H2" s="195" t="n">
        <x:v>14.1</x:v>
      </x:c>
      <x:c r="I2" s="195" t="n">
        <x:f>IFERROR(F2/H2,"")</x:f>
        <x:v>77.87234042553192</x:v>
      </x:c>
      <x:c r="J2" s="196"/>
      <x:c r="K2" s="196"/>
      <x:c r="L2" s="196"/>
      <x:c r="M2" s="196"/>
    </x:row>
    <x:row r="3" ht="15" hidden="0" customHeight="1">
      <x:c r="A3" s="194" t="n">
        <x:v>42401</x:v>
      </x:c>
      <x:c r="B3" s="195" t="n">
        <x:v>33.2</x:v>
      </x:c>
      <x:c r="C3" s="195" t="n">
        <x:v>1.96</x:v>
      </x:c>
      <x:c r="D3" s="195" t="n">
        <x:v>1531</x:v>
      </x:c>
      <x:c r="E3" s="195" t="n">
        <x:v>4599</x:v>
      </x:c>
      <x:c r="F3" s="195" t="n">
        <x:v>1200</x:v>
      </x:c>
      <x:c r="G3" s="195" t="n">
        <x:v>919</x:v>
      </x:c>
      <x:c r="H3" s="195" t="n">
        <x:v>15.2</x:v>
      </x:c>
      <x:c r="I3" s="195" t="n">
        <x:f>IFERROR(F3/H3,"")</x:f>
        <x:v>78.94736842105263</x:v>
      </x:c>
      <x:c r="J3" s="196" t="n">
        <x:f>IFERROR(F3/F2-1,"")</x:f>
        <x:v>0.09289617486338808</x:v>
      </x:c>
      <x:c r="K3" s="196" t="n">
        <x:f>IFERROR(H3/H2-1,"")</x:f>
        <x:v>0.07801418439716312</x:v>
      </x:c>
      <x:c r="L3" s="196" t="n">
        <x:f>IFERROR(E3/E2-1,"")</x:f>
        <x:v>0.02839892665474064</x:v>
      </x:c>
      <x:c r="M3" s="196" t="n">
        <x:f>IFERROR(B3/B2-1,"")</x:f>
        <x:v>0.07792207792207795</x:v>
      </x:c>
    </x:row>
    <x:row r="4" ht="15" hidden="0" customHeight="1">
      <x:c r="A4" s="194" t="n">
        <x:v>42430</x:v>
      </x:c>
      <x:c r="B4" s="195" t="n">
        <x:v>39.1</x:v>
      </x:c>
      <x:c r="C4" s="195" t="n">
        <x:v>1.7</x:v>
      </x:c>
      <x:c r="D4" s="195" t="n">
        <x:v>1531</x:v>
      </x:c>
      <x:c r="E4" s="195" t="n">
        <x:v>4954</x:v>
      </x:c>
      <x:c r="F4" s="195" t="n">
        <x:v>1245</x:v>
      </x:c>
      <x:c r="G4" s="195" t="n">
        <x:v>968</x:v>
      </x:c>
      <x:c r="H4" s="195" t="n">
        <x:v>15.5</x:v>
      </x:c>
      <x:c r="I4" s="195" t="n">
        <x:f>IFERROR(F4/H4,"")</x:f>
        <x:v>80.3225806451613</x:v>
      </x:c>
      <x:c r="J4" s="196" t="n">
        <x:f>IFERROR(F4/F3-1,"")</x:f>
        <x:v>0.03750000000000009</x:v>
      </x:c>
      <x:c r="K4" s="196" t="n">
        <x:f>IFERROR(H4/H3-1,"")</x:f>
        <x:v>0.019736842105263275</x:v>
      </x:c>
      <x:c r="L4" s="196" t="n">
        <x:f>IFERROR(E4/E3-1,"")</x:f>
        <x:v>0.07719069362904984</x:v>
      </x:c>
      <x:c r="M4" s="196" t="n">
        <x:f>IFERROR(B4/B3-1,"")</x:f>
        <x:v>0.17771084337349397</x:v>
      </x:c>
    </x:row>
    <x:row r="5" ht="15" hidden="0" customHeight="1">
      <x:c r="A5" s="194" t="n">
        <x:v>42461</x:v>
      </x:c>
      <x:c r="B5" s="195" t="n">
        <x:v>42.3</x:v>
      </x:c>
      <x:c r="C5" s="195" t="n">
        <x:v>1.9</x:v>
      </x:c>
      <x:c r="D5" s="195" t="n">
        <x:v>1571</x:v>
      </x:c>
      <x:c r="E5" s="195" t="n">
        <x:v>4873</x:v>
      </x:c>
      <x:c r="F5" s="195" t="n">
        <x:v>1242</x:v>
      </x:c>
      <x:c r="G5" s="195" t="n">
        <x:v>994</x:v>
      </x:c>
      <x:c r="H5" s="195" t="n">
        <x:v>16.4</x:v>
      </x:c>
      <x:c r="I5" s="195" t="n">
        <x:f>IFERROR(F5/H5,"")</x:f>
        <x:v>75.73170731707317</x:v>
      </x:c>
      <x:c r="J5" s="196" t="n">
        <x:f>IFERROR(F5/F4-1,"")</x:f>
        <x:v>-0.002409638554216831</x:v>
      </x:c>
      <x:c r="K5" s="196" t="n">
        <x:f>IFERROR(H5/H4-1,"")</x:f>
        <x:v>0.05806451612903207</x:v>
      </x:c>
      <x:c r="L5" s="196" t="n">
        <x:f>IFERROR(E5/E4-1,"")</x:f>
        <x:v>-0.01635042389987884</x:v>
      </x:c>
      <x:c r="M5" s="196" t="n">
        <x:f>IFERROR(B5/B4-1,"")</x:f>
        <x:v>0.08184143222506379</x:v>
      </x:c>
    </x:row>
    <x:row r="6" ht="15" hidden="0" customHeight="1">
      <x:c r="A6" s="194" t="n">
        <x:v>42491</x:v>
      </x:c>
      <x:c r="B6" s="195" t="n">
        <x:v>47.1</x:v>
      </x:c>
      <x:c r="C6" s="195" t="n">
        <x:v>1.92</x:v>
      </x:c>
      <x:c r="D6" s="195" t="n">
        <x:v>1551</x:v>
      </x:c>
      <x:c r="E6" s="195" t="n">
        <x:v>4695</x:v>
      </x:c>
      <x:c r="F6" s="195" t="n">
        <x:v>1261</x:v>
      </x:c>
      <x:c r="G6" s="195" t="n">
        <x:v>1036</x:v>
      </x:c>
      <x:c r="H6" s="195" t="n">
        <x:v>16.9</x:v>
      </x:c>
      <x:c r="I6" s="195" t="n">
        <x:f>IFERROR(F6/H6,"")</x:f>
        <x:v>74.61538461538463</x:v>
      </x:c>
      <x:c r="J6" s="196" t="n">
        <x:f>IFERROR(F6/F5-1,"")</x:f>
        <x:v>0.015297906602254496</x:v>
      </x:c>
      <x:c r="K6" s="196" t="n">
        <x:f>IFERROR(H6/H5-1,"")</x:f>
        <x:v>0.030487804878048808</x:v>
      </x:c>
      <x:c r="L6" s="196" t="n">
        <x:f>IFERROR(E6/E5-1,"")</x:f>
        <x:v>-0.03652780627949925</x:v>
      </x:c>
      <x:c r="M6" s="196" t="n">
        <x:f>IFERROR(B6/B5-1,"")</x:f>
        <x:v>0.1134751773049647</x:v>
      </x:c>
    </x:row>
    <x:row r="7" ht="15" hidden="0" customHeight="1">
      <x:c r="A7" s="194" t="n">
        <x:v>42522</x:v>
      </x:c>
      <x:c r="B7" s="195" t="n">
        <x:v>48.5</x:v>
      </x:c>
      <x:c r="C7" s="195" t="n">
        <x:v>2.57</x:v>
      </x:c>
      <x:c r="D7" s="195" t="n">
        <x:v>1594</x:v>
      </x:c>
      <x:c r="E7" s="195" t="n">
        <x:v>4642</x:v>
      </x:c>
      <x:c r="F7" s="195" t="n">
        <x:v>1276</x:v>
      </x:c>
      <x:c r="G7" s="195" t="n">
        <x:v>984</x:v>
      </x:c>
      <x:c r="H7" s="195" t="n">
        <x:v>17.3</x:v>
      </x:c>
      <x:c r="I7" s="195" t="n">
        <x:f>IFERROR(F7/H7,"")</x:f>
        <x:v>73.757225433526</x:v>
      </x:c>
      <x:c r="J7" s="196" t="n">
        <x:f>IFERROR(F7/F6-1,"")</x:f>
        <x:v>0.011895321173671647</x:v>
      </x:c>
      <x:c r="K7" s="196" t="n">
        <x:f>IFERROR(H7/H6-1,"")</x:f>
        <x:v>0.02366863905325456</x:v>
      </x:c>
      <x:c r="L7" s="196" t="n">
        <x:f>IFERROR(E7/E6-1,"")</x:f>
        <x:v>-0.011288604898828547</x:v>
      </x:c>
      <x:c r="M7" s="196" t="n">
        <x:f>IFERROR(B7/B6-1,"")</x:f>
        <x:v>0.02972399150743099</x:v>
      </x:c>
    </x:row>
    <x:row r="8" ht="15" hidden="0" customHeight="1">
      <x:c r="A8" s="194" t="n">
        <x:v>42552</x:v>
      </x:c>
      <x:c r="B8" s="195" t="n">
        <x:v>45.1</x:v>
      </x:c>
      <x:c r="C8" s="195" t="n">
        <x:v>2.79</x:v>
      </x:c>
      <x:c r="D8" s="195" t="n">
        <x:v>1629</x:v>
      </x:c>
      <x:c r="E8" s="195" t="n">
        <x:v>4865</x:v>
      </x:c>
      <x:c r="F8" s="195" t="n">
        <x:v>1337</x:v>
      </x:c>
      <x:c r="G8" s="195" t="n">
        <x:v>1088</x:v>
      </x:c>
      <x:c r="H8" s="195" t="n">
        <x:v>20</x:v>
      </x:c>
      <x:c r="I8" s="195" t="n">
        <x:f>IFERROR(F8/H8,"")</x:f>
        <x:v>66.85</x:v>
      </x:c>
      <x:c r="J8" s="196" t="n">
        <x:f>IFERROR(F8/F7-1,"")</x:f>
        <x:v>0.04780564263322895</x:v>
      </x:c>
      <x:c r="K8" s="196" t="n">
        <x:f>IFERROR(H8/H7-1,"")</x:f>
        <x:v>0.15606936416184958</x:v>
      </x:c>
      <x:c r="L8" s="196" t="n">
        <x:f>IFERROR(E8/E7-1,"")</x:f>
        <x:v>0.04803963808703138</x:v>
      </x:c>
      <x:c r="M8" s="196" t="n">
        <x:f>IFERROR(B8/B7-1,"")</x:f>
        <x:v>-0.07010309278350513</x:v>
      </x:c>
    </x:row>
    <x:row r="9" ht="15" hidden="0" customHeight="1">
      <x:c r="A9" s="194" t="n">
        <x:v>42583</x:v>
      </x:c>
      <x:c r="B9" s="195" t="n">
        <x:v>46.1</x:v>
      </x:c>
      <x:c r="C9" s="195" t="n">
        <x:v>2.79</x:v>
      </x:c>
      <x:c r="D9" s="195" t="n">
        <x:v>1639</x:v>
      </x:c>
      <x:c r="E9" s="195" t="n">
        <x:v>4752</x:v>
      </x:c>
      <x:c r="F9" s="195" t="n">
        <x:v>1340</x:v>
      </x:c>
      <x:c r="G9" s="195" t="n">
        <x:v>1122</x:v>
      </x:c>
      <x:c r="H9" s="195" t="n">
        <x:v>19.6</x:v>
      </x:c>
      <x:c r="I9" s="195" t="n">
        <x:f>IFERROR(F9/H9,"")</x:f>
        <x:v>68.36734693877551</x:v>
      </x:c>
      <x:c r="J9" s="196" t="n">
        <x:f>IFERROR(F9/F8-1,"")</x:f>
        <x:v>0.002243829468960401</x:v>
      </x:c>
      <x:c r="K9" s="196" t="n">
        <x:f>IFERROR(H9/H8-1,"")</x:f>
        <x:v>-0.019999999999999907</x:v>
      </x:c>
      <x:c r="L9" s="196" t="n">
        <x:f>IFERROR(E9/E8-1,"")</x:f>
        <x:v>-0.02322713257965059</x:v>
      </x:c>
      <x:c r="M9" s="196" t="n">
        <x:f>IFERROR(B9/B8-1,"")</x:f>
        <x:v>0.022172949002217335</x:v>
      </x:c>
    </x:row>
    <x:row r="10" ht="15" hidden="0" customHeight="1">
      <x:c r="A10" s="194" t="n">
        <x:v>42614</x:v>
      </x:c>
      <x:c r="B10" s="195" t="n">
        <x:v>46.2</x:v>
      </x:c>
      <x:c r="C10" s="195" t="n">
        <x:v>2.97</x:v>
      </x:c>
      <x:c r="D10" s="195" t="n">
        <x:v>1592</x:v>
      </x:c>
      <x:c r="E10" s="195" t="n">
        <x:v>4722</x:v>
      </x:c>
      <x:c r="F10" s="195" t="n">
        <x:v>1327</x:v>
      </x:c>
      <x:c r="G10" s="195" t="n">
        <x:v>1047</x:v>
      </x:c>
      <x:c r="H10" s="195" t="n">
        <x:v>19.4</x:v>
      </x:c>
      <x:c r="I10" s="195" t="n">
        <x:f>IFERROR(F10/H10,"")</x:f>
        <x:v>68.40206185567011</x:v>
      </x:c>
      <x:c r="J10" s="196" t="n">
        <x:f>IFERROR(F10/F9-1,"")</x:f>
        <x:v>-0.00970149253731345</x:v>
      </x:c>
      <x:c r="K10" s="196" t="n">
        <x:f>IFERROR(H10/H9-1,"")</x:f>
        <x:v>-0.010204081632653184</x:v>
      </x:c>
      <x:c r="L10" s="196" t="n">
        <x:f>IFERROR(E10/E9-1,"")</x:f>
        <x:v>-0.0063131313131312705</x:v>
      </x:c>
      <x:c r="M10" s="196" t="n">
        <x:f>IFERROR(B10/B9-1,"")</x:f>
        <x:v>0.002169197396963085</x:v>
      </x:c>
    </x:row>
    <x:row r="11" ht="15" hidden="0" customHeight="1">
      <x:c r="A11" s="194" t="n">
        <x:v>42644</x:v>
      </x:c>
      <x:c r="B11" s="195" t="n">
        <x:v>49.7</x:v>
      </x:c>
      <x:c r="C11" s="195" t="n">
        <x:v>2.95</x:v>
      </x:c>
      <x:c r="D11" s="195" t="n">
        <x:v>1666</x:v>
      </x:c>
      <x:c r="E11" s="195" t="n">
        <x:v>4731</x:v>
      </x:c>
      <x:c r="F11" s="195" t="n">
        <x:v>1267</x:v>
      </x:c>
      <x:c r="G11" s="195" t="n">
        <x:v>959</x:v>
      </x:c>
      <x:c r="H11" s="195" t="n">
        <x:v>17.7</x:v>
      </x:c>
      <x:c r="I11" s="195" t="n">
        <x:f>IFERROR(F11/H11,"")</x:f>
        <x:v>71.58192090395481</x:v>
      </x:c>
      <x:c r="J11" s="196" t="n">
        <x:f>IFERROR(F11/F10-1,"")</x:f>
        <x:v>-0.045214770158251705</x:v>
      </x:c>
      <x:c r="K11" s="196" t="n">
        <x:f>IFERROR(H11/H10-1,"")</x:f>
        <x:v>-0.08762886597938147</x:v>
      </x:c>
      <x:c r="L11" s="196" t="n">
        <x:f>IFERROR(E11/E10-1,"")</x:f>
        <x:v>0.001905972045743276</x:v>
      </x:c>
      <x:c r="M11" s="196" t="n">
        <x:f>IFERROR(B11/B10-1,"")</x:f>
        <x:v>0.07575757575757569</x:v>
      </x:c>
    </x:row>
    <x:row r="12" ht="15" hidden="0" customHeight="1">
      <x:c r="A12" s="194" t="n">
        <x:v>42675</x:v>
      </x:c>
      <x:c r="B12" s="195" t="n">
        <x:v>46.4</x:v>
      </x:c>
      <x:c r="C12" s="195" t="n">
        <x:v>2.5</x:v>
      </x:c>
      <x:c r="D12" s="195" t="n">
        <x:v>1737</x:v>
      </x:c>
      <x:c r="E12" s="195" t="n">
        <x:v>5451</x:v>
      </x:c>
      <x:c r="F12" s="195" t="n">
        <x:v>1238</x:v>
      </x:c>
      <x:c r="G12" s="195" t="n">
        <x:v>955</x:v>
      </x:c>
      <x:c r="H12" s="195" t="n">
        <x:v>17.4</x:v>
      </x:c>
      <x:c r="I12" s="195" t="n">
        <x:f>IFERROR(F12/H12,"")</x:f>
        <x:v>71.14942528735632</x:v>
      </x:c>
      <x:c r="J12" s="196" t="n">
        <x:f>IFERROR(F12/F11-1,"")</x:f>
        <x:v>-0.022888713496448276</x:v>
      </x:c>
      <x:c r="K12" s="196" t="n">
        <x:f>IFERROR(H12/H11-1,"")</x:f>
        <x:v>-0.016949152542372947</x:v>
      </x:c>
      <x:c r="L12" s="196" t="n">
        <x:f>IFERROR(E12/E11-1,"")</x:f>
        <x:v>0.15218769816106525</x:v>
      </x:c>
      <x:c r="M12" s="196" t="n">
        <x:f>IFERROR(B12/B11-1,"")</x:f>
        <x:v>-0.06639839034205242</x:v>
      </x:c>
    </x:row>
    <x:row r="13" ht="15" hidden="0" customHeight="1">
      <x:c r="A13" s="194" t="n">
        <x:v>42705</x:v>
      </x:c>
      <x:c r="B13" s="195" t="n">
        <x:v>54.1</x:v>
      </x:c>
      <x:c r="C13" s="195" t="n">
        <x:v>3.58</x:v>
      </x:c>
      <x:c r="D13" s="195" t="n">
        <x:v>1728</x:v>
      </x:c>
      <x:c r="E13" s="195" t="n">
        <x:v>5660</x:v>
      </x:c>
      <x:c r="F13" s="195" t="n">
        <x:v>1157</x:v>
      </x:c>
      <x:c r="G13" s="195" t="n">
        <x:v>918</x:v>
      </x:c>
      <x:c r="H13" s="195" t="n">
        <x:v>16.4</x:v>
      </x:c>
      <x:c r="I13" s="195" t="n">
        <x:f>IFERROR(F13/H13,"")</x:f>
        <x:v>70.54878048780489</x:v>
      </x:c>
      <x:c r="J13" s="196" t="n">
        <x:f>IFERROR(F13/F12-1,"")</x:f>
        <x:v>-0.06542810985460423</x:v>
      </x:c>
      <x:c r="K13" s="196" t="n">
        <x:f>IFERROR(H13/H12-1,"")</x:f>
        <x:v>-0.05747126436781613</x:v>
      </x:c>
      <x:c r="L13" s="196" t="n">
        <x:f>IFERROR(E13/E12-1,"")</x:f>
        <x:v>0.03834158869932125</x:v>
      </x:c>
      <x:c r="M13" s="196" t="n">
        <x:f>IFERROR(B13/B12-1,"")</x:f>
        <x:v>0.16594827586206895</x:v>
      </x:c>
    </x:row>
    <x:row r="14" ht="15" hidden="0" customHeight="1">
      <x:c r="A14" s="194" t="n">
        <x:v>42736</x:v>
      </x:c>
      <x:c r="B14" s="195" t="n">
        <x:v>54.9</x:v>
      </x:c>
      <x:c r="C14" s="195" t="n">
        <x:v>3.26</x:v>
      </x:c>
      <x:c r="D14" s="195" t="n">
        <x:v>1791</x:v>
      </x:c>
      <x:c r="E14" s="195" t="n">
        <x:v>5755</x:v>
      </x:c>
      <x:c r="F14" s="195" t="n">
        <x:v>1192</x:v>
      </x:c>
      <x:c r="G14" s="195" t="n">
        <x:v>971</x:v>
      </x:c>
      <x:c r="H14" s="195" t="n">
        <x:v>16.9</x:v>
      </x:c>
      <x:c r="I14" s="195" t="n">
        <x:f>IFERROR(F14/H14,"")</x:f>
        <x:v>70.53254437869823</x:v>
      </x:c>
      <x:c r="J14" s="196" t="n">
        <x:f>IFERROR(F14/F13-1,"")</x:f>
        <x:v>0.030250648228176358</x:v>
      </x:c>
      <x:c r="K14" s="196" t="n">
        <x:f>IFERROR(H14/H13-1,"")</x:f>
        <x:v>0.030487804878048808</x:v>
      </x:c>
      <x:c r="L14" s="196" t="n">
        <x:f>IFERROR(E14/E13-1,"")</x:f>
        <x:v>0.016784452296819685</x:v>
      </x:c>
      <x:c r="M14" s="196" t="n">
        <x:f>IFERROR(B14/B13-1,"")</x:f>
        <x:v>0.014787430683918634</x:v>
      </x:c>
    </x:row>
    <x:row r="15" ht="15" hidden="0" customHeight="1">
      <x:c r="A15" s="194" t="n">
        <x:v>42767</x:v>
      </x:c>
      <x:c r="B15" s="195" t="n">
        <x:v>55.5</x:v>
      </x:c>
      <x:c r="C15" s="195" t="n">
        <x:v>2.82</x:v>
      </x:c>
      <x:c r="D15" s="195" t="n">
        <x:v>1861</x:v>
      </x:c>
      <x:c r="E15" s="195" t="n">
        <x:v>5941</x:v>
      </x:c>
      <x:c r="F15" s="195" t="n">
        <x:v>1234</x:v>
      </x:c>
      <x:c r="G15" s="195" t="n">
        <x:v>1008</x:v>
      </x:c>
      <x:c r="H15" s="195" t="n">
        <x:v>17.9</x:v>
      </x:c>
      <x:c r="I15" s="195" t="n">
        <x:f>IFERROR(F15/H15,"")</x:f>
        <x:v>68.93854748603353</x:v>
      </x:c>
      <x:c r="J15" s="196" t="n">
        <x:f>IFERROR(F15/F14-1,"")</x:f>
        <x:v>0.03523489932885915</x:v>
      </x:c>
      <x:c r="K15" s="196" t="n">
        <x:f>IFERROR(H15/H14-1,"")</x:f>
        <x:v>0.059171597633136175</x:v>
      </x:c>
      <x:c r="L15" s="196" t="n">
        <x:f>IFERROR(E15/E14-1,"")</x:f>
        <x:v>0.032319721980886174</x:v>
      </x:c>
      <x:c r="M15" s="196" t="n">
        <x:f>IFERROR(B15/B14-1,"")</x:f>
        <x:v>0.010928961748633892</x:v>
      </x:c>
    </x:row>
    <x:row r="16" ht="15" hidden="0" customHeight="1">
      <x:c r="A16" s="194" t="n">
        <x:v>42795</x:v>
      </x:c>
      <x:c r="B16" s="195" t="n">
        <x:v>52</x:v>
      </x:c>
      <x:c r="C16" s="195" t="n">
        <x:v>2.89</x:v>
      </x:c>
      <x:c r="D16" s="195" t="n">
        <x:v>1901</x:v>
      </x:c>
      <x:c r="E16" s="195" t="n">
        <x:v>5825</x:v>
      </x:c>
      <x:c r="F16" s="195" t="n">
        <x:v>1231</x:v>
      </x:c>
      <x:c r="G16" s="195" t="n">
        <x:v>963</x:v>
      </x:c>
      <x:c r="H16" s="195" t="n">
        <x:v>17.6</x:v>
      </x:c>
      <x:c r="I16" s="195" t="n">
        <x:f>IFERROR(F16/H16,"")</x:f>
        <x:v>69.94318181818181</x:v>
      </x:c>
      <x:c r="J16" s="196" t="n">
        <x:f>IFERROR(F16/F15-1,"")</x:f>
        <x:v>-0.002431118314424663</x:v>
      </x:c>
      <x:c r="K16" s="196" t="n">
        <x:f>IFERROR(H16/H15-1,"")</x:f>
        <x:v>-0.016759776536312665</x:v>
      </x:c>
      <x:c r="L16" s="196" t="n">
        <x:f>IFERROR(E16/E15-1,"")</x:f>
        <x:v>-0.019525332435616938</x:v>
      </x:c>
      <x:c r="M16" s="196" t="n">
        <x:f>IFERROR(B16/B15-1,"")</x:f>
        <x:v>-0.06306306306306309</x:v>
      </x:c>
    </x:row>
    <x:row r="17" ht="15" hidden="0" customHeight="1">
      <x:c r="A17" s="194" t="n">
        <x:v>42826</x:v>
      </x:c>
      <x:c r="B17" s="195" t="n">
        <x:v>53</x:v>
      </x:c>
      <x:c r="C17" s="195" t="n">
        <x:v>3.08</x:v>
      </x:c>
      <x:c r="D17" s="195" t="n">
        <x:v>1921</x:v>
      </x:c>
      <x:c r="E17" s="195" t="n">
        <x:v>5684</x:v>
      </x:c>
      <x:c r="F17" s="195" t="n">
        <x:v>1267</x:v>
      </x:c>
      <x:c r="G17" s="195" t="n">
        <x:v>961</x:v>
      </x:c>
      <x:c r="H17" s="195" t="n">
        <x:v>18</x:v>
      </x:c>
      <x:c r="I17" s="195" t="n">
        <x:f>IFERROR(F17/H17,"")</x:f>
        <x:v>70.38888888888889</x:v>
      </x:c>
      <x:c r="J17" s="196" t="n">
        <x:f>IFERROR(F17/F16-1,"")</x:f>
        <x:v>0.02924451665312744</x:v>
      </x:c>
      <x:c r="K17" s="196" t="n">
        <x:f>IFERROR(H17/H16-1,"")</x:f>
        <x:v>0.022727272727272707</x:v>
      </x:c>
      <x:c r="L17" s="196" t="n">
        <x:f>IFERROR(E17/E16-1,"")</x:f>
        <x:v>-0.02420600858369104</x:v>
      </x:c>
      <x:c r="M17" s="196" t="n">
        <x:f>IFERROR(B17/B16-1,"")</x:f>
        <x:v>0.019230769230769162</x:v>
      </x:c>
    </x:row>
    <x:row r="18" ht="15" hidden="0" customHeight="1">
      <x:c r="A18" s="194" t="n">
        <x:v>42856</x:v>
      </x:c>
      <x:c r="B18" s="195" t="n">
        <x:v>50.9</x:v>
      </x:c>
      <x:c r="C18" s="195" t="n">
        <x:v>3.12</x:v>
      </x:c>
      <x:c r="D18" s="195" t="n">
        <x:v>1913</x:v>
      </x:c>
      <x:c r="E18" s="195" t="n">
        <x:v>5600</x:v>
      </x:c>
      <x:c r="F18" s="195" t="n">
        <x:v>1246</x:v>
      </x:c>
      <x:c r="G18" s="195" t="n">
        <x:v>930</x:v>
      </x:c>
      <x:c r="H18" s="195" t="n">
        <x:v>16.7</x:v>
      </x:c>
      <x:c r="I18" s="195" t="n">
        <x:f>IFERROR(F18/H18,"")</x:f>
        <x:v>74.61077844311377</x:v>
      </x:c>
      <x:c r="J18" s="196" t="n">
        <x:f>IFERROR(F18/F17-1,"")</x:f>
        <x:v>-0.016574585635359074</x:v>
      </x:c>
      <x:c r="K18" s="196" t="n">
        <x:f>IFERROR(H18/H17-1,"")</x:f>
        <x:v>-0.0722222222222223</x:v>
      </x:c>
      <x:c r="L18" s="196" t="n">
        <x:f>IFERROR(E18/E17-1,"")</x:f>
        <x:v>-0.014778325123152691</x:v>
      </x:c>
      <x:c r="M18" s="196" t="n">
        <x:f>IFERROR(B18/B17-1,"")</x:f>
        <x:v>-0.03962264150943395</x:v>
      </x:c>
    </x:row>
    <x:row r="19" ht="15" hidden="0" customHeight="1">
      <x:c r="A19" s="194" t="n">
        <x:v>42887</x:v>
      </x:c>
      <x:c r="B19" s="195" t="n">
        <x:v>46.9</x:v>
      </x:c>
      <x:c r="C19" s="195" t="n">
        <x:v>2.94</x:v>
      </x:c>
      <x:c r="D19" s="195" t="n">
        <x:v>1885</x:v>
      </x:c>
      <x:c r="E19" s="195" t="n">
        <x:v>5720</x:v>
      </x:c>
      <x:c r="F19" s="195" t="n">
        <x:v>1260</x:v>
      </x:c>
      <x:c r="G19" s="195" t="n">
        <x:v>931</x:v>
      </x:c>
      <x:c r="H19" s="195" t="n">
        <x:v>16.9</x:v>
      </x:c>
      <x:c r="I19" s="195" t="n">
        <x:f>IFERROR(F19/H19,"")</x:f>
        <x:v>74.55621301775149</x:v>
      </x:c>
      <x:c r="J19" s="196" t="n">
        <x:f>IFERROR(F19/F18-1,"")</x:f>
        <x:v>0.011235955056179803</x:v>
      </x:c>
      <x:c r="K19" s="196" t="n">
        <x:f>IFERROR(H19/H18-1,"")</x:f>
        <x:v>0.011976047904191489</x:v>
      </x:c>
      <x:c r="L19" s="196" t="n">
        <x:f>IFERROR(E19/E18-1,"")</x:f>
        <x:v>0.021428571428571352</x:v>
      </x:c>
      <x:c r="M19" s="196" t="n">
        <x:f>IFERROR(B19/B18-1,"")</x:f>
        <x:v>-0.07858546168958747</x:v>
      </x:c>
    </x:row>
    <x:row r="20" ht="15" hidden="0" customHeight="1">
      <x:c r="A20" s="194" t="n">
        <x:v>42917</x:v>
      </x:c>
      <x:c r="B20" s="195" t="n">
        <x:v>48.7</x:v>
      </x:c>
      <x:c r="C20" s="195" t="n">
        <x:v>2.96</x:v>
      </x:c>
      <x:c r="D20" s="195" t="n">
        <x:v>1903</x:v>
      </x:c>
      <x:c r="E20" s="195" t="n">
        <x:v>5985</x:v>
      </x:c>
      <x:c r="F20" s="195" t="n">
        <x:v>1237</x:v>
      </x:c>
      <x:c r="G20" s="195" t="n">
        <x:v>919</x:v>
      </x:c>
      <x:c r="H20" s="195" t="n">
        <x:v>16.2</x:v>
      </x:c>
      <x:c r="I20" s="195" t="n">
        <x:f>IFERROR(F20/H20,"")</x:f>
        <x:v>76.35802469135803</x:v>
      </x:c>
      <x:c r="J20" s="196" t="n">
        <x:f>IFERROR(F20/F19-1,"")</x:f>
        <x:v>-0.0182539682539683</x:v>
      </x:c>
      <x:c r="K20" s="196" t="n">
        <x:f>IFERROR(H20/H19-1,"")</x:f>
        <x:v>-0.041420118343195256</x:v>
      </x:c>
      <x:c r="L20" s="196" t="n">
        <x:f>IFERROR(E20/E19-1,"")</x:f>
        <x:v>0.046328671328671245</x:v>
      </x:c>
      <x:c r="M20" s="196" t="n">
        <x:f>IFERROR(B20/B19-1,"")</x:f>
        <x:v>0.03837953091684443</x:v>
      </x:c>
    </x:row>
    <x:row r="21" ht="15" hidden="0" customHeight="1">
      <x:c r="A21" s="194" t="n">
        <x:v>42948</x:v>
      </x:c>
      <x:c r="B21" s="195" t="n">
        <x:v>51.4</x:v>
      </x:c>
      <x:c r="C21" s="195" t="n">
        <x:v>2.88</x:v>
      </x:c>
      <x:c r="D21" s="195" t="n">
        <x:v>2030</x:v>
      </x:c>
      <x:c r="E21" s="195" t="n">
        <x:v>6486</x:v>
      </x:c>
      <x:c r="F21" s="195" t="n">
        <x:v>1283</x:v>
      </x:c>
      <x:c r="G21" s="195" t="n">
        <x:v>973</x:v>
      </x:c>
      <x:c r="H21" s="195" t="n">
        <x:v>17</x:v>
      </x:c>
      <x:c r="I21" s="195" t="n">
        <x:f>IFERROR(F21/H21,"")</x:f>
        <x:v>75.47058823529412</x:v>
      </x:c>
      <x:c r="J21" s="196" t="n">
        <x:f>IFERROR(F21/F20-1,"")</x:f>
        <x:v>0.037186742118027416</x:v>
      </x:c>
      <x:c r="K21" s="196" t="n">
        <x:f>IFERROR(H21/H20-1,"")</x:f>
        <x:v>0.04938271604938271</x:v>
      </x:c>
      <x:c r="L21" s="196" t="n">
        <x:f>IFERROR(E21/E20-1,"")</x:f>
        <x:v>0.0837092731829574</x:v>
      </x:c>
      <x:c r="M21" s="196" t="n">
        <x:f>IFERROR(B21/B20-1,"")</x:f>
        <x:v>0.05544147843942504</x:v>
      </x:c>
    </x:row>
    <x:row r="22" ht="15" hidden="0" customHeight="1">
      <x:c r="A22" s="194" t="n">
        <x:v>42979</x:v>
      </x:c>
      <x:c r="B22" s="195" t="n">
        <x:v>55.2</x:v>
      </x:c>
      <x:c r="C22" s="195" t="n">
        <x:v>2.96</x:v>
      </x:c>
      <x:c r="D22" s="195" t="n">
        <x:v>2096</x:v>
      </x:c>
      <x:c r="E22" s="195" t="n">
        <x:v>6577</x:v>
      </x:c>
      <x:c r="F22" s="195" t="n">
        <x:v>1314</x:v>
      </x:c>
      <x:c r="G22" s="195" t="n">
        <x:v>964</x:v>
      </x:c>
      <x:c r="H22" s="195" t="n">
        <x:v>17.4</x:v>
      </x:c>
      <x:c r="I22" s="195" t="n">
        <x:f>IFERROR(F22/H22,"")</x:f>
        <x:v>75.51724137931035</x:v>
      </x:c>
      <x:c r="J22" s="196" t="n">
        <x:f>IFERROR(F22/F21-1,"")</x:f>
        <x:v>0.024162120031177015</x:v>
      </x:c>
      <x:c r="K22" s="196" t="n">
        <x:f>IFERROR(H22/H21-1,"")</x:f>
        <x:v>0.0235294117647058</x:v>
      </x:c>
      <x:c r="L22" s="196" t="n">
        <x:f>IFERROR(E22/E21-1,"")</x:f>
        <x:v>0.014030218933086758</x:v>
      </x:c>
      <x:c r="M22" s="196" t="n">
        <x:f>IFERROR(B22/B21-1,"")</x:f>
        <x:v>0.07392996108949434</x:v>
      </x:c>
    </x:row>
    <x:row r="23" ht="15" hidden="0" customHeight="1">
      <x:c r="A23" s="194" t="n">
        <x:v>43009</x:v>
      </x:c>
      <x:c r="B23" s="195" t="n">
        <x:v>57.6</x:v>
      </x:c>
      <x:c r="C23" s="195" t="n">
        <x:v>2.86</x:v>
      </x:c>
      <x:c r="D23" s="195" t="n">
        <x:v>2131</x:v>
      </x:c>
      <x:c r="E23" s="195" t="n">
        <x:v>6808</x:v>
      </x:c>
      <x:c r="F23" s="195" t="n">
        <x:v>1280</x:v>
      </x:c>
      <x:c r="G23" s="195" t="n">
        <x:v>921</x:v>
      </x:c>
      <x:c r="H23" s="195" t="n">
        <x:v>16.9</x:v>
      </x:c>
      <x:c r="I23" s="195" t="n">
        <x:f>IFERROR(F23/H23,"")</x:f>
        <x:v>75.7396449704142</x:v>
      </x:c>
      <x:c r="J23" s="196" t="n">
        <x:f>IFERROR(F23/F22-1,"")</x:f>
        <x:v>-0.025875190258751957</x:v>
      </x:c>
      <x:c r="K23" s="196" t="n">
        <x:f>IFERROR(H23/H22-1,"")</x:f>
        <x:v>-0.028735632183908066</x:v>
      </x:c>
      <x:c r="L23" s="196" t="n">
        <x:f>IFERROR(E23/E22-1,"")</x:f>
        <x:v>0.035122396229283925</x:v>
      </x:c>
      <x:c r="M23" s="196" t="n">
        <x:f>IFERROR(B23/B22-1,"")</x:f>
        <x:v>0.04347826086956519</x:v>
      </x:c>
    </x:row>
    <x:row r="24" ht="15" hidden="0" customHeight="1">
      <x:c r="A24" s="194" t="n">
        <x:v>43040</x:v>
      </x:c>
      <x:c r="B24" s="195" t="n">
        <x:v>62.6</x:v>
      </x:c>
      <x:c r="C24" s="195" t="n">
        <x:v>2.99</x:v>
      </x:c>
      <x:c r="D24" s="195" t="n">
        <x:v>2097</x:v>
      </x:c>
      <x:c r="E24" s="195" t="n">
        <x:v>6827</x:v>
      </x:c>
      <x:c r="F24" s="195" t="n">
        <x:v>1282</x:v>
      </x:c>
      <x:c r="G24" s="195" t="n">
        <x:v>934</x:v>
      </x:c>
      <x:c r="H24" s="195" t="n">
        <x:v>17</x:v>
      </x:c>
      <x:c r="I24" s="195" t="n">
        <x:f>IFERROR(F24/H24,"")</x:f>
        <x:v>75.41176470588235</x:v>
      </x:c>
      <x:c r="J24" s="196" t="n">
        <x:f>IFERROR(F24/F23-1,"")</x:f>
        <x:v>0.0015624999999999112</x:v>
      </x:c>
      <x:c r="K24" s="196" t="n">
        <x:f>IFERROR(H24/H23-1,"")</x:f>
        <x:v>0.00591715976331364</x:v>
      </x:c>
      <x:c r="L24" s="196" t="n">
        <x:f>IFERROR(E24/E23-1,"")</x:f>
        <x:v>0.0027908343125735424</x:v>
      </x:c>
      <x:c r="M24" s="196" t="n">
        <x:f>IFERROR(B24/B23-1,"")</x:f>
        <x:v>0.08680555555555558</x:v>
      </x:c>
    </x:row>
    <x:row r="25" ht="15" hidden="0" customHeight="1">
      <x:c r="A25" s="194" t="n">
        <x:v>43070</x:v>
      </x:c>
      <x:c r="B25" s="195" t="n">
        <x:v>64.2</x:v>
      </x:c>
      <x:c r="C25" s="195" t="n">
        <x:v>2.76</x:v>
      </x:c>
      <x:c r="D25" s="195" t="n">
        <x:v>2080</x:v>
      </x:c>
      <x:c r="E25" s="195" t="n">
        <x:v>6834</x:v>
      </x:c>
      <x:c r="F25" s="195" t="n">
        <x:v>1264</x:v>
      </x:c>
      <x:c r="G25" s="195" t="n">
        <x:v>907</x:v>
      </x:c>
      <x:c r="H25" s="195" t="n">
        <x:v>16.2</x:v>
      </x:c>
      <x:c r="I25" s="195" t="n">
        <x:f>IFERROR(F25/H25,"")</x:f>
        <x:v>78.0246913580247</x:v>
      </x:c>
      <x:c r="J25" s="196" t="n">
        <x:f>IFERROR(F25/F24-1,"")</x:f>
        <x:v>-0.01404056162246492</x:v>
      </x:c>
      <x:c r="K25" s="196" t="n">
        <x:f>IFERROR(H25/H24-1,"")</x:f>
        <x:v>-0.04705882352941182</x:v>
      </x:c>
      <x:c r="L25" s="196" t="n">
        <x:f>IFERROR(E25/E24-1,"")</x:f>
        <x:v>0.0010253405595430642</x:v>
      </x:c>
      <x:c r="M25" s="196" t="n">
        <x:f>IFERROR(B25/B24-1,"")</x:f>
        <x:v>0.025559105431310014</x:v>
      </x:c>
    </x:row>
    <x:row r="26" ht="15" hidden="0" customHeight="1">
      <x:c r="A26" s="194" t="n">
        <x:v>43101</x:v>
      </x:c>
      <x:c r="B26" s="195" t="n">
        <x:v>69</x:v>
      </x:c>
      <x:c r="C26" s="195" t="n">
        <x:v>3.86</x:v>
      </x:c>
      <x:c r="D26" s="195" t="n">
        <x:v>2210</x:v>
      </x:c>
      <x:c r="E26" s="195" t="n">
        <x:v>7066</x:v>
      </x:c>
      <x:c r="F26" s="195" t="n">
        <x:v>1331</x:v>
      </x:c>
      <x:c r="G26" s="195" t="n">
        <x:v>990</x:v>
      </x:c>
      <x:c r="H26" s="195" t="n">
        <x:v>17.1</x:v>
      </x:c>
      <x:c r="I26" s="195" t="n">
        <x:f>IFERROR(F26/H26,"")</x:f>
        <x:v>77.83625730994152</x:v>
      </x:c>
      <x:c r="J26" s="196" t="n">
        <x:f>IFERROR(F26/F25-1,"")</x:f>
        <x:v>0.053006329113924</x:v>
      </x:c>
      <x:c r="K26" s="196" t="n">
        <x:f>IFERROR(H26/H25-1,"")</x:f>
        <x:v>0.05555555555555558</x:v>
      </x:c>
      <x:c r="L26" s="196" t="n">
        <x:f>IFERROR(E26/E25-1,"")</x:f>
        <x:v>0.03394790752121746</x:v>
      </x:c>
      <x:c r="M26" s="196" t="n">
        <x:f>IFERROR(B26/B25-1,"")</x:f>
        <x:v>0.07476635514018692</x:v>
      </x:c>
    </x:row>
    <x:row r="27" ht="15" hidden="0" customHeight="1">
      <x:c r="A27" s="194" t="n">
        <x:v>43132</x:v>
      </x:c>
      <x:c r="B27" s="195" t="n">
        <x:v>65.4</x:v>
      </x:c>
      <x:c r="C27" s="195" t="n">
        <x:v>2.67</x:v>
      </x:c>
      <x:c r="D27" s="195" t="n">
        <x:v>2182</x:v>
      </x:c>
      <x:c r="E27" s="195" t="n">
        <x:v>7007</x:v>
      </x:c>
      <x:c r="F27" s="195" t="n">
        <x:v>1331</x:v>
      </x:c>
      <x:c r="G27" s="195" t="n">
        <x:v>987</x:v>
      </x:c>
      <x:c r="H27" s="195" t="n">
        <x:v>16.6</x:v>
      </x:c>
      <x:c r="I27" s="195" t="n">
        <x:f>IFERROR(F27/H27,"")</x:f>
        <x:v>80.18072289156626</x:v>
      </x:c>
      <x:c r="J27" s="196" t="n">
        <x:f>IFERROR(F27/F26-1,"")</x:f>
        <x:v>0</x:v>
      </x:c>
      <x:c r="K27" s="196" t="n">
        <x:f>IFERROR(H27/H26-1,"")</x:f>
        <x:v>-0.029239766081871288</x:v>
      </x:c>
      <x:c r="L27" s="196" t="n">
        <x:f>IFERROR(E27/E26-1,"")</x:f>
        <x:v>-0.00834984432493635</x:v>
      </x:c>
      <x:c r="M27" s="196" t="n">
        <x:f>IFERROR(B27/B26-1,"")</x:f>
        <x:v>-0.05217391304347818</x:v>
      </x:c>
    </x:row>
    <x:row r="28" ht="15" hidden="0" customHeight="1">
      <x:c r="A28" s="194" t="n">
        <x:v>43160</x:v>
      </x:c>
      <x:c r="B28" s="195" t="n">
        <x:v>66.5</x:v>
      </x:c>
      <x:c r="C28" s="195" t="n">
        <x:v>2.7</x:v>
      </x:c>
      <x:c r="D28" s="195" t="n">
        <x:v>2069</x:v>
      </x:c>
      <x:c r="E28" s="195" t="n">
        <x:v>6799</x:v>
      </x:c>
      <x:c r="F28" s="195" t="n">
        <x:v>1325</x:v>
      </x:c>
      <x:c r="G28" s="195" t="n">
        <x:v>955</x:v>
      </x:c>
      <x:c r="H28" s="195" t="n">
        <x:v>16.5</x:v>
      </x:c>
      <x:c r="I28" s="195" t="n">
        <x:f>IFERROR(F28/H28,"")</x:f>
        <x:v>80.3030303030303</x:v>
      </x:c>
      <x:c r="J28" s="196" t="n">
        <x:f>IFERROR(F28/F27-1,"")</x:f>
        <x:v>-0.004507888805409421</x:v>
      </x:c>
      <x:c r="K28" s="196" t="n">
        <x:f>IFERROR(H28/H27-1,"")</x:f>
        <x:v>-0.006024096385542244</x:v>
      </x:c>
      <x:c r="L28" s="196" t="n">
        <x:f>IFERROR(E28/E27-1,"")</x:f>
        <x:v>-0.029684601113172504</x:v>
      </x:c>
      <x:c r="M28" s="196" t="n">
        <x:f>IFERROR(B28/B27-1,"")</x:f>
        <x:v>0.01681957186544336</x:v>
      </x:c>
    </x:row>
    <x:row r="29" ht="15" hidden="0" customHeight="1">
      <x:c r="A29" s="194" t="n">
        <x:v>43191</x:v>
      </x:c>
      <x:c r="B29" s="195" t="n">
        <x:v>71.6</x:v>
      </x:c>
      <x:c r="C29" s="195" t="n">
        <x:v>2.78</x:v>
      </x:c>
      <x:c r="D29" s="195" t="n">
        <x:v>2255</x:v>
      </x:c>
      <x:c r="E29" s="195" t="n">
        <x:v>6852</x:v>
      </x:c>
      <x:c r="F29" s="195" t="n">
        <x:v>1335</x:v>
      </x:c>
      <x:c r="G29" s="195" t="n">
        <x:v>924</x:v>
      </x:c>
      <x:c r="H29" s="195" t="n">
        <x:v>16.6</x:v>
      </x:c>
      <x:c r="I29" s="195" t="n">
        <x:f>IFERROR(F29/H29,"")</x:f>
        <x:v>80.42168674698794</x:v>
      </x:c>
      <x:c r="J29" s="196" t="n">
        <x:f>IFERROR(F29/F28-1,"")</x:f>
        <x:v>0.007547169811320753</x:v>
      </x:c>
      <x:c r="K29" s="196" t="n">
        <x:f>IFERROR(H29/H28-1,"")</x:f>
        <x:v>0.0060606060606061</x:v>
      </x:c>
      <x:c r="L29" s="196" t="n">
        <x:f>IFERROR(E29/E28-1,"")</x:f>
        <x:v>0.007795264009413216</x:v>
      </x:c>
      <x:c r="M29" s="196" t="n">
        <x:f>IFERROR(B29/B28-1,"")</x:f>
        <x:v>0.07669172932330826</x:v>
      </x:c>
    </x:row>
    <x:row r="30" ht="15" hidden="0" customHeight="1">
      <x:c r="A30" s="194" t="n">
        <x:v>43221</x:v>
      </x:c>
      <x:c r="B30" s="195" t="n">
        <x:v>76.7</x:v>
      </x:c>
      <x:c r="C30" s="195" t="n">
        <x:v>2.8</x:v>
      </x:c>
      <x:c r="D30" s="195" t="n">
        <x:v>2300</x:v>
      </x:c>
      <x:c r="E30" s="195" t="n">
        <x:v>6825</x:v>
      </x:c>
      <x:c r="F30" s="195" t="n">
        <x:v>1303</x:v>
      </x:c>
      <x:c r="G30" s="195" t="n">
        <x:v>905</x:v>
      </x:c>
      <x:c r="H30" s="195" t="n">
        <x:v>16.5</x:v>
      </x:c>
      <x:c r="I30" s="195" t="n">
        <x:f>IFERROR(F30/H30,"")</x:f>
        <x:v>78.96969696969697</x:v>
      </x:c>
      <x:c r="J30" s="196" t="n">
        <x:f>IFERROR(F30/F29-1,"")</x:f>
        <x:v>-0.02397003745318349</x:v>
      </x:c>
      <x:c r="K30" s="196" t="n">
        <x:f>IFERROR(H30/H29-1,"")</x:f>
        <x:v>-0.006024096385542244</x:v>
      </x:c>
      <x:c r="L30" s="196" t="n">
        <x:f>IFERROR(E30/E29-1,"")</x:f>
        <x:v>-0.0039404553415061105</x:v>
      </x:c>
      <x:c r="M30" s="196" t="n">
        <x:f>IFERROR(B30/B29-1,"")</x:f>
        <x:v>0.0712290502793298</x:v>
      </x:c>
    </x:row>
    <x:row r="31" ht="15" hidden="0" customHeight="1">
      <x:c r="A31" s="194" t="n">
        <x:v>43252</x:v>
      </x:c>
      <x:c r="B31" s="195" t="n">
        <x:v>75.2</x:v>
      </x:c>
      <x:c r="C31" s="195" t="n">
        <x:v>2.95</x:v>
      </x:c>
      <x:c r="D31" s="195" t="n">
        <x:v>2238</x:v>
      </x:c>
      <x:c r="E31" s="195" t="n">
        <x:v>6966</x:v>
      </x:c>
      <x:c r="F31" s="195" t="n">
        <x:v>1282</x:v>
      </x:c>
      <x:c r="G31" s="195" t="n">
        <x:v>885</x:v>
      </x:c>
      <x:c r="H31" s="195" t="n">
        <x:v>16.5</x:v>
      </x:c>
      <x:c r="I31" s="195" t="n">
        <x:f>IFERROR(F31/H31,"")</x:f>
        <x:v>77.6969696969697</x:v>
      </x:c>
      <x:c r="J31" s="196" t="n">
        <x:f>IFERROR(F31/F30-1,"")</x:f>
        <x:v>-0.016116653875671516</x:v>
      </x:c>
      <x:c r="K31" s="196" t="n">
        <x:f>IFERROR(H31/H30-1,"")</x:f>
        <x:v>0</x:v>
      </x:c>
      <x:c r="L31" s="196" t="n">
        <x:f>IFERROR(E31/E30-1,"")</x:f>
        <x:v>0.02065934065934072</x:v>
      </x:c>
      <x:c r="M31" s="196" t="n">
        <x:f>IFERROR(B31/B30-1,"")</x:f>
        <x:v>-0.019556714471968717</x:v>
      </x:c>
    </x:row>
    <x:row r="32" ht="15" hidden="0" customHeight="1">
      <x:c r="A32" s="194" t="n">
        <x:v>43282</x:v>
      </x:c>
      <x:c r="B32" s="195" t="n">
        <x:v>74.4</x:v>
      </x:c>
      <x:c r="C32" s="195" t="n">
        <x:v>2.83</x:v>
      </x:c>
      <x:c r="D32" s="195" t="n">
        <x:v>2082</x:v>
      </x:c>
      <x:c r="E32" s="195" t="n">
        <x:v>6251</x:v>
      </x:c>
      <x:c r="F32" s="195" t="n">
        <x:v>1238</x:v>
      </x:c>
      <x:c r="G32" s="195" t="n">
        <x:v>832</x:v>
      </x:c>
      <x:c r="H32" s="195" t="n">
        <x:v>15.7</x:v>
      </x:c>
      <x:c r="I32" s="195" t="n">
        <x:f>IFERROR(F32/H32,"")</x:f>
        <x:v>78.85350318471338</x:v>
      </x:c>
      <x:c r="J32" s="196" t="n">
        <x:f>IFERROR(F32/F31-1,"")</x:f>
        <x:v>-0.03432137285491421</x:v>
      </x:c>
      <x:c r="K32" s="196" t="n">
        <x:f>IFERROR(H32/H31-1,"")</x:f>
        <x:v>-0.048484848484848575</x:v>
      </x:c>
      <x:c r="L32" s="196" t="n">
        <x:f>IFERROR(E32/E31-1,"")</x:f>
        <x:v>-0.1026414010910135</x:v>
      </x:c>
      <x:c r="M32" s="196" t="n">
        <x:f>IFERROR(B32/B31-1,"")</x:f>
        <x:v>-0.010638297872340385</x:v>
      </x:c>
    </x:row>
    <x:row r="33" ht="15" hidden="0" customHeight="1">
      <x:c r="A33" s="194" t="n">
        <x:v>43313</x:v>
      </x:c>
      <x:c r="B33" s="195" t="n">
        <x:v>73.1</x:v>
      </x:c>
      <x:c r="C33" s="195" t="n">
        <x:v>2.96</x:v>
      </x:c>
      <x:c r="D33" s="195" t="n">
        <x:v>2052</x:v>
      </x:c>
      <x:c r="E33" s="195" t="n">
        <x:v>6051</x:v>
      </x:c>
      <x:c r="F33" s="195" t="n">
        <x:v>1202</x:v>
      </x:c>
      <x:c r="G33" s="195" t="n">
        <x:v>805</x:v>
      </x:c>
      <x:c r="H33" s="195" t="n">
        <x:v>15</x:v>
      </x:c>
      <x:c r="I33" s="195" t="n">
        <x:f>IFERROR(F33/H33,"")</x:f>
        <x:v>80.13333333333334</x:v>
      </x:c>
      <x:c r="J33" s="196" t="n">
        <x:f>IFERROR(F33/F32-1,"")</x:f>
        <x:v>-0.029079159935379684</x:v>
      </x:c>
      <x:c r="K33" s="196" t="n">
        <x:f>IFERROR(H33/H32-1,"")</x:f>
        <x:v>-0.04458598726114649</x:v>
      </x:c>
      <x:c r="L33" s="196" t="n">
        <x:f>IFERROR(E33/E32-1,"")</x:f>
        <x:v>-0.03199488081906898</x:v>
      </x:c>
      <x:c r="M33" s="196" t="n">
        <x:f>IFERROR(B33/B32-1,"")</x:f>
        <x:v>-0.0174731182795701</x:v>
      </x:c>
    </x:row>
    <x:row r="34" ht="15" hidden="0" customHeight="1">
      <x:c r="A34" s="194" t="n">
        <x:v>43344</x:v>
      </x:c>
      <x:c r="B34" s="195" t="n">
        <x:v>78.9</x:v>
      </x:c>
      <x:c r="C34" s="195" t="n">
        <x:v>2.98</x:v>
      </x:c>
      <x:c r="D34" s="195" t="n">
        <x:v>2026</x:v>
      </x:c>
      <x:c r="E34" s="195" t="n">
        <x:v>6051</x:v>
      </x:c>
      <x:c r="F34" s="195" t="n">
        <x:v>1198</x:v>
      </x:c>
      <x:c r="G34" s="195" t="n">
        <x:v>805</x:v>
      </x:c>
      <x:c r="H34" s="195" t="n">
        <x:v>14.3</x:v>
      </x:c>
      <x:c r="I34" s="195" t="n">
        <x:f>IFERROR(F34/H34,"")</x:f>
        <x:v>83.77622377622377</x:v>
      </x:c>
      <x:c r="J34" s="196" t="n">
        <x:f>IFERROR(F34/F33-1,"")</x:f>
        <x:v>-0.0033277870216306127</x:v>
      </x:c>
      <x:c r="K34" s="196" t="n">
        <x:f>IFERROR(H34/H33-1,"")</x:f>
        <x:v>-0.046666666666666634</x:v>
      </x:c>
      <x:c r="L34" s="196" t="n">
        <x:f>IFERROR(E34/E33-1,"")</x:f>
        <x:v>0</x:v>
      </x:c>
      <x:c r="M34" s="196" t="n">
        <x:f>IFERROR(B34/B33-1,"")</x:f>
        <x:v>0.07934336525307817</x:v>
      </x:c>
    </x:row>
    <x:row r="35" ht="15" hidden="0" customHeight="1">
      <x:c r="A35" s="194" t="n">
        <x:v>43374</x:v>
      </x:c>
      <x:c r="B35" s="195" t="n">
        <x:v>80.5</x:v>
      </x:c>
      <x:c r="C35" s="195" t="n">
        <x:v>3.28</x:v>
      </x:c>
      <x:c r="D35" s="195" t="n">
        <x:v>2030</x:v>
      </x:c>
      <x:c r="E35" s="195" t="n">
        <x:v>6220</x:v>
      </x:c>
      <x:c r="F35" s="195" t="n">
        <x:v>1215</x:v>
      </x:c>
      <x:c r="G35" s="195" t="n">
        <x:v>830</x:v>
      </x:c>
      <x:c r="H35" s="195" t="n">
        <x:v>14.6</x:v>
      </x:c>
      <x:c r="I35" s="195" t="n">
        <x:f>IFERROR(F35/H35,"")</x:f>
        <x:v>83.21917808219179</x:v>
      </x:c>
      <x:c r="J35" s="196" t="n">
        <x:f>IFERROR(F35/F34-1,"")</x:f>
        <x:v>0.014190317195325486</x:v>
      </x:c>
      <x:c r="K35" s="196" t="n">
        <x:f>IFERROR(H35/H34-1,"")</x:f>
        <x:v>0.020979020979020824</x:v>
      </x:c>
      <x:c r="L35" s="196" t="n">
        <x:f>IFERROR(E35/E34-1,"")</x:f>
        <x:v>0.027929267889605036</x:v>
      </x:c>
      <x:c r="M35" s="196" t="n">
        <x:f>IFERROR(B35/B34-1,"")</x:f>
        <x:v>0.020278833967046772</x:v>
      </x:c>
    </x:row>
    <x:row r="36" ht="15" hidden="0" customHeight="1">
      <x:c r="A36" s="194" t="n">
        <x:v>43405</x:v>
      </x:c>
      <x:c r="B36" s="195" t="n">
        <x:v>65.2</x:v>
      </x:c>
      <x:c r="C36" s="195" t="n">
        <x:v>4.13</x:v>
      </x:c>
      <x:c r="D36" s="195" t="n">
        <x:v>1939</x:v>
      </x:c>
      <x:c r="E36" s="195" t="n">
        <x:v>6196</x:v>
      </x:c>
      <x:c r="F36" s="195" t="n">
        <x:v>1221</x:v>
      </x:c>
      <x:c r="G36" s="195" t="n">
        <x:v>846</x:v>
      </x:c>
      <x:c r="H36" s="195" t="n">
        <x:v>14.4</x:v>
      </x:c>
      <x:c r="I36" s="195" t="n">
        <x:f>IFERROR(F36/H36,"")</x:f>
        <x:v>84.79166666666667</x:v>
      </x:c>
      <x:c r="J36" s="196" t="n">
        <x:f>IFERROR(F36/F35-1,"")</x:f>
        <x:v>0.004938271604938205</x:v>
      </x:c>
      <x:c r="K36" s="196" t="n">
        <x:f>IFERROR(H36/H35-1,"")</x:f>
        <x:v>-0.013698630136986245</x:v>
      </x:c>
      <x:c r="L36" s="196" t="n">
        <x:f>IFERROR(E36/E35-1,"")</x:f>
        <x:v>-0.0038585209003215715</x:v>
      </x:c>
      <x:c r="M36" s="196" t="n">
        <x:f>IFERROR(B36/B35-1,"")</x:f>
        <x:v>-0.19006211180124222</x:v>
      </x:c>
    </x:row>
    <x:row r="37" ht="15" hidden="0" customHeight="1">
      <x:c r="A37" s="194" t="n">
        <x:v>43435</x:v>
      </x:c>
      <x:c r="B37" s="195" t="n">
        <x:v>56.5</x:v>
      </x:c>
      <x:c r="C37" s="195" t="n">
        <x:v>3.98</x:v>
      </x:c>
      <x:c r="D37" s="195" t="n">
        <x:v>1920</x:v>
      </x:c>
      <x:c r="E37" s="195" t="n">
        <x:v>6075</x:v>
      </x:c>
      <x:c r="F37" s="195" t="n">
        <x:v>1250</x:v>
      </x:c>
      <x:c r="G37" s="195" t="n">
        <x:v>791</x:v>
      </x:c>
      <x:c r="H37" s="195" t="n">
        <x:v>14.8</x:v>
      </x:c>
      <x:c r="I37" s="195" t="n">
        <x:f>IFERROR(F37/H37,"")</x:f>
        <x:v>84.45945945945945</x:v>
      </x:c>
      <x:c r="J37" s="196" t="n">
        <x:f>IFERROR(F37/F36-1,"")</x:f>
        <x:v>0.02375102375102367</x:v>
      </x:c>
      <x:c r="K37" s="196" t="n">
        <x:f>IFERROR(H37/H36-1,"")</x:f>
        <x:v>0.0277777777777779</x:v>
      </x:c>
      <x:c r="L37" s="196" t="n">
        <x:f>IFERROR(E37/E36-1,"")</x:f>
        <x:v>-0.019528728211749558</x:v>
      </x:c>
      <x:c r="M37" s="196" t="n">
        <x:f>IFERROR(B37/B36-1,"")</x:f>
        <x:v>-0.1334355828220859</x:v>
      </x:c>
    </x:row>
    <x:row r="38" ht="15" hidden="0" customHeight="1">
      <x:c r="A38" s="194" t="n">
        <x:v>43466</x:v>
      </x:c>
      <x:c r="B38" s="195" t="n">
        <x:v>59.3</x:v>
      </x:c>
      <x:c r="C38" s="195" t="n">
        <x:v>3.08</x:v>
      </x:c>
      <x:c r="D38" s="195" t="n">
        <x:v>1854</x:v>
      </x:c>
      <x:c r="E38" s="195" t="n">
        <x:v>5939</x:v>
      </x:c>
      <x:c r="F38" s="195" t="n">
        <x:v>1292</x:v>
      </x:c>
      <x:c r="G38" s="195" t="n">
        <x:v>807</x:v>
      </x:c>
      <x:c r="H38" s="195" t="n">
        <x:v>15.6</x:v>
      </x:c>
      <x:c r="I38" s="195" t="n">
        <x:f>IFERROR(F38/H38,"")</x:f>
        <x:v>82.82051282051282</x:v>
      </x:c>
      <x:c r="J38" s="196" t="n">
        <x:f>IFERROR(F38/F37-1,"")</x:f>
        <x:v>0.033600000000000074</x:v>
      </x:c>
      <x:c r="K38" s="196" t="n">
        <x:f>IFERROR(H38/H37-1,"")</x:f>
        <x:v>0.054054054054053946</x:v>
      </x:c>
      <x:c r="L38" s="196" t="n">
        <x:f>IFERROR(E38/E37-1,"")</x:f>
        <x:v>-0.022386831275720165</x:v>
      </x:c>
      <x:c r="M38" s="196" t="n">
        <x:f>IFERROR(B38/B37-1,"")</x:f>
        <x:v>0.04955752212389375</x:v>
      </x:c>
    </x:row>
    <x:row r="39" ht="15" hidden="0" customHeight="1">
      <x:c r="A39" s="194" t="n">
        <x:v>43497</x:v>
      </x:c>
      <x:c r="B39" s="195" t="n">
        <x:v>64.1</x:v>
      </x:c>
      <x:c r="C39" s="195" t="n">
        <x:v>2.72</x:v>
      </x:c>
      <x:c r="D39" s="195" t="n">
        <x:v>1863</x:v>
      </x:c>
      <x:c r="E39" s="195" t="n">
        <x:v>6300</x:v>
      </x:c>
      <x:c r="F39" s="195" t="n">
        <x:v>1320</x:v>
      </x:c>
      <x:c r="G39" s="195" t="n">
        <x:v>818</x:v>
      </x:c>
      <x:c r="H39" s="195" t="n">
        <x:v>15.8</x:v>
      </x:c>
      <x:c r="I39" s="195" t="n">
        <x:f>IFERROR(F39/H39,"")</x:f>
        <x:v>83.54430379746834</x:v>
      </x:c>
      <x:c r="J39" s="196" t="n">
        <x:f>IFERROR(F39/F38-1,"")</x:f>
        <x:v>0.021671826625387025</x:v>
      </x:c>
      <x:c r="K39" s="196" t="n">
        <x:f>IFERROR(H39/H38-1,"")</x:f>
        <x:v>0.012820512820512997</x:v>
      </x:c>
      <x:c r="L39" s="196" t="n">
        <x:f>IFERROR(E39/E38-1,"")</x:f>
        <x:v>0.06078464387944105</x:v>
      </x:c>
      <x:c r="M39" s="196" t="n">
        <x:f>IFERROR(B39/B38-1,"")</x:f>
        <x:v>0.0809443507588532</x:v>
      </x:c>
    </x:row>
    <x:row r="40" ht="15" hidden="0" customHeight="1">
      <x:c r="A40" s="194" t="n">
        <x:v>43525</x:v>
      </x:c>
      <x:c r="B40" s="195" t="n">
        <x:v>66.4</x:v>
      </x:c>
      <x:c r="C40" s="195" t="n">
        <x:v>2.94</x:v>
      </x:c>
      <x:c r="D40" s="195" t="n">
        <x:v>1871</x:v>
      </x:c>
      <x:c r="E40" s="195" t="n">
        <x:v>6439</x:v>
      </x:c>
      <x:c r="F40" s="195" t="n">
        <x:v>1301</x:v>
      </x:c>
      <x:c r="G40" s="195" t="n">
        <x:v>843</x:v>
      </x:c>
      <x:c r="H40" s="195" t="n">
        <x:v>15.3</x:v>
      </x:c>
      <x:c r="I40" s="195" t="n">
        <x:f>IFERROR(F40/H40,"")</x:f>
        <x:v>85.03267973856208</x:v>
      </x:c>
      <x:c r="J40" s="196" t="n">
        <x:f>IFERROR(F40/F39-1,"")</x:f>
        <x:v>-0.014393939393939403</x:v>
      </x:c>
      <x:c r="K40" s="196" t="n">
        <x:f>IFERROR(H40/H39-1,"")</x:f>
        <x:v>-0.03164556962025311</x:v>
      </x:c>
      <x:c r="L40" s="196" t="n">
        <x:f>IFERROR(E40/E39-1,"")</x:f>
        <x:v>0.02206349206349212</x:v>
      </x:c>
      <x:c r="M40" s="196" t="n">
        <x:f>IFERROR(B40/B39-1,"")</x:f>
        <x:v>0.03588143525741039</x:v>
      </x:c>
    </x:row>
    <x:row r="41">
      <x:c r="A41" s="194" t="n">
        <x:v>43556</x:v>
      </x:c>
      <x:c r="B41" s="195" t="n">
        <x:v>71.2</x:v>
      </x:c>
      <x:c r="C41" s="195" t="n">
        <x:v>2.65</x:v>
      </x:c>
      <x:c r="D41" s="195" t="n">
        <x:v>1845</x:v>
      </x:c>
      <x:c r="E41" s="195" t="n">
        <x:v>6438</x:v>
      </x:c>
      <x:c r="F41" s="195" t="n">
        <x:v>1286</x:v>
      </x:c>
      <x:c r="G41" s="195" t="n">
        <x:v>887</x:v>
      </x:c>
      <x:c r="H41" s="195" t="n">
        <x:v>15.1</x:v>
      </x:c>
      <x:c r="I41" s="195" t="n">
        <x:f>IFERROR(F41/H41,"")</x:f>
        <x:v>85.16556291390728</x:v>
      </x:c>
      <x:c r="J41" s="196" t="n">
        <x:f>IFERROR(F41/F40-1,"")</x:f>
        <x:v>-0.01152959262106068</x:v>
      </x:c>
      <x:c r="K41" s="196" t="n">
        <x:f>IFERROR(H41/H40-1,"")</x:f>
        <x:v>-0.013071895424836666</x:v>
      </x:c>
      <x:c r="L41" s="196" t="n">
        <x:f>IFERROR(E41/E40-1,"")</x:f>
        <x:v>-0.00015530361857429842</x:v>
      </x:c>
      <x:c r="M41" s="196" t="n">
        <x:f>IFERROR(B41/B40-1,"")</x:f>
        <x:v>0.07228915662650603</x:v>
      </x:c>
    </x:row>
    <x:row r="42">
      <x:c r="A42" s="194" t="n">
        <x:v>43586</x:v>
      </x:c>
      <x:c r="B42" s="195" t="n">
        <x:v>70.5</x:v>
      </x:c>
      <x:c r="C42" s="195" t="n">
        <x:v>2.63</x:v>
      </x:c>
      <x:c r="D42" s="195" t="n">
        <x:v>1781</x:v>
      </x:c>
      <x:c r="E42" s="195" t="n">
        <x:v>6018</x:v>
      </x:c>
      <x:c r="F42" s="195" t="n">
        <x:v>1284</x:v>
      </x:c>
      <x:c r="G42" s="195" t="n">
        <x:v>834</x:v>
      </x:c>
      <x:c r="H42" s="195" t="n">
        <x:v>14.7</x:v>
      </x:c>
      <x:c r="I42" s="195" t="n">
        <x:f>IFERROR(F42/H42,"")</x:f>
        <x:v>87.34693877551021</x:v>
      </x:c>
      <x:c r="J42" s="196" t="n">
        <x:f>IFERROR(F42/F41-1,"")</x:f>
        <x:v>-0.0015552099533436836</x:v>
      </x:c>
      <x:c r="K42" s="196" t="n">
        <x:f>IFERROR(H42/H41-1,"")</x:f>
        <x:v>-0.026490066225165587</x:v>
      </x:c>
      <x:c r="L42" s="196" t="n">
        <x:f>IFERROR(E42/E41-1,"")</x:f>
        <x:v>-0.06523765144454796</x:v>
      </x:c>
      <x:c r="M42" s="196" t="n">
        <x:f>IFERROR(B42/B41-1,"")</x:f>
        <x:v>-0.0098314606741573</x:v>
      </x:c>
    </x:row>
    <x:row r="43">
      <x:c r="A43" s="194" t="n">
        <x:v>43617</x:v>
      </x:c>
      <x:c r="B43" s="195" t="n">
        <x:v>63.3</x:v>
      </x:c>
      <x:c r="C43" s="195" t="n">
        <x:v>2.4</x:v>
      </x:c>
      <x:c r="D43" s="195" t="n">
        <x:v>1756</x:v>
      </x:c>
      <x:c r="E43" s="195" t="n">
        <x:v>5882</x:v>
      </x:c>
      <x:c r="F43" s="195" t="n">
        <x:v>1359</x:v>
      </x:c>
      <x:c r="G43" s="195" t="n">
        <x:v>808</x:v>
      </x:c>
      <x:c r="H43" s="195" t="n">
        <x:v>15</x:v>
      </x:c>
      <x:c r="I43" s="195" t="n">
        <x:f>IFERROR(F43/H43,"")</x:f>
        <x:v>90.6</x:v>
      </x:c>
      <x:c r="J43" s="196" t="n">
        <x:f>IFERROR(F43/F42-1,"")</x:f>
        <x:v>0.05841121495327095</x:v>
      </x:c>
      <x:c r="K43" s="196" t="n">
        <x:f>IFERROR(H43/H42-1,"")</x:f>
        <x:v>0.020408163265306145</x:v>
      </x:c>
      <x:c r="L43" s="196" t="n">
        <x:f>IFERROR(E43/E42-1,"")</x:f>
        <x:v>-0.02259887005649719</x:v>
      </x:c>
      <x:c r="M43" s="196" t="n">
        <x:f>IFERROR(B43/B42-1,"")</x:f>
        <x:v>-0.10212765957446812</x:v>
      </x:c>
    </x:row>
    <x:row r="44">
      <x:c r="A44" s="194" t="n">
        <x:v>43647</x:v>
      </x:c>
      <x:c r="B44" s="195" t="n">
        <x:v>64</x:v>
      </x:c>
      <x:c r="C44" s="195" t="n">
        <x:v>2.36</x:v>
      </x:c>
      <x:c r="D44" s="195" t="n">
        <x:v>1797</x:v>
      </x:c>
      <x:c r="E44" s="195" t="n">
        <x:v>5941</x:v>
      </x:c>
      <x:c r="F44" s="195" t="n">
        <x:v>1413</x:v>
      </x:c>
      <x:c r="G44" s="195" t="n">
        <x:v>844</x:v>
      </x:c>
      <x:c r="H44" s="195" t="n">
        <x:v>15.8</x:v>
      </x:c>
      <x:c r="I44" s="195" t="n">
        <x:f>IFERROR(F44/H44,"")</x:f>
        <x:v>89.43037974683544</x:v>
      </x:c>
      <x:c r="J44" s="196" t="n">
        <x:f>IFERROR(F44/F43-1,"")</x:f>
        <x:v>0.039735099337748325</x:v>
      </x:c>
      <x:c r="K44" s="196" t="n">
        <x:f>IFERROR(H44/H43-1,"")</x:f>
        <x:v>0.053333333333333455</x:v>
      </x:c>
      <x:c r="L44" s="196" t="n">
        <x:f>IFERROR(E44/E43-1,"")</x:f>
        <x:v>0.010030601836110264</x:v>
      </x:c>
      <x:c r="M44" s="196" t="n">
        <x:f>IFERROR(B44/B43-1,"")</x:f>
        <x:v>0.011058451816745807</x:v>
      </x:c>
    </x:row>
    <x:row r="45">
      <x:c r="A45" s="194" t="n">
        <x:v>43678</x:v>
      </x:c>
      <x:c r="B45" s="195" t="n">
        <x:v>59.3</x:v>
      </x:c>
      <x:c r="C45" s="195" t="n">
        <x:v>2.22</x:v>
      </x:c>
      <x:c r="D45" s="195" t="n">
        <x:v>1741</x:v>
      </x:c>
      <x:c r="E45" s="195" t="n">
        <x:v>5709</x:v>
      </x:c>
      <x:c r="F45" s="195" t="n">
        <x:v>1500</x:v>
      </x:c>
      <x:c r="G45" s="195" t="n">
        <x:v>859</x:v>
      </x:c>
      <x:c r="H45" s="195" t="n">
        <x:v>17.2</x:v>
      </x:c>
      <x:c r="I45" s="195" t="n">
        <x:f>IFERROR(F45/H45,"")</x:f>
        <x:v>87.2093023255814</x:v>
      </x:c>
      <x:c r="J45" s="196" t="n">
        <x:f>IFERROR(F45/F44-1,"")</x:f>
        <x:v>0.06157112526539277</x:v>
      </x:c>
      <x:c r="K45" s="196" t="n">
        <x:f>IFERROR(H45/H44-1,"")</x:f>
        <x:v>0.08860759493670867</x:v>
      </x:c>
      <x:c r="L45" s="196" t="n">
        <x:f>IFERROR(E45/E44-1,"")</x:f>
        <x:v>-0.039050664871233765</x:v>
      </x:c>
      <x:c r="M45" s="196" t="n">
        <x:f>IFERROR(B45/B44-1,"")</x:f>
        <x:v>-0.07343750000000004</x:v>
      </x:c>
    </x:row>
    <x:row r="46">
      <x:c r="A46" s="194" t="n">
        <x:v>43709</x:v>
      </x:c>
      <x:c r="B46" s="195" t="n">
        <x:v>62.3</x:v>
      </x:c>
      <x:c r="C46" s="195" t="n">
        <x:v>2.58</x:v>
      </x:c>
      <x:c r="D46" s="195" t="n">
        <x:v>1754</x:v>
      </x:c>
      <x:c r="E46" s="195" t="n">
        <x:v>5759</x:v>
      </x:c>
      <x:c r="F46" s="195" t="n">
        <x:v>1511</x:v>
      </x:c>
      <x:c r="G46" s="195" t="n">
        <x:v>945</x:v>
      </x:c>
      <x:c r="H46" s="195" t="n">
        <x:v>18.2</x:v>
      </x:c>
      <x:c r="I46" s="195" t="n">
        <x:f>IFERROR(F46/H46,"")</x:f>
        <x:v>83.02197802197803</x:v>
      </x:c>
      <x:c r="J46" s="196" t="n">
        <x:f>IFERROR(F46/F45-1,"")</x:f>
        <x:v>0.007333333333333414</x:v>
      </x:c>
      <x:c r="K46" s="196" t="n">
        <x:f>IFERROR(H46/H45-1,"")</x:f>
        <x:v>0.058139534883721034</x:v>
      </x:c>
      <x:c r="L46" s="196" t="n">
        <x:f>IFERROR(E46/E45-1,"")</x:f>
        <x:v>0.008758101243650396</x:v>
      </x:c>
      <x:c r="M46" s="196" t="n">
        <x:f>IFERROR(B46/B45-1,"")</x:f>
        <x:v>0.050590219224283306</x:v>
      </x:c>
    </x:row>
    <x:row r="47">
      <x:c r="A47" s="194" t="n">
        <x:v>43739</x:v>
      </x:c>
      <x:c r="B47" s="195" t="n">
        <x:v>59.4</x:v>
      </x:c>
      <x:c r="C47" s="195" t="n">
        <x:v>2.33</x:v>
      </x:c>
      <x:c r="D47" s="195" t="n">
        <x:v>1726</x:v>
      </x:c>
      <x:c r="E47" s="195" t="n">
        <x:v>5757</x:v>
      </x:c>
      <x:c r="F47" s="195" t="n">
        <x:v>1495</x:v>
      </x:c>
      <x:c r="G47" s="195" t="n">
        <x:v>897</x:v>
      </x:c>
      <x:c r="H47" s="195" t="n">
        <x:v>17.6</x:v>
      </x:c>
      <x:c r="I47" s="195" t="n">
        <x:f>IFERROR(F47/H47,"")</x:f>
        <x:v>84.94318181818181</x:v>
      </x:c>
      <x:c r="J47" s="196" t="n">
        <x:f>IFERROR(F47/F46-1,"")</x:f>
        <x:v>-0.010589013898080757</x:v>
      </x:c>
      <x:c r="K47" s="196" t="n">
        <x:f>IFERROR(H47/H46-1,"")</x:f>
        <x:v>-0.03296703296703285</x:v>
      </x:c>
      <x:c r="L47" s="196" t="n">
        <x:f>IFERROR(E47/E46-1,"")</x:f>
        <x:v>-0.0003472825143253644</x:v>
      </x:c>
      <x:c r="M47" s="196" t="n">
        <x:f>IFERROR(B47/B46-1,"")</x:f>
        <x:v>-0.0465489566613162</x:v>
      </x:c>
    </x:row>
    <x:row r="48">
      <x:c r="A48" s="194" t="n">
        <x:v>43770</x:v>
      </x:c>
      <x:c r="B48" s="195" t="n">
        <x:v>62.7</x:v>
      </x:c>
      <x:c r="C48" s="195" t="n">
        <x:v>2.65</x:v>
      </x:c>
      <x:c r="D48" s="195" t="n">
        <x:v>1775</x:v>
      </x:c>
      <x:c r="E48" s="195" t="n">
        <x:v>5860</x:v>
      </x:c>
      <x:c r="F48" s="195" t="n">
        <x:v>1471</x:v>
      </x:c>
      <x:c r="G48" s="195" t="n">
        <x:v>902</x:v>
      </x:c>
      <x:c r="H48" s="195" t="n">
        <x:v>17.2</x:v>
      </x:c>
      <x:c r="I48" s="195" t="n">
        <x:f>IFERROR(F48/H48,"")</x:f>
        <x:v>85.5232558139535</x:v>
      </x:c>
      <x:c r="J48" s="196" t="n">
        <x:f>IFERROR(F48/F47-1,"")</x:f>
        <x:v>-0.016053511705685586</x:v>
      </x:c>
      <x:c r="K48" s="196" t="n">
        <x:f>IFERROR(H48/H47-1,"")</x:f>
        <x:v>-0.022727272727272818</x:v>
      </x:c>
      <x:c r="L48" s="196" t="n">
        <x:f>IFERROR(E48/E47-1,"")</x:f>
        <x:v>0.01789126281049147</x:v>
      </x:c>
      <x:c r="M48" s="196" t="n">
        <x:f>IFERROR(B48/B47-1,"")</x:f>
        <x:v>0.05555555555555558</x:v>
      </x:c>
    </x:row>
    <x:row r="49">
      <x:c r="A49" s="194" t="n">
        <x:v>43800</x:v>
      </x:c>
      <x:c r="B49" s="195" t="n">
        <x:v>65.9</x:v>
      </x:c>
      <x:c r="C49" s="195" t="n">
        <x:v>2.24</x:v>
      </x:c>
      <x:c r="D49" s="195" t="n">
        <x:v>1771</x:v>
      </x:c>
      <x:c r="E49" s="195" t="n">
        <x:v>6077</x:v>
      </x:c>
      <x:c r="F49" s="195" t="n">
        <x:v>1479</x:v>
      </x:c>
      <x:c r="G49" s="195" t="n">
        <x:v>924</x:v>
      </x:c>
      <x:c r="H49" s="195" t="n">
        <x:v>17.1</x:v>
      </x:c>
      <x:c r="I49" s="195" t="n">
        <x:f>IFERROR(F49/H49,"")</x:f>
        <x:v>86.49122807017544</x:v>
      </x:c>
      <x:c r="J49" s="196" t="n">
        <x:f>IFERROR(F49/F48-1,"")</x:f>
        <x:v>0.005438477226376692</x:v>
      </x:c>
      <x:c r="K49" s="196" t="n">
        <x:f>IFERROR(H49/H48-1,"")</x:f>
        <x:v>-0.005813953488371992</x:v>
      </x:c>
      <x:c r="L49" s="196" t="n">
        <x:f>IFERROR(E49/E48-1,"")</x:f>
        <x:v>0.03703071672354952</x:v>
      </x:c>
      <x:c r="M49" s="196" t="n">
        <x:f>IFERROR(B49/B48-1,"")</x:f>
        <x:v>0.0510366826156301</x:v>
      </x:c>
    </x:row>
    <x:row r="50">
      <x:c r="A50" s="194" t="n">
        <x:v>43831</x:v>
      </x:c>
      <x:c r="B50" s="195" t="n">
        <x:v>63.6</x:v>
      </x:c>
      <x:c r="C50" s="195" t="n">
        <x:v>2.03</x:v>
      </x:c>
      <x:c r="D50" s="195" t="n">
        <x:v>1773</x:v>
      </x:c>
      <x:c r="E50" s="195" t="n">
        <x:v>6031</x:v>
      </x:c>
      <x:c r="F50" s="195" t="n">
        <x:v>1561</x:v>
      </x:c>
      <x:c r="G50" s="195" t="n">
        <x:v>987</x:v>
      </x:c>
      <x:c r="H50" s="195" t="n">
        <x:v>18</x:v>
      </x:c>
      <x:c r="I50" s="195" t="n">
        <x:f>IFERROR(F50/H50,"")</x:f>
        <x:v>86.72222222222223</x:v>
      </x:c>
      <x:c r="J50" s="196" t="n">
        <x:f>IFERROR(F50/F49-1,"")</x:f>
        <x:v>0.05544286680189314</x:v>
      </x:c>
      <x:c r="K50" s="196" t="n">
        <x:f>IFERROR(H50/H49-1,"")</x:f>
        <x:v>0.05263157894736836</x:v>
      </x:c>
      <x:c r="L50" s="196" t="n">
        <x:f>IFERROR(E50/E49-1,"")</x:f>
        <x:v>-0.007569524436399577</x:v>
      </x:c>
      <x:c r="M50" s="196" t="n">
        <x:f>IFERROR(B50/B49-1,"")</x:f>
        <x:v>-0.03490136570561464</x:v>
      </x:c>
    </x:row>
    <x:row r="51">
      <x:c r="A51" s="194" t="n">
        <x:v>43862</x:v>
      </x:c>
      <x:c r="B51" s="195" t="n">
        <x:v>55</x:v>
      </x:c>
      <x:c r="C51" s="195" t="n">
        <x:v>1.92</x:v>
      </x:c>
      <x:c r="D51" s="195" t="n">
        <x:v>1688</x:v>
      </x:c>
      <x:c r="E51" s="195" t="n">
        <x:v>5688</x:v>
      </x:c>
      <x:c r="F51" s="195" t="n">
        <x:v>1597</x:v>
      </x:c>
      <x:c r="G51" s="195" t="n">
        <x:v>961</x:v>
      </x:c>
      <x:c r="H51" s="195" t="n">
        <x:v>17.9</x:v>
      </x:c>
      <x:c r="I51" s="195" t="n">
        <x:f>IFERROR(F51/H51,"")</x:f>
        <x:v>89.21787709497207</x:v>
      </x:c>
      <x:c r="J51" s="196" t="n">
        <x:f>IFERROR(F51/F50-1,"")</x:f>
        <x:v>0.023062139654068003</x:v>
      </x:c>
      <x:c r="K51" s="196" t="n">
        <x:f>IFERROR(H51/H50-1,"")</x:f>
        <x:v>-0.005555555555555647</x:v>
      </x:c>
      <x:c r="L51" s="196" t="n">
        <x:f>IFERROR(E51/E50-1,"")</x:f>
        <x:v>-0.05687282374398939</x:v>
      </x:c>
      <x:c r="M51" s="196" t="n">
        <x:f>IFERROR(B51/B50-1,"")</x:f>
        <x:v>-0.1352201257861635</x:v>
      </x:c>
    </x:row>
    <x:row r="52">
      <x:c r="A52" s="194" t="n">
        <x:v>43891</x:v>
      </x:c>
      <x:c r="B52" s="195" t="n">
        <x:v>33</x:v>
      </x:c>
      <x:c r="C52" s="195" t="n">
        <x:v>1.79</x:v>
      </x:c>
      <x:c r="D52" s="195" t="n">
        <x:v>1611</x:v>
      </x:c>
      <x:c r="E52" s="195" t="n">
        <x:v>5183</x:v>
      </x:c>
      <x:c r="F52" s="195" t="n">
        <x:v>1592</x:v>
      </x:c>
      <x:c r="G52" s="195" t="n">
        <x:v>759</x:v>
      </x:c>
      <x:c r="H52" s="195" t="n">
        <x:v>14.9</x:v>
      </x:c>
      <x:c r="I52" s="195" t="n">
        <x:f>IFERROR(F52/H52,"")</x:f>
        <x:v>106.84563758389261</x:v>
      </x:c>
      <x:c r="J52" s="196" t="n">
        <x:f>IFERROR(F52/F51-1,"")</x:f>
        <x:v>-0.003130870381966133</x:v>
      </x:c>
      <x:c r="K52" s="196" t="n">
        <x:f>IFERROR(H52/H51-1,"")</x:f>
        <x:v>-0.16759776536312843</x:v>
      </x:c>
      <x:c r="L52" s="196" t="n">
        <x:f>IFERROR(E52/E51-1,"")</x:f>
        <x:v>-0.08878340365682136</x:v>
      </x:c>
      <x:c r="M52" s="196" t="n">
        <x:f>IFERROR(B52/B51-1,"")</x:f>
        <x:v>-0.4</x:v>
      </x:c>
    </x:row>
    <x:row r="53">
      <x:c r="A53" s="194" t="n">
        <x:v>43922</x:v>
      </x:c>
      <x:c r="B53" s="195" t="n">
        <x:v>23.3</x:v>
      </x:c>
      <x:c r="C53" s="195" t="n">
        <x:v>1.74</x:v>
      </x:c>
      <x:c r="D53" s="195" t="n">
        <x:v>1460</x:v>
      </x:c>
      <x:c r="E53" s="195" t="n">
        <x:v>5058</x:v>
      </x:c>
      <x:c r="F53" s="195" t="n">
        <x:v>1683</x:v>
      </x:c>
      <x:c r="G53" s="195" t="n">
        <x:v>754</x:v>
      </x:c>
      <x:c r="H53" s="195" t="n">
        <x:v>15.1</x:v>
      </x:c>
      <x:c r="I53" s="195" t="n">
        <x:f>IFERROR(F53/H53,"")</x:f>
        <x:v>111.45695364238411</x:v>
      </x:c>
      <x:c r="J53" s="196" t="n">
        <x:f>IFERROR(F53/F52-1,"")</x:f>
        <x:v>0.0571608040201006</x:v>
      </x:c>
      <x:c r="K53" s="196" t="n">
        <x:f>IFERROR(H53/H52-1,"")</x:f>
        <x:v>0.01342281879194629</x:v>
      </x:c>
      <x:c r="L53" s="196" t="n">
        <x:f>IFERROR(E53/E52-1,"")</x:f>
        <x:v>-0.024117306579201192</x:v>
      </x:c>
      <x:c r="M53" s="196" t="n">
        <x:f>IFERROR(B53/B52-1,"")</x:f>
        <x:v>-0.29393939393939394</x:v>
      </x:c>
    </x:row>
    <x:row r="54">
      <x:c r="A54" s="194" t="n">
        <x:v>43952</x:v>
      </x:c>
      <x:c r="B54" s="195" t="n">
        <x:v>31</x:v>
      </x:c>
      <x:c r="C54" s="195" t="n">
        <x:v>1.75</x:v>
      </x:c>
      <x:c r="D54" s="195" t="n">
        <x:v>1466</x:v>
      </x:c>
      <x:c r="E54" s="195" t="n">
        <x:v>5240</x:v>
      </x:c>
      <x:c r="F54" s="195" t="n">
        <x:v>1716</x:v>
      </x:c>
      <x:c r="G54" s="195" t="n">
        <x:v>790</x:v>
      </x:c>
      <x:c r="H54" s="195" t="n">
        <x:v>16.3</x:v>
      </x:c>
      <x:c r="I54" s="195" t="n">
        <x:f>IFERROR(F54/H54,"")</x:f>
        <x:v>105.2760736196319</x:v>
      </x:c>
      <x:c r="J54" s="196" t="n">
        <x:f>IFERROR(F54/F53-1,"")</x:f>
        <x:v>0.019607843137254832</x:v>
      </x:c>
      <x:c r="K54" s="196" t="n">
        <x:f>IFERROR(H54/H53-1,"")</x:f>
        <x:v>0.07947019867549665</x:v>
      </x:c>
      <x:c r="L54" s="196" t="n">
        <x:f>IFERROR(E54/E53-1,"")</x:f>
        <x:v>0.03598260181890067</x:v>
      </x:c>
      <x:c r="M54" s="196" t="n">
        <x:f>IFERROR(B54/B53-1,"")</x:f>
        <x:v>0.33047210300429186</x:v>
      </x:c>
    </x:row>
    <x:row r="55">
      <x:c r="A55" s="194" t="n">
        <x:v>43983</x:v>
      </x:c>
      <x:c r="B55" s="195" t="n">
        <x:v>39.9</x:v>
      </x:c>
      <x:c r="C55" s="195" t="n">
        <x:v>1.61</x:v>
      </x:c>
      <x:c r="D55" s="195" t="n">
        <x:v>1569</x:v>
      </x:c>
      <x:c r="E55" s="195" t="n">
        <x:v>5755</x:v>
      </x:c>
      <x:c r="F55" s="195" t="n">
        <x:v>1732</x:v>
      </x:c>
      <x:c r="G55" s="195" t="n">
        <x:v>821</x:v>
      </x:c>
      <x:c r="H55" s="195" t="n">
        <x:v>17.7</x:v>
      </x:c>
      <x:c r="I55" s="195" t="n">
        <x:f>IFERROR(F55/H55,"")</x:f>
        <x:v>97.85310734463278</x:v>
      </x:c>
      <x:c r="J55" s="196" t="n">
        <x:f>IFERROR(F55/F54-1,"")</x:f>
        <x:v>0.00932400932400923</x:v>
      </x:c>
      <x:c r="K55" s="196" t="n">
        <x:f>IFERROR(H55/H54-1,"")</x:f>
        <x:v>0.08588957055214719</x:v>
      </x:c>
      <x:c r="L55" s="196" t="n">
        <x:f>IFERROR(E55/E54-1,"")</x:f>
        <x:v>0.0982824427480915</x:v>
      </x:c>
      <x:c r="M55" s="196" t="n">
        <x:f>IFERROR(B55/B54-1,"")</x:f>
        <x:v>0.2870967741935484</x:v>
      </x:c>
    </x:row>
    <x:row r="56">
      <x:c r="A56" s="194" t="n">
        <x:v>44013</x:v>
      </x:c>
      <x:c r="B56" s="195" t="n">
        <x:v>42.8</x:v>
      </x:c>
      <x:c r="C56" s="195" t="n">
        <x:v>1.74</x:v>
      </x:c>
      <x:c r="D56" s="195" t="n">
        <x:v>1644</x:v>
      </x:c>
      <x:c r="E56" s="195" t="n">
        <x:v>6372</x:v>
      </x:c>
      <x:c r="F56" s="195" t="n">
        <x:v>1847</x:v>
      </x:c>
      <x:c r="G56" s="195" t="n">
        <x:v>865</x:v>
      </x:c>
      <x:c r="H56" s="195" t="n">
        <x:v>20.6</x:v>
      </x:c>
      <x:c r="I56" s="195" t="n">
        <x:f>IFERROR(F56/H56,"")</x:f>
        <x:v>89.66019417475728</x:v>
      </x:c>
      <x:c r="J56" s="196" t="n">
        <x:f>IFERROR(F56/F55-1,"")</x:f>
        <x:v>0.06639722863741349</x:v>
      </x:c>
      <x:c r="K56" s="196" t="n">
        <x:f>IFERROR(H56/H55-1,"")</x:f>
        <x:v>0.16384180790960468</x:v>
      </x:c>
      <x:c r="L56" s="196" t="n">
        <x:f>IFERROR(E56/E55-1,"")</x:f>
        <x:v>0.10721112076455253</x:v>
      </x:c>
      <x:c r="M56" s="196" t="n">
        <x:f>IFERROR(B56/B55-1,"")</x:f>
        <x:v>0.07268170426065157</x:v>
      </x:c>
    </x:row>
    <x:row r="57">
      <x:c r="A57" s="194" t="n">
        <x:v>44044</x:v>
      </x:c>
      <x:c r="B57" s="195" t="n">
        <x:v>44.3</x:v>
      </x:c>
      <x:c r="C57" s="195" t="n">
        <x:v>2.3</x:v>
      </x:c>
      <x:c r="D57" s="195" t="n">
        <x:v>1737</x:v>
      </x:c>
      <x:c r="E57" s="195" t="n">
        <x:v>6499</x:v>
      </x:c>
      <x:c r="F57" s="195" t="n">
        <x:v>1969</x:v>
      </x:c>
      <x:c r="G57" s="195" t="n">
        <x:v>940</x:v>
      </x:c>
      <x:c r="H57" s="195" t="n">
        <x:v>27</x:v>
      </x:c>
      <x:c r="I57" s="195" t="n">
        <x:f>IFERROR(F57/H57,"")</x:f>
        <x:v>72.92592592592592</x:v>
      </x:c>
      <x:c r="J57" s="196" t="n">
        <x:f>IFERROR(F57/F56-1,"")</x:f>
        <x:v>0.06605305901461822</x:v>
      </x:c>
      <x:c r="K57" s="196" t="n">
        <x:f>IFERROR(H57/H56-1,"")</x:f>
        <x:v>0.3106796116504853</x:v>
      </x:c>
      <x:c r="L57" s="196" t="n">
        <x:f>IFERROR(E57/E56-1,"")</x:f>
        <x:v>0.019930947897049522</x:v>
      </x:c>
      <x:c r="M57" s="196" t="n">
        <x:f>IFERROR(B57/B56-1,"")</x:f>
        <x:v>0.035046728971962704</x:v>
      </x:c>
    </x:row>
    <x:row r="58">
      <x:c r="A58" s="194" t="n">
        <x:v>44075</x:v>
      </x:c>
      <x:c r="B58" s="195" t="n">
        <x:v>41.1</x:v>
      </x:c>
      <x:c r="C58" s="195" t="n">
        <x:v>1.92</x:v>
      </x:c>
      <x:c r="D58" s="195" t="n">
        <x:v>1744</x:v>
      </x:c>
      <x:c r="E58" s="195" t="n">
        <x:v>6705</x:v>
      </x:c>
      <x:c r="F58" s="195" t="n">
        <x:v>1922</x:v>
      </x:c>
      <x:c r="G58" s="195" t="n">
        <x:v>908</x:v>
      </x:c>
      <x:c r="H58" s="195" t="n">
        <x:v>25.7</x:v>
      </x:c>
      <x:c r="I58" s="195" t="n">
        <x:f>IFERROR(F58/H58,"")</x:f>
        <x:v>74.78599221789884</x:v>
      </x:c>
      <x:c r="J58" s="196" t="n">
        <x:f>IFERROR(F58/F57-1,"")</x:f>
        <x:v>-0.023869984763839502</x:v>
      </x:c>
      <x:c r="K58" s="196" t="n">
        <x:f>IFERROR(H58/H57-1,"")</x:f>
        <x:v>-0.04814814814814816</x:v>
      </x:c>
      <x:c r="L58" s="196" t="n">
        <x:f>IFERROR(E58/E57-1,"")</x:f>
        <x:v>0.031697184182181815</x:v>
      </x:c>
      <x:c r="M58" s="196" t="n">
        <x:f>IFERROR(B58/B57-1,"")</x:f>
        <x:v>-0.0722347629796839</x:v>
      </x:c>
    </x:row>
    <x:row r="59">
      <x:c r="A59" s="194" t="n">
        <x:v>44105</x:v>
      </x:c>
      <x:c r="B59" s="195" t="n">
        <x:v>40.5</x:v>
      </x:c>
      <x:c r="C59" s="195" t="n">
        <x:v>2.25</x:v>
      </x:c>
      <x:c r="D59" s="195" t="n">
        <x:v>1806</x:v>
      </x:c>
      <x:c r="E59" s="195" t="n">
        <x:v>6714</x:v>
      </x:c>
      <x:c r="F59" s="195" t="n">
        <x:v>1900</x:v>
      </x:c>
      <x:c r="G59" s="195" t="n">
        <x:v>876</x:v>
      </x:c>
      <x:c r="H59" s="195" t="n">
        <x:v>24.2</x:v>
      </x:c>
      <x:c r="I59" s="195" t="n">
        <x:f>IFERROR(F59/H59,"")</x:f>
        <x:v>78.51239669421489</x:v>
      </x:c>
      <x:c r="J59" s="196" t="n">
        <x:f>IFERROR(F59/F58-1,"")</x:f>
        <x:v>-0.01144640998959412</x:v>
      </x:c>
      <x:c r="K59" s="196" t="n">
        <x:f>IFERROR(H59/H58-1,"")</x:f>
        <x:v>-0.05836575875486383</x:v>
      </x:c>
      <x:c r="L59" s="196" t="n">
        <x:f>IFERROR(E59/E58-1,"")</x:f>
        <x:v>0.0013422818791946067</x:v>
      </x:c>
      <x:c r="M59" s="196" t="n">
        <x:f>IFERROR(B59/B58-1,"")</x:f>
        <x:v>-0.014598540145985384</x:v>
      </x:c>
    </x:row>
    <x:row r="60">
      <x:c r="A60" s="194" t="n">
        <x:v>44136</x:v>
      </x:c>
      <x:c r="B60" s="195" t="n">
        <x:v>43.2</x:v>
      </x:c>
      <x:c r="C60" s="195" t="n">
        <x:v>2.59</x:v>
      </x:c>
      <x:c r="D60" s="195" t="n">
        <x:v>1935</x:v>
      </x:c>
      <x:c r="E60" s="195" t="n">
        <x:v>7069</x:v>
      </x:c>
      <x:c r="F60" s="195" t="n">
        <x:v>1866</x:v>
      </x:c>
      <x:c r="G60" s="195" t="n">
        <x:v>912</x:v>
      </x:c>
      <x:c r="H60" s="195" t="n">
        <x:v>24.1</x:v>
      </x:c>
      <x:c r="I60" s="195" t="n">
        <x:f>IFERROR(F60/H60,"")</x:f>
        <x:v>77.42738589211618</x:v>
      </x:c>
      <x:c r="J60" s="196" t="n">
        <x:f>IFERROR(F60/F59-1,"")</x:f>
        <x:v>-0.017894736842105297</x:v>
      </x:c>
      <x:c r="K60" s="196" t="n">
        <x:f>IFERROR(H60/H59-1,"")</x:f>
        <x:v>-0.004132231404958553</x:v>
      </x:c>
      <x:c r="L60" s="196" t="n">
        <x:f>IFERROR(E60/E59-1,"")</x:f>
        <x:v>0.052874590408102495</x:v>
      </x:c>
      <x:c r="M60" s="196" t="n">
        <x:f>IFERROR(B60/B59-1,"")</x:f>
        <x:v>0.06666666666666665</x:v>
      </x:c>
    </x:row>
    <x:row r="61">
      <x:c r="A61" s="194" t="n">
        <x:v>44166</x:v>
      </x:c>
      <x:c r="B61" s="195" t="n">
        <x:v>49.9</x:v>
      </x:c>
      <x:c r="C61" s="195" t="n">
        <x:v>2.54</x:v>
      </x:c>
      <x:c r="D61" s="195" t="n">
        <x:v>2015</x:v>
      </x:c>
      <x:c r="E61" s="195" t="n">
        <x:v>7772</x:v>
      </x:c>
      <x:c r="F61" s="195" t="n">
        <x:v>1858</x:v>
      </x:c>
      <x:c r="G61" s="195" t="n">
        <x:v>1028</x:v>
      </x:c>
      <x:c r="H61" s="195" t="n">
        <x:v>25</x:v>
      </x:c>
      <x:c r="I61" s="195" t="n">
        <x:f>IFERROR(F61/H61,"")</x:f>
        <x:v>74.32</x:v>
      </x:c>
      <x:c r="J61" s="196" t="n">
        <x:f>IFERROR(F61/F60-1,"")</x:f>
        <x:v>-0.004287245444801746</x:v>
      </x:c>
      <x:c r="K61" s="196" t="n">
        <x:f>IFERROR(H61/H60-1,"")</x:f>
        <x:v>0.03734439834024883</x:v>
      </x:c>
      <x:c r="L61" s="196" t="n">
        <x:f>IFERROR(E61/E60-1,"")</x:f>
        <x:v>0.09944829537416888</x:v>
      </x:c>
      <x:c r="M61" s="196" t="n">
        <x:f>IFERROR(B61/B60-1,"")</x:f>
        <x:v>0.15509259259259256</x:v>
      </x:c>
    </x:row>
    <x:row r="62">
      <x:c r="A62" s="194" t="n">
        <x:v>44197</x:v>
      </x:c>
      <x:c r="B62" s="195" t="n">
        <x:v>54.6</x:v>
      </x:c>
      <x:c r="C62" s="195" t="n">
        <x:v>2.67</x:v>
      </x:c>
      <x:c r="D62" s="195" t="n">
        <x:v>2004</x:v>
      </x:c>
      <x:c r="E62" s="195" t="n">
        <x:v>7972</x:v>
      </x:c>
      <x:c r="F62" s="195" t="n">
        <x:v>1867</x:v>
      </x:c>
      <x:c r="G62" s="195" t="n">
        <x:v>1091</x:v>
      </x:c>
      <x:c r="H62" s="195" t="n">
        <x:v>25.9</x:v>
      </x:c>
      <x:c r="I62" s="195" t="n">
        <x:f>IFERROR(F62/H62,"")</x:f>
        <x:v>72.08494208494209</x:v>
      </x:c>
      <x:c r="J62" s="196" t="n">
        <x:f>IFERROR(F62/F61-1,"")</x:f>
        <x:v>0.004843918191603791</x:v>
      </x:c>
      <x:c r="K62" s="196" t="n">
        <x:f>IFERROR(H62/H61-1,"")</x:f>
        <x:v>0.03600000000000003</x:v>
      </x:c>
      <x:c r="L62" s="196" t="n">
        <x:f>IFERROR(E62/E61-1,"")</x:f>
        <x:v>0.025733401955738477</x:v>
      </x:c>
      <x:c r="M62" s="196" t="n">
        <x:f>IFERROR(B62/B61-1,"")</x:f>
        <x:v>0.094188376753507</x:v>
      </x:c>
    </x:row>
    <x:row r="63">
      <x:c r="A63" s="194" t="n">
        <x:v>44228</x:v>
      </x:c>
      <x:c r="B63" s="195" t="n">
        <x:v>62</x:v>
      </x:c>
      <x:c r="C63" s="195" t="n">
        <x:v>5.07</x:v>
      </x:c>
      <x:c r="D63" s="195" t="n">
        <x:v>2079</x:v>
      </x:c>
      <x:c r="E63" s="195" t="n">
        <x:v>8471</x:v>
      </x:c>
      <x:c r="F63" s="195" t="n">
        <x:v>1808</x:v>
      </x:c>
      <x:c r="G63" s="195" t="n">
        <x:v>1207</x:v>
      </x:c>
      <x:c r="H63" s="195" t="n">
        <x:v>27.3</x:v>
      </x:c>
      <x:c r="I63" s="195" t="n">
        <x:f>IFERROR(F63/H63,"")</x:f>
        <x:v>66.22710622710622</x:v>
      </x:c>
      <x:c r="J63" s="196" t="n">
        <x:f>IFERROR(F63/F62-1,"")</x:f>
        <x:v>-0.03160149973219073</x:v>
      </x:c>
      <x:c r="K63" s="196" t="n">
        <x:f>IFERROR(H63/H62-1,"")</x:f>
        <x:v>0.05405405405405417</x:v>
      </x:c>
      <x:c r="L63" s="196" t="n">
        <x:f>IFERROR(E63/E62-1,"")</x:f>
        <x:v>0.06259407927747107</x:v>
      </x:c>
      <x:c r="M63" s="196" t="n">
        <x:f>IFERROR(B63/B62-1,"")</x:f>
        <x:v>0.1355311355311355</x:v>
      </x:c>
    </x:row>
    <x:row r="64">
      <x:c r="A64" s="194" t="n">
        <x:v>44256</x:v>
      </x:c>
      <x:c r="B64" s="195" t="n">
        <x:v>65.2</x:v>
      </x:c>
      <x:c r="C64" s="195" t="n">
        <x:v>2.56</x:v>
      </x:c>
      <x:c r="D64" s="195" t="n">
        <x:v>2190</x:v>
      </x:c>
      <x:c r="E64" s="195" t="n">
        <x:v>8988</x:v>
      </x:c>
      <x:c r="F64" s="195" t="n">
        <x:v>1718</x:v>
      </x:c>
      <x:c r="G64" s="195" t="n">
        <x:v>1181</x:v>
      </x:c>
      <x:c r="H64" s="195" t="n">
        <x:v>25.6</x:v>
      </x:c>
      <x:c r="I64" s="195" t="n">
        <x:f>IFERROR(F64/H64,"")</x:f>
        <x:v>67.109375</x:v>
      </x:c>
      <x:c r="J64" s="196" t="n">
        <x:f>IFERROR(F64/F63-1,"")</x:f>
        <x:v>-0.0497787610619469</x:v>
      </x:c>
      <x:c r="K64" s="196" t="n">
        <x:f>IFERROR(H64/H63-1,"")</x:f>
        <x:v>-0.06227106227106227</x:v>
      </x:c>
      <x:c r="L64" s="196" t="n">
        <x:f>IFERROR(E64/E63-1,"")</x:f>
        <x:v>0.0610317554007791</x:v>
      </x:c>
      <x:c r="M64" s="196" t="n">
        <x:f>IFERROR(B64/B63-1,"")</x:f>
        <x:v>0.05161290322580658</x:v>
      </x:c>
    </x:row>
    <x:row r="65">
      <x:c r="A65" s="194" t="n">
        <x:v>44287</x:v>
      </x:c>
      <x:c r="B65" s="195" t="n">
        <x:v>64.8</x:v>
      </x:c>
      <x:c r="C65" s="195" t="n">
        <x:v>2.61</x:v>
      </x:c>
      <x:c r="D65" s="195" t="n">
        <x:v>2319</x:v>
      </x:c>
      <x:c r="E65" s="195" t="n">
        <x:v>9325</x:v>
      </x:c>
      <x:c r="F65" s="195" t="n">
        <x:v>1760</x:v>
      </x:c>
      <x:c r="G65" s="195" t="n">
        <x:v>1209</x:v>
      </x:c>
      <x:c r="H65" s="195" t="n">
        <x:v>25.7</x:v>
      </x:c>
      <x:c r="I65" s="195" t="n">
        <x:f>IFERROR(F65/H65,"")</x:f>
        <x:v>68.48249027237354</x:v>
      </x:c>
      <x:c r="J65" s="196" t="n">
        <x:f>IFERROR(F65/F64-1,"")</x:f>
        <x:v>0.024447031431897637</x:v>
      </x:c>
      <x:c r="K65" s="196" t="n">
        <x:f>IFERROR(H65/H64-1,"")</x:f>
        <x:v>0.00390625</x:v>
      </x:c>
      <x:c r="L65" s="196" t="n">
        <x:f>IFERROR(E65/E64-1,"")</x:f>
        <x:v>0.037494437027147276</x:v>
      </x:c>
      <x:c r="M65" s="196" t="n">
        <x:f>IFERROR(B65/B64-1,"")</x:f>
        <x:v>-0.00613496932515345</x:v>
      </x:c>
    </x:row>
    <x:row r="66">
      <x:c r="A66" s="194" t="n">
        <x:v>44317</x:v>
      </x:c>
      <x:c r="B66" s="195" t="n">
        <x:v>68</x:v>
      </x:c>
      <x:c r="C66" s="195" t="n">
        <x:v>2.89</x:v>
      </x:c>
      <x:c r="D66" s="195" t="n">
        <x:v>2434</x:v>
      </x:c>
      <x:c r="E66" s="195" t="n">
        <x:v>10162</x:v>
      </x:c>
      <x:c r="F66" s="195" t="n">
        <x:v>1850</x:v>
      </x:c>
      <x:c r="G66" s="195" t="n">
        <x:v>1214</x:v>
      </x:c>
      <x:c r="H66" s="195" t="n">
        <x:v>27.5</x:v>
      </x:c>
      <x:c r="I66" s="195" t="n">
        <x:f>IFERROR(F66/H66,"")</x:f>
        <x:v>67.27272727272727</x:v>
      </x:c>
      <x:c r="J66" s="196" t="n">
        <x:f>IFERROR(F66/F65-1,"")</x:f>
        <x:v>0.051136363636363535</x:v>
      </x:c>
      <x:c r="K66" s="196" t="n">
        <x:f>IFERROR(H66/H65-1,"")</x:f>
        <x:v>0.07003891050583655</x:v>
      </x:c>
      <x:c r="L66" s="196" t="n">
        <x:f>IFERROR(E66/E65-1,"")</x:f>
        <x:v>0.08975871313672923</x:v>
      </x:c>
      <x:c r="M66" s="196" t="n">
        <x:f>IFERROR(B66/B65-1,"")</x:f>
        <x:v>0.04938271604938271</x:v>
      </x:c>
    </x:row>
    <x:row r="67">
      <x:c r="A67" s="194" t="n">
        <x:v>44348</x:v>
      </x:c>
      <x:c r="B67" s="195" t="n">
        <x:v>73.1</x:v>
      </x:c>
      <x:c r="C67" s="195" t="n">
        <x:v>3.23</x:v>
      </x:c>
      <x:c r="D67" s="195" t="n">
        <x:v>2447</x:v>
      </x:c>
      <x:c r="E67" s="195" t="n">
        <x:v>9632</x:v>
      </x:c>
      <x:c r="F67" s="195" t="n">
        <x:v>1835</x:v>
      </x:c>
      <x:c r="G67" s="195" t="n">
        <x:v>1124</x:v>
      </x:c>
      <x:c r="H67" s="195" t="n">
        <x:v>27</x:v>
      </x:c>
      <x:c r="I67" s="195" t="n">
        <x:f>IFERROR(F67/H67,"")</x:f>
        <x:v>67.96296296296296</x:v>
      </x:c>
      <x:c r="J67" s="196" t="n">
        <x:f>IFERROR(F67/F66-1,"")</x:f>
        <x:v>-0.008108108108108136</x:v>
      </x:c>
      <x:c r="K67" s="196" t="n">
        <x:f>IFERROR(H67/H66-1,"")</x:f>
        <x:v>-0.018181818181818188</x:v>
      </x:c>
      <x:c r="L67" s="196" t="n">
        <x:f>IFERROR(E67/E66-1,"")</x:f>
        <x:v>-0.05215508758118481</x:v>
      </x:c>
      <x:c r="M67" s="196" t="n">
        <x:f>IFERROR(B67/B66-1,"")</x:f>
        <x:v>0.07499999999999996</x:v>
      </x:c>
    </x:row>
    <x:row r="68">
      <x:c r="A68" s="194" t="n">
        <x:v>44378</x:v>
      </x:c>
      <x:c r="B68" s="195" t="n">
        <x:v>74.4</x:v>
      </x:c>
      <x:c r="C68" s="195" t="n">
        <x:v>3.8</x:v>
      </x:c>
      <x:c r="D68" s="195" t="n">
        <x:v>2498</x:v>
      </x:c>
      <x:c r="E68" s="195" t="n">
        <x:v>9451</x:v>
      </x:c>
      <x:c r="F68" s="195" t="n">
        <x:v>1808</x:v>
      </x:c>
      <x:c r="G68" s="195" t="n">
        <x:v>1086</x:v>
      </x:c>
      <x:c r="H68" s="195" t="n">
        <x:v>25.7</x:v>
      </x:c>
      <x:c r="I68" s="195" t="n">
        <x:f>IFERROR(F68/H68,"")</x:f>
        <x:v>70.35019455252919</x:v>
      </x:c>
      <x:c r="J68" s="196" t="n">
        <x:f>IFERROR(F68/F67-1,"")</x:f>
        <x:v>-0.014713896457765663</x:v>
      </x:c>
      <x:c r="K68" s="196" t="n">
        <x:f>IFERROR(H68/H67-1,"")</x:f>
        <x:v>-0.04814814814814816</x:v>
      </x:c>
      <x:c r="L68" s="196" t="n">
        <x:f>IFERROR(E68/E67-1,"")</x:f>
        <x:v>-0.018791528239202604</x:v>
      </x:c>
      <x:c r="M68" s="196" t="n">
        <x:f>IFERROR(B68/B67-1,"")</x:f>
        <x:v>0.017783857729138264</x:v>
      </x:c>
    </x:row>
    <x:row r="69">
      <x:c r="A69" s="194" t="n">
        <x:v>44409</x:v>
      </x:c>
      <x:c r="B69" s="195" t="n">
        <x:v>70</x:v>
      </x:c>
      <x:c r="C69" s="195" t="n">
        <x:v>4.05</x:v>
      </x:c>
      <x:c r="D69" s="195" t="n">
        <x:v>2603</x:v>
      </x:c>
      <x:c r="E69" s="195" t="n">
        <x:v>9370</x:v>
      </x:c>
      <x:c r="F69" s="195" t="n">
        <x:v>1785</x:v>
      </x:c>
      <x:c r="G69" s="195" t="n">
        <x:v>1009</x:v>
      </x:c>
      <x:c r="H69" s="195" t="n">
        <x:v>24</x:v>
      </x:c>
      <x:c r="I69" s="195" t="n">
        <x:f>IFERROR(F69/H69,"")</x:f>
        <x:v>74.375</x:v>
      </x:c>
      <x:c r="J69" s="196" t="n">
        <x:f>IFERROR(F69/F68-1,"")</x:f>
        <x:v>-0.012721238938053103</x:v>
      </x:c>
      <x:c r="K69" s="196" t="n">
        <x:f>IFERROR(H69/H68-1,"")</x:f>
        <x:v>-0.06614785992217898</x:v>
      </x:c>
      <x:c r="L69" s="196" t="n">
        <x:f>IFERROR(E69/E68-1,"")</x:f>
        <x:v>-0.008570521637921935</x:v>
      </x:c>
      <x:c r="M69" s="196" t="n">
        <x:f>IFERROR(B69/B68-1,"")</x:f>
        <x:v>-0.05913978494623662</x:v>
      </x:c>
    </x:row>
    <x:row r="70">
      <x:c r="A70" s="194" t="n">
        <x:v>44440</x:v>
      </x:c>
      <x:c r="B70" s="195" t="n">
        <x:v>74.6</x:v>
      </x:c>
      <x:c r="C70" s="195" t="n">
        <x:v>5.11</x:v>
      </x:c>
      <x:c r="D70" s="195" t="n">
        <x:v>2835</x:v>
      </x:c>
      <x:c r="E70" s="195" t="n">
        <x:v>9325</x:v>
      </x:c>
      <x:c r="F70" s="195" t="n">
        <x:v>1775</x:v>
      </x:c>
      <x:c r="G70" s="195" t="n">
        <x:v>973</x:v>
      </x:c>
      <x:c r="H70" s="195" t="n">
        <x:v>23.2</x:v>
      </x:c>
      <x:c r="I70" s="195" t="n">
        <x:f>IFERROR(F70/H70,"")</x:f>
        <x:v>76.50862068965517</x:v>
      </x:c>
      <x:c r="J70" s="196" t="n">
        <x:f>IFERROR(F70/F69-1,"")</x:f>
        <x:v>-0.0056022408963585235</x:v>
      </x:c>
      <x:c r="K70" s="196" t="n">
        <x:f>IFERROR(H70/H69-1,"")</x:f>
        <x:v>-0.033333333333333326</x:v>
      </x:c>
      <x:c r="L70" s="196" t="n">
        <x:f>IFERROR(E70/E69-1,"")</x:f>
        <x:v>-0.0048025613660619415</x:v>
      </x:c>
      <x:c r="M70" s="196" t="n">
        <x:f>IFERROR(B70/B69-1,"")</x:f>
        <x:v>0.06571428571428561</x:v>
      </x:c>
    </x:row>
    <x:row r="71">
      <x:c r="A71" s="194" t="n">
        <x:v>44470</x:v>
      </x:c>
      <x:c r="B71" s="195" t="n">
        <x:v>83.7</x:v>
      </x:c>
      <x:c r="C71" s="195" t="n">
        <x:v>5.48</x:v>
      </x:c>
      <x:c r="D71" s="195" t="n">
        <x:v>2934</x:v>
      </x:c>
      <x:c r="E71" s="195" t="n">
        <x:v>9829</x:v>
      </x:c>
      <x:c r="F71" s="195" t="n">
        <x:v>1777</x:v>
      </x:c>
      <x:c r="G71" s="195" t="n">
        <x:v>1017</x:v>
      </x:c>
      <x:c r="H71" s="195" t="n">
        <x:v>23.4</x:v>
      </x:c>
      <x:c r="I71" s="195" t="n">
        <x:f>IFERROR(F71/H71,"")</x:f>
        <x:v>75.94017094017094</x:v>
      </x:c>
      <x:c r="J71" s="196" t="n">
        <x:f>IFERROR(F71/F70-1,"")</x:f>
        <x:v>0.0011267605633802358</x:v>
      </x:c>
      <x:c r="K71" s="196" t="n">
        <x:f>IFERROR(H71/H70-1,"")</x:f>
        <x:v>0.008620689655172376</x:v>
      </x:c>
      <x:c r="L71" s="196" t="n">
        <x:f>IFERROR(E71/E70-1,"")</x:f>
        <x:v>0.054048257372654174</x:v>
      </x:c>
      <x:c r="M71" s="196" t="n">
        <x:f>IFERROR(B71/B70-1,"")</x:f>
        <x:v>0.12198391420911547</x:v>
      </x:c>
    </x:row>
    <x:row r="72">
      <x:c r="A72" s="194" t="n">
        <x:v>44501</x:v>
      </x:c>
      <x:c r="B72" s="195" t="n">
        <x:v>80.8</x:v>
      </x:c>
      <x:c r="C72" s="195" t="n">
        <x:v>5.02</x:v>
      </x:c>
      <x:c r="D72" s="195" t="n">
        <x:v>2636</x:v>
      </x:c>
      <x:c r="E72" s="195" t="n">
        <x:v>9729</x:v>
      </x:c>
      <x:c r="F72" s="195" t="n">
        <x:v>1822</x:v>
      </x:c>
      <x:c r="G72" s="195" t="n">
        <x:v>1038</x:v>
      </x:c>
      <x:c r="H72" s="195" t="n">
        <x:v>24.2</x:v>
      </x:c>
      <x:c r="I72" s="195" t="n">
        <x:f>IFERROR(F72/H72,"")</x:f>
        <x:v>75.2892561983471</x:v>
      </x:c>
      <x:c r="J72" s="196" t="n">
        <x:f>IFERROR(F72/F71-1,"")</x:f>
        <x:v>0.025323579065841262</x:v>
      </x:c>
      <x:c r="K72" s="196" t="n">
        <x:f>IFERROR(H72/H71-1,"")</x:f>
        <x:v>0.03418803418803429</x:v>
      </x:c>
      <x:c r="L72" s="196" t="n">
        <x:f>IFERROR(E72/E71-1,"")</x:f>
        <x:v>-0.010173974972021549</x:v>
      </x:c>
      <x:c r="M72" s="196" t="n">
        <x:f>IFERROR(B72/B71-1,"")</x:f>
        <x:v>-0.0346475507765831</x:v>
      </x:c>
    </x:row>
    <x:row r="73">
      <x:c r="A73" s="194" t="n">
        <x:v>44531</x:v>
      </x:c>
      <x:c r="B73" s="195" t="n">
        <x:v>74.3</x:v>
      </x:c>
      <x:c r="C73" s="195" t="n">
        <x:v>3.73</x:v>
      </x:c>
      <x:c r="D73" s="195" t="n">
        <x:v>2696</x:v>
      </x:c>
      <x:c r="E73" s="195" t="n">
        <x:v>9551</x:v>
      </x:c>
      <x:c r="F73" s="195" t="n">
        <x:v>1790</x:v>
      </x:c>
      <x:c r="G73" s="195" t="n">
        <x:v>945</x:v>
      </x:c>
      <x:c r="H73" s="195" t="n">
        <x:v>22.5</x:v>
      </x:c>
      <x:c r="I73" s="195" t="n">
        <x:f>IFERROR(F73/H73,"")</x:f>
        <x:v>79.55555555555556</x:v>
      </x:c>
      <x:c r="J73" s="196" t="n">
        <x:f>IFERROR(F73/F72-1,"")</x:f>
        <x:v>-0.01756311745334793</x:v>
      </x:c>
      <x:c r="K73" s="196" t="n">
        <x:f>IFERROR(H73/H72-1,"")</x:f>
        <x:v>-0.07024793388429751</x:v>
      </x:c>
      <x:c r="L73" s="196" t="n">
        <x:f>IFERROR(E73/E72-1,"")</x:f>
        <x:v>-0.018295816630691797</x:v>
      </x:c>
      <x:c r="M73" s="196" t="n">
        <x:f>IFERROR(B73/B72-1,"")</x:f>
        <x:v>-0.0804455445544554</x:v>
      </x:c>
    </x:row>
    <x:row r="74">
      <x:c r="A74" s="194" t="n">
        <x:v>44562</x:v>
      </x:c>
      <x:c r="B74" s="195" t="n">
        <x:v>85.5</x:v>
      </x:c>
      <x:c r="C74" s="195" t="n">
        <x:v>4.33</x:v>
      </x:c>
      <x:c r="D74" s="195" t="n">
        <x:v>3006</x:v>
      </x:c>
      <x:c r="E74" s="195" t="n">
        <x:v>9782</x:v>
      </x:c>
      <x:c r="F74" s="195" t="n">
        <x:v>1816</x:v>
      </x:c>
      <x:c r="G74" s="195" t="n">
        <x:v>994</x:v>
      </x:c>
      <x:c r="H74" s="195" t="n">
        <x:v>23.2</x:v>
      </x:c>
      <x:c r="I74" s="195" t="n">
        <x:f>IFERROR(F74/H74,"")</x:f>
        <x:v>78.27586206896552</x:v>
      </x:c>
      <x:c r="J74" s="196" t="n">
        <x:f>IFERROR(F74/F73-1,"")</x:f>
        <x:v>0.01452513966480451</x:v>
      </x:c>
      <x:c r="K74" s="196" t="n">
        <x:f>IFERROR(H74/H73-1,"")</x:f>
        <x:v>0.03111111111111109</x:v>
      </x:c>
      <x:c r="L74" s="196" t="n">
        <x:f>IFERROR(E74/E73-1,"")</x:f>
        <x:v>0.02418594911527583</x:v>
      </x:c>
      <x:c r="M74" s="196" t="n">
        <x:f>IFERROR(B74/B73-1,"")</x:f>
        <x:v>0.15074024226110372</x:v>
      </x:c>
    </x:row>
    <x:row r="75">
      <x:c r="A75" s="194" t="n">
        <x:v>44593</x:v>
      </x:c>
      <x:c r="B75" s="195" t="n">
        <x:v>95.8</x:v>
      </x:c>
      <x:c r="C75" s="195" t="n">
        <x:v>4.66</x:v>
      </x:c>
      <x:c r="D75" s="195" t="n">
        <x:v>3246</x:v>
      </x:c>
      <x:c r="E75" s="195" t="n">
        <x:v>9943</x:v>
      </x:c>
      <x:c r="F75" s="195" t="n">
        <x:v>1856</x:v>
      </x:c>
      <x:c r="G75" s="195" t="n">
        <x:v>1049</x:v>
      </x:c>
      <x:c r="H75" s="195" t="n">
        <x:v>23.5</x:v>
      </x:c>
      <x:c r="I75" s="195" t="n">
        <x:f>IFERROR(F75/H75,"")</x:f>
        <x:v>78.97872340425532</x:v>
      </x:c>
      <x:c r="J75" s="196" t="n">
        <x:f>IFERROR(F75/F74-1,"")</x:f>
        <x:v>0.022026431718061623</x:v>
      </x:c>
      <x:c r="K75" s="196" t="n">
        <x:f>IFERROR(H75/H74-1,"")</x:f>
        <x:v>0.012931034482758674</x:v>
      </x:c>
      <x:c r="L75" s="196" t="n">
        <x:f>IFERROR(E75/E74-1,"")</x:f>
        <x:v>0.016458801881005902</x:v>
      </x:c>
      <x:c r="M75" s="196" t="n">
        <x:f>IFERROR(B75/B74-1,"")</x:f>
        <x:v>0.12046783625730995</x:v>
      </x:c>
    </x:row>
    <x:row r="76">
      <x:c r="A76" s="194" t="n">
        <x:v>44621</x:v>
      </x:c>
      <x:c r="B76" s="195" t="n">
        <x:v>115.6</x:v>
      </x:c>
      <x:c r="C76" s="195" t="n">
        <x:v>4.88</x:v>
      </x:c>
      <x:c r="D76" s="195" t="n">
        <x:v>3498</x:v>
      </x:c>
      <x:c r="E76" s="195" t="n">
        <x:v>10231</x:v>
      </x:c>
      <x:c r="F76" s="195" t="n">
        <x:v>1948</x:v>
      </x:c>
      <x:c r="G76" s="195" t="n">
        <x:v>1043</x:v>
      </x:c>
      <x:c r="H76" s="195" t="n">
        <x:v>25.3</x:v>
      </x:c>
      <x:c r="I76" s="195" t="n">
        <x:f>IFERROR(F76/H76,"")</x:f>
        <x:v>76.99604743083003</x:v>
      </x:c>
      <x:c r="J76" s="196" t="n">
        <x:f>IFERROR(F76/F75-1,"")</x:f>
        <x:v>0.049568965517241326</x:v>
      </x:c>
      <x:c r="K76" s="196" t="n">
        <x:f>IFERROR(H76/H75-1,"")</x:f>
        <x:v>0.07659574468085117</x:v>
      </x:c>
      <x:c r="L76" s="196" t="n">
        <x:f>IFERROR(E76/E75-1,"")</x:f>
        <x:v>0.028965101076134037</x:v>
      </x:c>
      <x:c r="M76" s="196" t="n">
        <x:f>IFERROR(B76/B75-1,"")</x:f>
        <x:v>0.20668058455114813</x:v>
      </x:c>
    </x:row>
    <x:row r="77">
      <x:c r="A77" s="194" t="n">
        <x:v>44652</x:v>
      </x:c>
      <x:c r="B77" s="195" t="n">
        <x:v>105.8</x:v>
      </x:c>
      <x:c r="C77" s="195" t="n">
        <x:v>6.53</x:v>
      </x:c>
      <x:c r="D77" s="195" t="n">
        <x:v>3244</x:v>
      </x:c>
      <x:c r="E77" s="195" t="n">
        <x:v>10161</x:v>
      </x:c>
      <x:c r="F77" s="195" t="n">
        <x:v>1937</x:v>
      </x:c>
      <x:c r="G77" s="195" t="n">
        <x:v>965</x:v>
      </x:c>
      <x:c r="H77" s="195" t="n">
        <x:v>24.5</x:v>
      </x:c>
      <x:c r="I77" s="195" t="n">
        <x:f>IFERROR(F77/H77,"")</x:f>
        <x:v>79.06122448979592</x:v>
      </x:c>
      <x:c r="J77" s="196" t="n">
        <x:f>IFERROR(F77/F76-1,"")</x:f>
        <x:v>-0.0056468172484599455</x:v>
      </x:c>
      <x:c r="K77" s="196" t="n">
        <x:f>IFERROR(H77/H76-1,"")</x:f>
        <x:v>-0.031620553359683834</x:v>
      </x:c>
      <x:c r="L77" s="196" t="n">
        <x:f>IFERROR(E77/E76-1,"")</x:f>
        <x:v>-0.006841950933437646</x:v>
      </x:c>
      <x:c r="M77" s="196" t="n">
        <x:f>IFERROR(B77/B76-1,"")</x:f>
        <x:v>-0.08477508650519028</x:v>
      </x:c>
    </x:row>
    <x:row r="78">
      <x:c r="A78" s="194" t="n">
        <x:v>44682</x:v>
      </x:c>
      <x:c r="B78" s="195" t="n">
        <x:v>112.4</x:v>
      </x:c>
      <x:c r="C78" s="195" t="n">
        <x:v>8.14</x:v>
      </x:c>
      <x:c r="D78" s="195" t="n">
        <x:v>2830</x:v>
      </x:c>
      <x:c r="E78" s="195" t="n">
        <x:v>9377</x:v>
      </x:c>
      <x:c r="F78" s="195" t="n">
        <x:v>1849</x:v>
      </x:c>
      <x:c r="G78" s="195" t="n">
        <x:v>958</x:v>
      </x:c>
      <x:c r="H78" s="195" t="n">
        <x:v>21.9</x:v>
      </x:c>
      <x:c r="I78" s="195" t="n">
        <x:f>IFERROR(F78/H78,"")</x:f>
        <x:v>84.42922374429224</x:v>
      </x:c>
      <x:c r="J78" s="196" t="n">
        <x:f>IFERROR(F78/F77-1,"")</x:f>
        <x:v>-0.04543107898812593</x:v>
      </x:c>
      <x:c r="K78" s="196" t="n">
        <x:f>IFERROR(H78/H77-1,"")</x:f>
        <x:v>-0.10612244897959189</x:v>
      </x:c>
      <x:c r="L78" s="196" t="n">
        <x:f>IFERROR(E78/E77-1,"")</x:f>
        <x:v>-0.07715776006298591</x:v>
      </x:c>
      <x:c r="M78" s="196" t="n">
        <x:f>IFERROR(B78/B77-1,"")</x:f>
        <x:v>0.06238185255198503</x:v>
      </x:c>
    </x:row>
    <x:row r="79">
      <x:c r="A79" s="194" t="n">
        <x:v>44713</x:v>
      </x:c>
      <x:c r="B79" s="195" t="n">
        <x:v>120.1</x:v>
      </x:c>
      <x:c r="C79" s="195" t="n">
        <x:v>7.67</x:v>
      </x:c>
      <x:c r="D79" s="195" t="n">
        <x:v>2563</x:v>
      </x:c>
      <x:c r="E79" s="195" t="n">
        <x:v>9024</x:v>
      </x:c>
      <x:c r="F79" s="195" t="n">
        <x:v>1837</x:v>
      </x:c>
      <x:c r="G79" s="195" t="n">
        <x:v>957</x:v>
      </x:c>
      <x:c r="H79" s="195" t="n">
        <x:v>21.6</x:v>
      </x:c>
      <x:c r="I79" s="195" t="n">
        <x:f>IFERROR(F79/H79,"")</x:f>
        <x:v>85.04629629629629</x:v>
      </x:c>
      <x:c r="J79" s="196" t="n">
        <x:f>IFERROR(F79/F78-1,"")</x:f>
        <x:v>-0.006489994591671211</x:v>
      </x:c>
      <x:c r="K79" s="196" t="n">
        <x:f>IFERROR(H79/H78-1,"")</x:f>
        <x:v>-0.013698630136986134</x:v>
      </x:c>
      <x:c r="L79" s="196" t="n">
        <x:f>IFERROR(E79/E78-1,"")</x:f>
        <x:v>-0.037645302335501785</x:v>
      </x:c>
      <x:c r="M79" s="196" t="n">
        <x:f>IFERROR(B79/B78-1,"")</x:f>
        <x:v>0.06850533807829162</x:v>
      </x:c>
    </x:row>
    <x:row r="80">
      <x:c r="A80" s="194" t="n">
        <x:v>44743</x:v>
      </x:c>
      <x:c r="B80" s="195" t="n">
        <x:v>108.9</x:v>
      </x:c>
      <x:c r="C80" s="195" t="n">
        <x:v>7.26</x:v>
      </x:c>
      <x:c r="D80" s="195" t="n">
        <x:v>2408</x:v>
      </x:c>
      <x:c r="E80" s="195" t="n">
        <x:v>7545</x:v>
      </x:c>
      <x:c r="F80" s="195" t="n">
        <x:v>1733</x:v>
      </x:c>
      <x:c r="G80" s="195" t="n">
        <x:v>869</x:v>
      </x:c>
      <x:c r="H80" s="195" t="n">
        <x:v>19.1</x:v>
      </x:c>
      <x:c r="I80" s="195" t="n">
        <x:f>IFERROR(F80/H80,"")</x:f>
        <x:v>90.73298429319371</x:v>
      </x:c>
      <x:c r="J80" s="196" t="n">
        <x:f>IFERROR(F80/F79-1,"")</x:f>
        <x:v>-0.056614044637996686</x:v>
      </x:c>
      <x:c r="K80" s="196" t="n">
        <x:f>IFERROR(H80/H79-1,"")</x:f>
        <x:v>-0.1157407407407407</x:v>
      </x:c>
      <x:c r="L80" s="196" t="n">
        <x:f>IFERROR(E80/E79-1,"")</x:f>
        <x:v>-0.16389627659574468</x:v>
      </x:c>
      <x:c r="M80" s="196" t="n">
        <x:f>IFERROR(B80/B79-1,"")</x:f>
        <x:v>-0.09325562031640289</x:v>
      </x:c>
    </x:row>
    <x:row r="81">
      <x:c r="A81" s="194" t="n">
        <x:v>44774</x:v>
      </x:c>
      <x:c r="B81" s="195" t="n">
        <x:v>98.6</x:v>
      </x:c>
      <x:c r="C81" s="195" t="n">
        <x:v>8.79</x:v>
      </x:c>
      <x:c r="D81" s="195" t="n">
        <x:v>2431</x:v>
      </x:c>
      <x:c r="E81" s="195" t="n">
        <x:v>7982</x:v>
      </x:c>
      <x:c r="F81" s="195" t="n">
        <x:v>1765</x:v>
      </x:c>
      <x:c r="G81" s="195" t="n">
        <x:v>909</x:v>
      </x:c>
      <x:c r="H81" s="195" t="n">
        <x:v>19.7</x:v>
      </x:c>
      <x:c r="I81" s="195" t="n">
        <x:f>IFERROR(F81/H81,"")</x:f>
        <x:v>89.59390862944163</x:v>
      </x:c>
      <x:c r="J81" s="196" t="n">
        <x:f>IFERROR(F81/F80-1,"")</x:f>
        <x:v>0.018465089440276916</x:v>
      </x:c>
      <x:c r="K81" s="196" t="n">
        <x:f>IFERROR(H81/H80-1,"")</x:f>
        <x:v>0.03141361256544495</x:v>
      </x:c>
      <x:c r="L81" s="196" t="n">
        <x:f>IFERROR(E81/E80-1,"")</x:f>
        <x:v>0.05791915175612994</x:v>
      </x:c>
      <x:c r="M81" s="196" t="n">
        <x:f>IFERROR(B81/B80-1,"")</x:f>
        <x:v>-0.0945821854912765</x:v>
      </x:c>
    </x:row>
    <x:row r="82">
      <x:c r="A82" s="194" t="n">
        <x:v>44805</x:v>
      </x:c>
      <x:c r="B82" s="195" t="n">
        <x:v>90.2</x:v>
      </x:c>
      <x:c r="C82" s="195" t="n">
        <x:v>7.76</x:v>
      </x:c>
      <x:c r="D82" s="195" t="n">
        <x:v>2225</x:v>
      </x:c>
      <x:c r="E82" s="195" t="n">
        <x:v>7746</x:v>
      </x:c>
      <x:c r="F82" s="195" t="n">
        <x:v>1681</x:v>
      </x:c>
      <x:c r="G82" s="195" t="n">
        <x:v>881</x:v>
      </x:c>
      <x:c r="H82" s="195" t="n">
        <x:v>18.9</x:v>
      </x:c>
      <x:c r="I82" s="195" t="n">
        <x:f>IFERROR(F82/H82,"")</x:f>
        <x:v>88.94179894179895</x:v>
      </x:c>
      <x:c r="J82" s="196" t="n">
        <x:f>IFERROR(F82/F81-1,"")</x:f>
        <x:v>-0.04759206798866855</x:v>
      </x:c>
      <x:c r="K82" s="196" t="n">
        <x:f>IFERROR(H82/H81-1,"")</x:f>
        <x:v>-0.040609137055837574</x:v>
      </x:c>
      <x:c r="L82" s="196" t="n">
        <x:f>IFERROR(E82/E81-1,"")</x:f>
        <x:v>-0.029566524680531225</x:v>
      </x:c>
      <x:c r="M82" s="196" t="n">
        <x:f>IFERROR(B82/B81-1,"")</x:f>
        <x:v>-0.08519269776876259</x:v>
      </x:c>
    </x:row>
    <x:row r="83">
      <x:c r="A83" s="194" t="n">
        <x:v>44835</x:v>
      </x:c>
      <x:c r="B83" s="195" t="n">
        <x:v>93.1</x:v>
      </x:c>
      <x:c r="C83" s="195" t="n">
        <x:v>5.62</x:v>
      </x:c>
      <x:c r="D83" s="195" t="n">
        <x:v>2256</x:v>
      </x:c>
      <x:c r="E83" s="195" t="n">
        <x:v>7651</x:v>
      </x:c>
      <x:c r="F83" s="195" t="n">
        <x:v>1664</x:v>
      </x:c>
      <x:c r="G83" s="195" t="n">
        <x:v>915</x:v>
      </x:c>
      <x:c r="H83" s="195" t="n">
        <x:v>19.4</x:v>
      </x:c>
      <x:c r="I83" s="195" t="n">
        <x:f>IFERROR(F83/H83,"")</x:f>
        <x:v>85.77319587628867</x:v>
      </x:c>
      <x:c r="J83" s="196" t="n">
        <x:f>IFERROR(F83/F82-1,"")</x:f>
        <x:v>-0.010113027959547938</x:v>
      </x:c>
      <x:c r="K83" s="196" t="n">
        <x:f>IFERROR(H83/H82-1,"")</x:f>
        <x:v>0.02645502645502651</x:v>
      </x:c>
      <x:c r="L83" s="196" t="n">
        <x:f>IFERROR(E83/E82-1,"")</x:f>
        <x:v>-0.01226439452620709</x:v>
      </x:c>
      <x:c r="M83" s="196" t="n">
        <x:f>IFERROR(B83/B82-1,"")</x:f>
        <x:v>0.032150776053214924</x:v>
      </x:c>
    </x:row>
    <x:row r="84">
      <x:c r="A84" s="194" t="n">
        <x:v>44866</x:v>
      </x:c>
      <x:c r="B84" s="195" t="n">
        <x:v>91.1</x:v>
      </x:c>
      <x:c r="C84" s="195" t="n">
        <x:v>5.28</x:v>
      </x:c>
      <x:c r="D84" s="195" t="n">
        <x:v>2351</x:v>
      </x:c>
      <x:c r="E84" s="195" t="n">
        <x:v>8050</x:v>
      </x:c>
      <x:c r="F84" s="195" t="n">
        <x:v>1725</x:v>
      </x:c>
      <x:c r="G84" s="195" t="n">
        <x:v>989</x:v>
      </x:c>
      <x:c r="H84" s="195" t="n">
        <x:v>21</x:v>
      </x:c>
      <x:c r="I84" s="195" t="n">
        <x:f>IFERROR(F84/H84,"")</x:f>
        <x:v>82.14285714285714</x:v>
      </x:c>
      <x:c r="J84" s="196" t="n">
        <x:f>IFERROR(F84/F83-1,"")</x:f>
        <x:v>0.036658653846153744</x:v>
      </x:c>
      <x:c r="K84" s="196" t="n">
        <x:f>IFERROR(H84/H83-1,"")</x:f>
        <x:v>0.08247422680412386</x:v>
      </x:c>
      <x:c r="L84" s="196" t="n">
        <x:f>IFERROR(E84/E83-1,"")</x:f>
        <x:v>0.05215004574565407</x:v>
      </x:c>
      <x:c r="M84" s="196" t="n">
        <x:f>IFERROR(B84/B83-1,"")</x:f>
        <x:v>-0.02148227712137485</x:v>
      </x:c>
    </x:row>
    <x:row r="85">
      <x:c r="A85" s="194" t="n">
        <x:v>44896</x:v>
      </x:c>
      <x:c r="B85" s="195" t="n">
        <x:v>80.9</x:v>
      </x:c>
      <x:c r="C85" s="195" t="n">
        <x:v>5.5</x:v>
      </x:c>
      <x:c r="D85" s="195" t="n">
        <x:v>2402</x:v>
      </x:c>
      <x:c r="E85" s="195" t="n">
        <x:v>8375</x:v>
      </x:c>
      <x:c r="F85" s="195" t="n">
        <x:v>1798</x:v>
      </x:c>
      <x:c r="G85" s="195" t="n">
        <x:v>1011</x:v>
      </x:c>
      <x:c r="H85" s="195" t="n">
        <x:v>23.3</x:v>
      </x:c>
      <x:c r="I85" s="195" t="n">
        <x:f>IFERROR(F85/H85,"")</x:f>
        <x:v>77.16738197424893</x:v>
      </x:c>
      <x:c r="J85" s="196" t="n">
        <x:f>IFERROR(F85/F84-1,"")</x:f>
        <x:v>0.04231884057971014</x:v>
      </x:c>
      <x:c r="K85" s="196" t="n">
        <x:f>IFERROR(H85/H84-1,"")</x:f>
        <x:v>0.10952380952380958</x:v>
      </x:c>
      <x:c r="L85" s="196" t="n">
        <x:f>IFERROR(E85/E84-1,"")</x:f>
        <x:v>0.04037267080745344</x:v>
      </x:c>
      <x:c r="M85" s="196" t="n">
        <x:f>IFERROR(B85/B84-1,"")</x:f>
        <x:v>-0.11196487376509323</x:v>
      </x:c>
    </x:row>
    <x:row r="86">
      <x:c r="A86" s="194" t="n">
        <x:v>44927</x:v>
      </x:c>
      <x:c r="B86" s="195" t="n">
        <x:v>83.1</x:v>
      </x:c>
      <x:c r="C86" s="195" t="n">
        <x:v>3.27</x:v>
      </x:c>
      <x:c r="D86" s="195" t="n">
        <x:v>2502</x:v>
      </x:c>
      <x:c r="E86" s="195" t="n">
        <x:v>9038</x:v>
      </x:c>
      <x:c r="F86" s="195" t="n">
        <x:v>1898</x:v>
      </x:c>
      <x:c r="G86" s="195" t="n">
        <x:v>1053</x:v>
      </x:c>
      <x:c r="H86" s="195" t="n">
        <x:v>23.7</x:v>
      </x:c>
      <x:c r="I86" s="195" t="n">
        <x:f>IFERROR(F86/H86,"")</x:f>
        <x:v>80.084388185654</x:v>
      </x:c>
      <x:c r="J86" s="196" t="n">
        <x:f>IFERROR(F86/F85-1,"")</x:f>
        <x:v>0.05561735261401557</x:v>
      </x:c>
      <x:c r="K86" s="196" t="n">
        <x:f>IFERROR(H86/H85-1,"")</x:f>
        <x:v>0.01716738197424883</x:v>
      </x:c>
      <x:c r="L86" s="196" t="n">
        <x:f>IFERROR(E86/E85-1,"")</x:f>
        <x:v>0.0791641791044777</x:v>
      </x:c>
      <x:c r="M86" s="196" t="n">
        <x:f>IFERROR(B86/B85-1,"")</x:f>
        <x:v>0.027194066749072876</x:v>
      </x:c>
    </x:row>
    <x:row r="87">
      <x:c r="A87" s="194" t="n">
        <x:v>44958</x:v>
      </x:c>
      <x:c r="B87" s="195" t="n">
        <x:v>82.7</x:v>
      </x:c>
      <x:c r="C87" s="195" t="n">
        <x:v>2.38</x:v>
      </x:c>
      <x:c r="D87" s="195" t="n">
        <x:v>2416</x:v>
      </x:c>
      <x:c r="E87" s="195" t="n">
        <x:v>8937</x:v>
      </x:c>
      <x:c r="F87" s="195" t="n">
        <x:v>1855</x:v>
      </x:c>
      <x:c r="G87" s="195" t="n">
        <x:v>959</x:v>
      </x:c>
      <x:c r="H87" s="195" t="n">
        <x:v>21.9</x:v>
      </x:c>
      <x:c r="I87" s="195" t="n">
        <x:f>IFERROR(F87/H87,"")</x:f>
        <x:v>84.70319634703196</x:v>
      </x:c>
      <x:c r="J87" s="196" t="n">
        <x:f>IFERROR(F87/F86-1,"")</x:f>
        <x:v>-0.02265542676501575</x:v>
      </x:c>
      <x:c r="K87" s="196" t="n">
        <x:f>IFERROR(H87/H86-1,"")</x:f>
        <x:v>-0.07594936708860767</x:v>
      </x:c>
      <x:c r="L87" s="196" t="n">
        <x:f>IFERROR(E87/E86-1,"")</x:f>
        <x:v>-0.011175038725381725</x:v>
      </x:c>
      <x:c r="M87" s="196" t="n">
        <x:f>IFERROR(B87/B86-1,"")</x:f>
        <x:v>-0.004813477737665384</x:v>
      </x:c>
    </x:row>
    <x:row r="88">
      <x:c r="A88" s="194" t="n">
        <x:v>44986</x:v>
      </x:c>
      <x:c r="B88" s="195" t="n">
        <x:v>78.5</x:v>
      </x:c>
      <x:c r="C88" s="195" t="n">
        <x:v>2.3</x:v>
      </x:c>
      <x:c r="D88" s="195" t="n">
        <x:v>2296</x:v>
      </x:c>
      <x:c r="E88" s="195" t="n">
        <x:v>8856</x:v>
      </x:c>
      <x:c r="F88" s="195" t="n">
        <x:v>1913</x:v>
      </x:c>
      <x:c r="G88" s="195" t="n">
        <x:v>971</x:v>
      </x:c>
      <x:c r="H88" s="195" t="n">
        <x:v>22</x:v>
      </x:c>
      <x:c r="I88" s="195" t="n">
        <x:f>IFERROR(F88/H88,"")</x:f>
        <x:v>86.95454545454545</x:v>
      </x:c>
      <x:c r="J88" s="196" t="n">
        <x:f>IFERROR(F88/F87-1,"")</x:f>
        <x:v>0.03126684636118604</x:v>
      </x:c>
      <x:c r="K88" s="196" t="n">
        <x:f>IFERROR(H88/H87-1,"")</x:f>
        <x:v>0.004566210045662267</x:v>
      </x:c>
      <x:c r="L88" s="196" t="n">
        <x:f>IFERROR(E88/E87-1,"")</x:f>
        <x:v>-0.009063444108761365</x:v>
      </x:c>
      <x:c r="M88" s="196" t="n">
        <x:f>IFERROR(B88/B87-1,"")</x:f>
        <x:v>-0.050785973397823536</x:v>
      </x:c>
    </x:row>
    <x:row r="89">
      <x:c r="A89" s="194" t="n">
        <x:v>45017</x:v>
      </x:c>
      <x:c r="B89" s="195" t="n">
        <x:v>84.1</x:v>
      </x:c>
      <x:c r="C89" s="195" t="n">
        <x:v>2.16</x:v>
      </x:c>
      <x:c r="D89" s="195" t="n">
        <x:v>2343</x:v>
      </x:c>
      <x:c r="E89" s="195" t="n">
        <x:v>8809</x:v>
      </x:c>
      <x:c r="F89" s="195" t="n">
        <x:v>2000</x:v>
      </x:c>
      <x:c r="G89" s="195" t="n">
        <x:v>1051</x:v>
      </x:c>
      <x:c r="H89" s="195" t="n">
        <x:v>25</x:v>
      </x:c>
      <x:c r="I89" s="195" t="n">
        <x:f>IFERROR(F89/H89,"")</x:f>
        <x:v>80</x:v>
      </x:c>
      <x:c r="J89" s="196" t="n">
        <x:f>IFERROR(F89/F88-1,"")</x:f>
        <x:v>0.045478306325143825</x:v>
      </x:c>
      <x:c r="K89" s="196" t="n">
        <x:f>IFERROR(H89/H88-1,"")</x:f>
        <x:v>0.13636363636363646</x:v>
      </x:c>
      <x:c r="L89" s="196" t="n">
        <x:f>IFERROR(E89/E88-1,"")</x:f>
        <x:v>-0.005307136404697377</x:v>
      </x:c>
      <x:c r="M89" s="196" t="n">
        <x:f>IFERROR(B89/B88-1,"")</x:f>
        <x:v>0.07133757961783438</x:v>
      </x:c>
    </x:row>
    <x:row r="90">
      <x:c r="A90" s="194" t="n">
        <x:v>45047</x:v>
      </x:c>
      <x:c r="B90" s="195" t="n">
        <x:v>75.7</x:v>
      </x:c>
      <x:c r="C90" s="195" t="n">
        <x:v>2.15</x:v>
      </x:c>
      <x:c r="D90" s="195" t="n">
        <x:v>2269</x:v>
      </x:c>
      <x:c r="E90" s="195" t="n">
        <x:v>8217</x:v>
      </x:c>
      <x:c r="F90" s="195" t="n">
        <x:v>1992</x:v>
      </x:c>
      <x:c r="G90" s="195" t="n">
        <x:v>1063</x:v>
      </x:c>
      <x:c r="H90" s="195" t="n">
        <x:v>24.3</x:v>
      </x:c>
      <x:c r="I90" s="195" t="n">
        <x:f>IFERROR(F90/H90,"")</x:f>
        <x:v>81.9753086419753</x:v>
      </x:c>
      <x:c r="J90" s="196" t="n">
        <x:f>IFERROR(F90/F89-1,"")</x:f>
        <x:v>-0.0040000000000000036</x:v>
      </x:c>
      <x:c r="K90" s="196" t="n">
        <x:f>IFERROR(H90/H89-1,"")</x:f>
        <x:v>-0.028000000000000025</x:v>
      </x:c>
      <x:c r="L90" s="196" t="n">
        <x:f>IFERROR(E90/E89-1,"")</x:f>
        <x:v>-0.06720399591327053</x:v>
      </x:c>
      <x:c r="M90" s="196" t="n">
        <x:f>IFERROR(B90/B89-1,"")</x:f>
        <x:v>-0.09988109393579059</x:v>
      </x:c>
    </x:row>
    <x:row r="91">
      <x:c r="A91" s="194" t="n">
        <x:v>45078</x:v>
      </x:c>
      <x:c r="B91" s="195" t="n">
        <x:v>74.9</x:v>
      </x:c>
      <x:c r="C91" s="195" t="n">
        <x:v>2.18</x:v>
      </x:c>
      <x:c r="D91" s="195" t="n">
        <x:v>2185</x:v>
      </x:c>
      <x:c r="E91" s="195" t="n">
        <x:v>8397</x:v>
      </x:c>
      <x:c r="F91" s="195" t="n">
        <x:v>1943</x:v>
      </x:c>
      <x:c r="G91" s="195" t="n">
        <x:v>971</x:v>
      </x:c>
      <x:c r="H91" s="195" t="n">
        <x:v>23.4</x:v>
      </x:c>
      <x:c r="I91" s="195" t="n">
        <x:f>IFERROR(F91/H91,"")</x:f>
        <x:v>83.03418803418803</x:v>
      </x:c>
      <x:c r="J91" s="196" t="n">
        <x:f>IFERROR(F91/F90-1,"")</x:f>
        <x:v>-0.02459839357429716</x:v>
      </x:c>
      <x:c r="K91" s="196" t="n">
        <x:f>IFERROR(H91/H90-1,"")</x:f>
        <x:v>-0.03703703703703709</x:v>
      </x:c>
      <x:c r="L91" s="196" t="n">
        <x:f>IFERROR(E91/E90-1,"")</x:f>
        <x:v>0.02190580503833517</x:v>
      </x:c>
      <x:c r="M91" s="196" t="n">
        <x:f>IFERROR(B91/B90-1,"")</x:f>
        <x:v>-0.010568031704095038</x:v>
      </x:c>
    </x:row>
    <x:row r="92">
      <x:c r="A92" s="194" t="n">
        <x:v>45108</x:v>
      </x:c>
      <x:c r="B92" s="195" t="n">
        <x:v>80.1</x:v>
      </x:c>
      <x:c r="C92" s="195" t="n">
        <x:v>2.55</x:v>
      </x:c>
      <x:c r="D92" s="195" t="n">
        <x:v>2160</x:v>
      </x:c>
      <x:c r="E92" s="195" t="n">
        <x:v>8477</x:v>
      </x:c>
      <x:c r="F92" s="195" t="n">
        <x:v>1951</x:v>
      </x:c>
      <x:c r="G92" s="195" t="n">
        <x:v>950</x:v>
      </x:c>
      <x:c r="H92" s="195" t="n">
        <x:v>24.3</x:v>
      </x:c>
      <x:c r="I92" s="195" t="n">
        <x:f>IFERROR(F92/H92,"")</x:f>
        <x:v>80.2880658436214</x:v>
      </x:c>
      <x:c r="J92" s="196" t="n">
        <x:f>IFERROR(F92/F91-1,"")</x:f>
        <x:v>0.004117344312918103</x:v>
      </x:c>
      <x:c r="K92" s="196" t="n">
        <x:f>IFERROR(H92/H91-1,"")</x:f>
        <x:v>0.03846153846153855</x:v>
      </x:c>
      <x:c r="L92" s="196" t="n">
        <x:f>IFERROR(E92/E91-1,"")</x:f>
        <x:v>0.009527212099559312</x:v>
      </x:c>
      <x:c r="M92" s="196" t="n">
        <x:f>IFERROR(B92/B91-1,"")</x:f>
        <x:v>0.06942590120160208</x:v>
      </x:c>
    </x:row>
    <x:row r="93">
      <x:c r="A93" s="194" t="n">
        <x:v>45139</x:v>
      </x:c>
      <x:c r="B93" s="195" t="n">
        <x:v>86.2</x:v>
      </x:c>
      <x:c r="C93" s="195" t="n">
        <x:v>2.58</x:v>
      </x:c>
      <x:c r="D93" s="195" t="n">
        <x:v>2137</x:v>
      </x:c>
      <x:c r="E93" s="195" t="n">
        <x:v>8349</x:v>
      </x:c>
      <x:c r="F93" s="195" t="n">
        <x:v>1919</x:v>
      </x:c>
      <x:c r="G93" s="195" t="n">
        <x:v>925</x:v>
      </x:c>
      <x:c r="H93" s="195" t="n">
        <x:v>23.4</x:v>
      </x:c>
      <x:c r="I93" s="195" t="n">
        <x:f>IFERROR(F93/H93,"")</x:f>
        <x:v>82.00854700854701</x:v>
      </x:c>
      <x:c r="J93" s="196" t="n">
        <x:f>IFERROR(F93/F92-1,"")</x:f>
        <x:v>-0.016401845207585808</x:v>
      </x:c>
      <x:c r="K93" s="196" t="n">
        <x:f>IFERROR(H93/H92-1,"")</x:f>
        <x:v>-0.03703703703703709</x:v>
      </x:c>
      <x:c r="L93" s="196" t="n">
        <x:f>IFERROR(E93/E92-1,"")</x:f>
        <x:v>-0.01509968149109353</x:v>
      </x:c>
      <x:c r="M93" s="196" t="n">
        <x:f>IFERROR(B93/B92-1,"")</x:f>
        <x:v>0.07615480649188533</x:v>
      </x:c>
    </x:row>
    <x:row r="94">
      <x:c r="A94" s="194" t="n">
        <x:v>45170</x:v>
      </x:c>
      <x:c r="B94" s="195" t="n">
        <x:v>94</x:v>
      </x:c>
      <x:c r="C94" s="195" t="n">
        <x:v>2.64</x:v>
      </x:c>
      <x:c r="D94" s="195" t="n">
        <x:v>2185</x:v>
      </x:c>
      <x:c r="E94" s="195" t="n">
        <x:v>8277</x:v>
      </x:c>
      <x:c r="F94" s="195" t="n">
        <x:v>1916</x:v>
      </x:c>
      <x:c r="G94" s="195" t="n">
        <x:v>921</x:v>
      </x:c>
      <x:c r="H94" s="195" t="n">
        <x:v>23.1</x:v>
      </x:c>
      <x:c r="I94" s="195" t="n">
        <x:f>IFERROR(F94/H94,"")</x:f>
        <x:v>82.94372294372293</x:v>
      </x:c>
      <x:c r="J94" s="196" t="n">
        <x:f>IFERROR(F94/F93-1,"")</x:f>
        <x:v>-0.0015633142261594069</x:v>
      </x:c>
      <x:c r="K94" s="196" t="n">
        <x:f>IFERROR(H94/H93-1,"")</x:f>
        <x:v>-0.012820512820512664</x:v>
      </x:c>
      <x:c r="L94" s="196" t="n">
        <x:f>IFERROR(E94/E93-1,"")</x:f>
        <x:v>-0.008623787279913753</x:v>
      </x:c>
      <x:c r="M94" s="196" t="n">
        <x:f>IFERROR(B94/B93-1,"")</x:f>
        <x:v>0.09048723897911826</x:v>
      </x:c>
    </x:row>
    <x:row r="95">
      <x:c r="A95" s="194" t="n">
        <x:v>45200</x:v>
      </x:c>
      <x:c r="B95" s="195" t="n">
        <x:v>91.1</x:v>
      </x:c>
      <x:c r="C95" s="195" t="n">
        <x:v>2.99</x:v>
      </x:c>
      <x:c r="D95" s="195" t="n">
        <x:v>2192</x:v>
      </x:c>
      <x:c r="E95" s="195" t="n">
        <x:v>7937</x:v>
      </x:c>
      <x:c r="F95" s="195" t="n">
        <x:v>1916</x:v>
      </x:c>
      <x:c r="G95" s="195" t="n">
        <x:v>892</x:v>
      </x:c>
      <x:c r="H95" s="195" t="n">
        <x:v>22.4</x:v>
      </x:c>
      <x:c r="I95" s="195" t="n">
        <x:f>IFERROR(F95/H95,"")</x:f>
        <x:v>85.53571428571429</x:v>
      </x:c>
      <x:c r="J95" s="196" t="n">
        <x:f>IFERROR(F95/F94-1,"")</x:f>
        <x:v>0</x:v>
      </x:c>
      <x:c r="K95" s="196" t="n">
        <x:f>IFERROR(H95/H94-1,"")</x:f>
        <x:v>-0.030303030303030387</x:v>
      </x:c>
      <x:c r="L95" s="196" t="n">
        <x:f>IFERROR(E95/E94-1,"")</x:f>
        <x:v>-0.04107768515162502</x:v>
      </x:c>
      <x:c r="M95" s="196" t="n">
        <x:f>IFERROR(B95/B94-1,"")</x:f>
        <x:v>-0.030851063829787306</x:v>
      </x:c>
    </x:row>
    <x:row r="96">
      <x:c r="A96" s="194" t="n">
        <x:v>45231</x:v>
      </x:c>
      <x:c r="B96" s="195" t="n">
        <x:v>83.2</x:v>
      </x:c>
      <x:c r="C96" s="195" t="n">
        <x:v>2.71</x:v>
      </x:c>
      <x:c r="D96" s="195" t="n">
        <x:v>2202</x:v>
      </x:c>
      <x:c r="E96" s="195" t="n">
        <x:v>8190</x:v>
      </x:c>
      <x:c r="F96" s="195" t="n">
        <x:v>1984</x:v>
      </x:c>
      <x:c r="G96" s="195" t="n">
        <x:v>906</x:v>
      </x:c>
      <x:c r="H96" s="195" t="n">
        <x:v>23.5</x:v>
      </x:c>
      <x:c r="I96" s="195" t="n">
        <x:f>IFERROR(F96/H96,"")</x:f>
        <x:v>84.42553191489361</x:v>
      </x:c>
      <x:c r="J96" s="196" t="n">
        <x:f>IFERROR(F96/F95-1,"")</x:f>
        <x:v>0.035490605427974886</x:v>
      </x:c>
      <x:c r="K96" s="196" t="n">
        <x:f>IFERROR(H96/H95-1,"")</x:f>
        <x:v>0.049107142857143016</x:v>
      </x:c>
      <x:c r="L96" s="196" t="n">
        <x:f>IFERROR(E96/E95-1,"")</x:f>
        <x:v>0.03187602368653142</x:v>
      </x:c>
      <x:c r="M96" s="196" t="n">
        <x:f>IFERROR(B96/B95-1,"")</x:f>
        <x:v>-0.08671789242590555</x:v>
      </x:c>
    </x:row>
    <x:row r="97">
      <x:c r="A97" s="194" t="n">
        <x:v>45261</x:v>
      </x:c>
      <x:c r="B97" s="195" t="n">
        <x:v>77.9</x:v>
      </x:c>
      <x:c r="C97" s="195" t="n">
        <x:v>2.53</x:v>
      </x:c>
      <x:c r="D97" s="195" t="n">
        <x:v>2182</x:v>
      </x:c>
      <x:c r="E97" s="195" t="n">
        <x:v>8400</x:v>
      </x:c>
      <x:c r="F97" s="195" t="n">
        <x:v>2026</x:v>
      </x:c>
      <x:c r="G97" s="195" t="n">
        <x:v>935</x:v>
      </x:c>
      <x:c r="H97" s="195" t="n">
        <x:v>23.9</x:v>
      </x:c>
      <x:c r="I97" s="195" t="n">
        <x:f>IFERROR(F97/H97,"")</x:f>
        <x:v>84.76987447698745</x:v>
      </x:c>
      <x:c r="J97" s="196" t="n">
        <x:f>IFERROR(F97/F96-1,"")</x:f>
        <x:v>0.021169354838709742</x:v>
      </x:c>
      <x:c r="K97" s="196" t="n">
        <x:f>IFERROR(H97/H96-1,"")</x:f>
        <x:v>0.017021276595744705</x:v>
      </x:c>
      <x:c r="L97" s="196" t="n">
        <x:f>IFERROR(E97/E96-1,"")</x:f>
        <x:v>0.02564102564102555</x:v>
      </x:c>
      <x:c r="M97" s="196" t="n">
        <x:f>IFERROR(B97/B96-1,"")</x:f>
        <x:v>-0.06370192307692302</x:v>
      </x:c>
    </x:row>
    <x:row r="98">
      <x:c r="A98" s="194" t="n">
        <x:v>45292</x:v>
      </x:c>
      <x:c r="B98" s="195" t="n">
        <x:v>80.2</x:v>
      </x:c>
      <x:c r="C98" s="195" t="n">
        <x:v>3.18</x:v>
      </x:c>
      <x:c r="D98" s="195" t="n">
        <x:v>2193</x:v>
      </x:c>
      <x:c r="E98" s="195" t="n">
        <x:v>8339</x:v>
      </x:c>
      <x:c r="F98" s="195" t="n">
        <x:v>2034</x:v>
      </x:c>
      <x:c r="G98" s="195" t="n">
        <x:v>926</x:v>
      </x:c>
      <x:c r="H98" s="195" t="n">
        <x:v>22.9</x:v>
      </x:c>
      <x:c r="I98" s="195" t="n">
        <x:f>IFERROR(F98/H98,"")</x:f>
        <x:v>88.82096069868996</x:v>
      </x:c>
      <x:c r="J98" s="196" t="n">
        <x:f>IFERROR(F98/F97-1,"")</x:f>
        <x:v>0.003948667324777944</x:v>
      </x:c>
      <x:c r="K98" s="196" t="n">
        <x:f>IFERROR(H98/H97-1,"")</x:f>
        <x:v>-0.04184100418410042</x:v>
      </x:c>
      <x:c r="L98" s="196" t="n">
        <x:f>IFERROR(E98/E97-1,"")</x:f>
        <x:v>-0.007261904761904803</x:v>
      </x:c>
      <x:c r="M98" s="196" t="n">
        <x:f>IFERROR(B98/B97-1,"")</x:f>
        <x:v>0.029525032092426073</x:v>
      </x:c>
    </x:row>
    <x:row r="99">
      <x:c r="A99" s="194" t="n">
        <x:v>45323</x:v>
      </x:c>
      <x:c r="B99" s="195" t="n">
        <x:v>83.8</x:v>
      </x:c>
      <x:c r="C99" s="195" t="n">
        <x:v>1.72</x:v>
      </x:c>
      <x:c r="D99" s="195" t="n">
        <x:v>2179</x:v>
      </x:c>
      <x:c r="E99" s="195" t="n">
        <x:v>8305</x:v>
      </x:c>
      <x:c r="F99" s="195" t="n">
        <x:v>2023</x:v>
      </x:c>
      <x:c r="G99" s="195" t="n">
        <x:v>894</x:v>
      </x:c>
      <x:c r="H99" s="195" t="n">
        <x:v>22.7</x:v>
      </x:c>
      <x:c r="I99" s="195" t="n">
        <x:f>IFERROR(F99/H99,"")</x:f>
        <x:v>89.11894273127754</x:v>
      </x:c>
      <x:c r="J99" s="196" t="n">
        <x:f>IFERROR(F99/F98-1,"")</x:f>
        <x:v>-0.005408062930186808</x:v>
      </x:c>
      <x:c r="K99" s="196" t="n">
        <x:f>IFERROR(H99/H98-1,"")</x:f>
        <x:v>-0.008733624454148492</x:v>
      </x:c>
      <x:c r="L99" s="196" t="n">
        <x:f>IFERROR(E99/E98-1,"")</x:f>
        <x:v>-0.004077227485310031</x:v>
      </x:c>
      <x:c r="M99" s="196" t="n">
        <x:f>IFERROR(B99/B98-1,"")</x:f>
        <x:v>0.0448877805486283</x:v>
      </x:c>
    </x:row>
    <x:row r="100">
      <x:c r="A100" s="194" t="n">
        <x:v>45352</x:v>
      </x:c>
      <x:c r="B100" s="195" t="n">
        <x:v>85.4</x:v>
      </x:c>
      <x:c r="C100" s="195" t="n">
        <x:v>1.5</x:v>
      </x:c>
      <x:c r="D100" s="195" t="n">
        <x:v>2226</x:v>
      </x:c>
      <x:c r="E100" s="195" t="n">
        <x:v>8689</x:v>
      </x:c>
      <x:c r="F100" s="195" t="n">
        <x:v>2158</x:v>
      </x:c>
      <x:c r="G100" s="195" t="n">
        <x:v>909</x:v>
      </x:c>
      <x:c r="H100" s="195" t="n">
        <x:v>24.5</x:v>
      </x:c>
      <x:c r="I100" s="195" t="n">
        <x:f>IFERROR(F100/H100,"")</x:f>
        <x:v>88.08163265306122</x:v>
      </x:c>
      <x:c r="J100" s="196" t="n">
        <x:f>IFERROR(F100/F99-1,"")</x:f>
        <x:v>0.06673257538309452</x:v>
      </x:c>
      <x:c r="K100" s="196" t="n">
        <x:f>IFERROR(H100/H99-1,"")</x:f>
        <x:v>0.07929515418502198</x:v>
      </x:c>
      <x:c r="L100" s="196" t="n">
        <x:f>IFERROR(E100/E99-1,"")</x:f>
        <x:v>0.046237206502107275</x:v>
      </x:c>
      <x:c r="M100" s="196" t="n">
        <x:f>IFERROR(B100/B99-1,"")</x:f>
        <x:v>0.019093078758950055</x:v>
      </x:c>
    </x:row>
    <x:row r="101">
      <x:c r="A101" s="194" t="n">
        <x:v>45383</x:v>
      </x:c>
      <x:c r="B101" s="195" t="n">
        <x:v>90.1</x:v>
      </x:c>
      <x:c r="C101" s="195" t="n">
        <x:v>1.6</x:v>
      </x:c>
      <x:c r="D101" s="195" t="n">
        <x:v>2506</x:v>
      </x:c>
      <x:c r="E101" s="195" t="n">
        <x:v>9464</x:v>
      </x:c>
      <x:c r="F101" s="195" t="n">
        <x:v>2331</x:v>
      </x:c>
      <x:c r="G101" s="195" t="n">
        <x:v>940</x:v>
      </x:c>
      <x:c r="H101" s="195" t="n">
        <x:v>27.5</x:v>
      </x:c>
      <x:c r="I101" s="195" t="n">
        <x:f>IFERROR(F101/H101,"")</x:f>
        <x:v>84.76363636363637</x:v>
      </x:c>
      <x:c r="J101" s="196" t="n">
        <x:f>IFERROR(F101/F100-1,"")</x:f>
        <x:v>0.08016682113067652</x:v>
      </x:c>
      <x:c r="K101" s="196" t="n">
        <x:f>IFERROR(H101/H100-1,"")</x:f>
        <x:v>0.12244897959183665</x:v>
      </x:c>
      <x:c r="L101" s="196" t="n">
        <x:f>IFERROR(E101/E100-1,"")</x:f>
        <x:v>0.08919323282310976</x:v>
      </x:c>
      <x:c r="M101" s="196" t="n">
        <x:f>IFERROR(B101/B100-1,"")</x:f>
        <x:v>0.05503512880562056</x:v>
      </x:c>
    </x:row>
    <x:row r="102">
      <x:c r="A102" s="194" t="n">
        <x:v>45413</x:v>
      </x:c>
      <x:c r="B102" s="195" t="n">
        <x:v>82</x:v>
      </x:c>
      <x:c r="C102" s="195" t="n">
        <x:v>2.13</x:v>
      </x:c>
      <x:c r="D102" s="195" t="n">
        <x:v>2565</x:v>
      </x:c>
      <x:c r="E102" s="195" t="n">
        <x:v>10139</x:v>
      </x:c>
      <x:c r="F102" s="195" t="n">
        <x:v>2351</x:v>
      </x:c>
      <x:c r="G102" s="195" t="n">
        <x:v>1015</x:v>
      </x:c>
      <x:c r="H102" s="195" t="n">
        <x:v>29.4</x:v>
      </x:c>
      <x:c r="I102" s="195" t="n">
        <x:f>IFERROR(F102/H102,"")</x:f>
        <x:v>79.96598639455783</x:v>
      </x:c>
      <x:c r="J102" s="196" t="n">
        <x:f>IFERROR(F102/F101-1,"")</x:f>
        <x:v>0.008580008580008514</x:v>
      </x:c>
      <x:c r="K102" s="196" t="n">
        <x:f>IFERROR(H102/H101-1,"")</x:f>
        <x:v>0.06909090909090909</x:v>
      </x:c>
      <x:c r="L102" s="196" t="n">
        <x:f>IFERROR(E102/E101-1,"")</x:f>
        <x:v>0.0713229078613693</x:v>
      </x:c>
      <x:c r="M102" s="196" t="n">
        <x:f>IFERROR(B102/B101-1,"")</x:f>
        <x:v>-0.08990011098779127</x:v>
      </x:c>
    </x:row>
    <x:row r="103">
      <x:c r="A103" s="194" t="n">
        <x:v>45444</x:v>
      </x:c>
      <x:c r="B103" s="195" t="n">
        <x:v>82.6</x:v>
      </x:c>
      <x:c r="C103" s="195" t="n">
        <x:v>2.51</x:v>
      </x:c>
      <x:c r="D103" s="195" t="n">
        <x:v>2498</x:v>
      </x:c>
      <x:c r="E103" s="195" t="n">
        <x:v>9648</x:v>
      </x:c>
      <x:c r="F103" s="195" t="n">
        <x:v>2326</x:v>
      </x:c>
      <x:c r="G103" s="195" t="n">
        <x:v>985</x:v>
      </x:c>
      <x:c r="H103" s="195" t="n">
        <x:v>29.6</x:v>
      </x:c>
      <x:c r="I103" s="195" t="n">
        <x:f>IFERROR(F103/H103,"")</x:f>
        <x:v>78.58108108108108</x:v>
      </x:c>
      <x:c r="J103" s="196" t="n">
        <x:f>IFERROR(F103/F102-1,"")</x:f>
        <x:v>-0.01063377286261169</x:v>
      </x:c>
      <x:c r="K103" s="196" t="n">
        <x:f>IFERROR(H103/H102-1,"")</x:f>
        <x:v>0.006802721088435382</x:v>
      </x:c>
      <x:c r="L103" s="196" t="n">
        <x:f>IFERROR(E103/E102-1,"")</x:f>
        <x:v>-0.04842686655488704</x:v>
      </x:c>
      <x:c r="M103" s="196" t="n">
        <x:f>IFERROR(B103/B102-1,"")</x:f>
        <x:v>0.007317073170731714</x:v>
      </x:c>
    </x:row>
    <x:row r="104">
      <x:c r="A104" s="194" t="n">
        <x:v>45474</x:v>
      </x:c>
      <x:c r="B104" s="195" t="n">
        <x:v>85.3</x:v>
      </x:c>
      <x:c r="C104" s="195" t="n">
        <x:v>2.08</x:v>
      </x:c>
      <x:c r="D104" s="195" t="n">
        <x:v>2349</x:v>
      </x:c>
      <x:c r="E104" s="195" t="n">
        <x:v>9385</x:v>
      </x:c>
      <x:c r="F104" s="195" t="n">
        <x:v>2398</x:v>
      </x:c>
      <x:c r="G104" s="195" t="n">
        <x:v>979</x:v>
      </x:c>
      <x:c r="H104" s="195" t="n">
        <x:v>29.8</x:v>
      </x:c>
      <x:c r="I104" s="195" t="n">
        <x:f>IFERROR(F104/H104,"")</x:f>
        <x:v>80.46979865771812</x:v>
      </x:c>
      <x:c r="J104" s="196" t="n">
        <x:f>IFERROR(F104/F103-1,"")</x:f>
        <x:v>0.03095442820292349</x:v>
      </x:c>
      <x:c r="K104" s="196" t="n">
        <x:f>IFERROR(H104/H103-1,"")</x:f>
        <x:v>0.006756756756756799</x:v>
      </x:c>
      <x:c r="L104" s="196" t="n">
        <x:f>IFERROR(E104/E103-1,"")</x:f>
        <x:v>-0.02725953565505801</x:v>
      </x:c>
      <x:c r="M104" s="196" t="n">
        <x:f>IFERROR(B104/B103-1,"")</x:f>
        <x:v>0.032687651331719136</x:v>
      </x:c>
    </x:row>
    <x:row r="105">
      <x:c r="A105" s="194" t="n">
        <x:v>45505</x:v>
      </x:c>
      <x:c r="B105" s="195" t="n">
        <x:v>80.9</x:v>
      </x:c>
      <x:c r="C105" s="195" t="n">
        <x:v>1.99</x:v>
      </x:c>
      <x:c r="D105" s="195" t="n">
        <x:v>2344</x:v>
      </x:c>
      <x:c r="E105" s="195" t="n">
        <x:v>8972</x:v>
      </x:c>
      <x:c r="F105" s="195" t="n">
        <x:v>2470</x:v>
      </x:c>
      <x:c r="G105" s="195" t="n">
        <x:v>945</x:v>
      </x:c>
      <x:c r="H105" s="195" t="n">
        <x:v>28.5</x:v>
      </x:c>
      <x:c r="I105" s="195" t="n">
        <x:f>IFERROR(F105/H105,"")</x:f>
        <x:v>86.66666666666667</x:v>
      </x:c>
      <x:c r="J105" s="196" t="n">
        <x:f>IFERROR(F105/F104-1,"")</x:f>
        <x:v>0.030025020850708906</x:v>
      </x:c>
      <x:c r="K105" s="196" t="n">
        <x:f>IFERROR(H105/H104-1,"")</x:f>
        <x:v>-0.043624161073825496</x:v>
      </x:c>
      <x:c r="L105" s="196" t="n">
        <x:f>IFERROR(E105/E104-1,"")</x:f>
        <x:v>-0.044006393180607395</x:v>
      </x:c>
      <x:c r="M105" s="196" t="n">
        <x:f>IFERROR(B105/B104-1,"")</x:f>
        <x:v>-0.05158264947245006</x:v>
      </x:c>
    </x:row>
    <x:row r="106">
      <x:c r="A106" s="194" t="n">
        <x:v>45536</x:v>
      </x:c>
      <x:c r="B106" s="195" t="n">
        <x:v>74.3</x:v>
      </x:c>
      <x:c r="C106" s="195" t="n">
        <x:v>2.25</x:v>
      </x:c>
      <x:c r="D106" s="195" t="n">
        <x:v>2450</x:v>
      </x:c>
      <x:c r="E106" s="195" t="n">
        <x:v>9237</x:v>
      </x:c>
      <x:c r="F106" s="195" t="n">
        <x:v>2571</x:v>
      </x:c>
      <x:c r="G106" s="195" t="n">
        <x:v>967</x:v>
      </x:c>
      <x:c r="H106" s="195" t="n">
        <x:v>30.1</x:v>
      </x:c>
      <x:c r="I106" s="195" t="n">
        <x:f>IFERROR(F106/H106,"")</x:f>
        <x:v>85.41528239202657</x:v>
      </x:c>
      <x:c r="J106" s="196" t="n">
        <x:f>IFERROR(F106/F105-1,"")</x:f>
        <x:v>0.04089068825910935</x:v>
      </x:c>
      <x:c r="K106" s="196" t="n">
        <x:f>IFERROR(H106/H105-1,"")</x:f>
        <x:v>0.056140350877192935</x:v>
      </x:c>
      <x:c r="L106" s="196" t="n">
        <x:f>IFERROR(E106/E105-1,"")</x:f>
        <x:v>0.029536335265269775</x:v>
      </x:c>
      <x:c r="M106" s="196" t="n">
        <x:f>IFERROR(B106/B105-1,"")</x:f>
        <x:v>-0.08158220024721885</x:v>
      </x:c>
    </x:row>
    <x:row r="107">
      <x:c r="A107" s="194" t="n">
        <x:v>45566</x:v>
      </x:c>
      <x:c r="B107" s="195" t="n">
        <x:v>75.7</x:v>
      </x:c>
      <x:c r="C107" s="195" t="n">
        <x:v>2.21</x:v>
      </x:c>
      <x:c r="D107" s="195" t="n">
        <x:v>2596</x:v>
      </x:c>
      <x:c r="E107" s="195" t="n">
        <x:v>9534</x:v>
      </x:c>
      <x:c r="F107" s="195" t="n">
        <x:v>2690</x:v>
      </x:c>
      <x:c r="G107" s="195" t="n">
        <x:v>999</x:v>
      </x:c>
      <x:c r="H107" s="195" t="n">
        <x:v>32.4</x:v>
      </x:c>
      <x:c r="I107" s="195" t="n">
        <x:f>IFERROR(F107/H107,"")</x:f>
        <x:v>83.0246913580247</x:v>
      </x:c>
      <x:c r="J107" s="196" t="n">
        <x:f>IFERROR(F107/F106-1,"")</x:f>
        <x:v>0.04628549202644883</x:v>
      </x:c>
      <x:c r="K107" s="196" t="n">
        <x:f>IFERROR(H107/H106-1,"")</x:f>
        <x:v>0.07641196013289031</x:v>
      </x:c>
      <x:c r="L107" s="196" t="n">
        <x:f>IFERROR(E107/E106-1,"")</x:f>
        <x:v>0.032153296524845665</x:v>
      </x:c>
      <x:c r="M107" s="196" t="n">
        <x:f>IFERROR(B107/B106-1,"")</x:f>
        <x:v>0.018842530282638048</x:v>
      </x:c>
    </x:row>
    <x:row r="108">
      <x:c r="A108" s="194" t="n">
        <x:v>45597</x:v>
      </x:c>
      <x:c r="B108" s="195" t="n">
        <x:v>74.4</x:v>
      </x:c>
      <x:c r="C108" s="195" t="n">
        <x:v>2.1</x:v>
      </x:c>
      <x:c r="D108" s="195" t="n">
        <x:v>2582</x:v>
      </x:c>
      <x:c r="E108" s="195" t="n">
        <x:v>9076</x:v>
      </x:c>
      <x:c r="F108" s="195" t="n">
        <x:v>2651</x:v>
      </x:c>
      <x:c r="G108" s="195" t="n">
        <x:v>966</x:v>
      </x:c>
      <x:c r="H108" s="195" t="n">
        <x:v>31.1</x:v>
      </x:c>
      <x:c r="I108" s="195" t="n">
        <x:f>IFERROR(F108/H108,"")</x:f>
        <x:v>85.2411575562701</x:v>
      </x:c>
      <x:c r="J108" s="196" t="n">
        <x:f>IFERROR(F108/F107-1,"")</x:f>
        <x:v>-0.014498141263940556</x:v>
      </x:c>
      <x:c r="K108" s="196" t="n">
        <x:f>IFERROR(H108/H107-1,"")</x:f>
        <x:v>-0.04012345679012341</x:v>
      </x:c>
      <x:c r="L108" s="196" t="n">
        <x:f>IFERROR(E108/E107-1,"")</x:f>
        <x:v>-0.048038598699391644</x:v>
      </x:c>
      <x:c r="M108" s="196" t="n">
        <x:f>IFERROR(B108/B107-1,"")</x:f>
        <x:v>-0.017173051519154492</x:v>
      </x:c>
    </x:row>
    <x:row r="109">
      <x:c r="A109" s="194" t="n">
        <x:v>45627</x:v>
      </x:c>
      <x:c r="B109" s="195" t="n">
        <x:v>73.8</x:v>
      </x:c>
      <x:c r="C109" s="195" t="n">
        <x:v>3.02</x:v>
      </x:c>
      <x:c r="D109" s="195" t="n">
        <x:v>2541</x:v>
      </x:c>
      <x:c r="E109" s="195" t="n">
        <x:v>8916</x:v>
      </x:c>
      <x:c r="F109" s="195" t="n">
        <x:v>2648</x:v>
      </x:c>
      <x:c r="G109" s="195" t="n">
        <x:v>938</x:v>
      </x:c>
      <x:c r="H109" s="195" t="n">
        <x:v>30.8</x:v>
      </x:c>
      <x:c r="I109" s="195" t="n">
        <x:f>IFERROR(F109/H109,"")</x:f>
        <x:v>85.97402597402598</x:v>
      </x:c>
      <x:c r="J109" s="196" t="n">
        <x:f>IFERROR(F109/F108-1,"")</x:f>
        <x:v>-0.0011316484345530453</x:v>
      </x:c>
      <x:c r="K109" s="196" t="n">
        <x:f>IFERROR(H109/H108-1,"")</x:f>
        <x:v>-0.009646302250803873</x:v>
      </x:c>
      <x:c r="L109" s="196" t="n">
        <x:f>IFERROR(E109/E108-1,"")</x:f>
        <x:v>-0.017628911414720116</x:v>
      </x:c>
      <x:c r="M109" s="196" t="n">
        <x:f>IFERROR(B109/B108-1,"")</x:f>
        <x:v>-0.008064516129032362</x:v>
      </x:c>
    </x:row>
    <x:row r="110">
      <x:c r="A110" s="194" t="n">
        <x:v>45658</x:v>
      </x:c>
      <x:c r="B110" s="195" t="n">
        <x:v>79.2</x:v>
      </x:c>
      <x:c r="C110" s="195" t="n">
        <x:v>4.1</x:v>
      </x:c>
      <x:c r="D110" s="195" t="n">
        <x:v>2573</x:v>
      </x:c>
      <x:c r="E110" s="195" t="n">
        <x:v>8991</x:v>
      </x:c>
      <x:c r="F110" s="195" t="n">
        <x:v>2710</x:v>
      </x:c>
      <x:c r="G110" s="195" t="n">
        <x:v>949</x:v>
      </x:c>
      <x:c r="H110" s="195" t="n">
        <x:v>30.4</x:v>
      </x:c>
      <x:c r="I110" s="195" t="n">
        <x:f>IFERROR(F110/H110,"")</x:f>
        <x:v>89.14473684210527</x:v>
      </x:c>
      <x:c r="J110" s="196" t="n">
        <x:f>IFERROR(F110/F109-1,"")</x:f>
        <x:v>0.023413897280966767</x:v>
      </x:c>
      <x:c r="K110" s="196" t="n">
        <x:f>IFERROR(H110/H109-1,"")</x:f>
        <x:v>-0.012987012987013102</x:v>
      </x:c>
      <x:c r="L110" s="196" t="n">
        <x:f>IFERROR(E110/E109-1,"")</x:f>
        <x:v>0.00841184387617755</x:v>
      </x:c>
      <x:c r="M110" s="196" t="n">
        <x:f>IFERROR(B110/B109-1,"")</x:f>
        <x:v>0.07317073170731714</x:v>
      </x:c>
    </x:row>
    <x:row r="111">
      <x:c r="A111" s="194" t="n">
        <x:v>45689</x:v>
      </x:c>
      <x:c r="B111" s="195" t="n">
        <x:v>75.2</x:v>
      </x:c>
      <x:c r="C111" s="195" t="n">
        <x:v>4.22</x:v>
      </x:c>
      <x:c r="D111" s="195" t="n">
        <x:v>2658</x:v>
      </x:c>
      <x:c r="E111" s="195" t="n">
        <x:v>9331</x:v>
      </x:c>
      <x:c r="F111" s="195" t="n">
        <x:v>2895</x:v>
      </x:c>
      <x:c r="G111" s="195" t="n">
        <x:v>978</x:v>
      </x:c>
      <x:c r="H111" s="195" t="n">
        <x:v>32.2</x:v>
      </x:c>
      <x:c r="I111" s="195" t="n">
        <x:f>IFERROR(F111/H111,"")</x:f>
        <x:v>89.90683229813664</x:v>
      </x:c>
      <x:c r="J111" s="196" t="n">
        <x:f>IFERROR(F111/F110-1,"")</x:f>
        <x:v>0.06826568265682664</x:v>
      </x:c>
      <x:c r="K111" s="196" t="n">
        <x:f>IFERROR(H111/H110-1,"")</x:f>
        <x:v>0.0592105263157896</x:v>
      </x:c>
      <x:c r="L111" s="196" t="n">
        <x:f>IFERROR(E111/E110-1,"")</x:f>
        <x:v>0.03781559337114904</x:v>
      </x:c>
      <x:c r="M111" s="196" t="n">
        <x:f>IFERROR(B111/B110-1,"")</x:f>
        <x:v>-0.0505050505050505</x:v>
      </x:c>
    </x:row>
    <x:row r="112">
      <x:c r="A112" s="194" t="n">
        <x:v>45717</x:v>
      </x:c>
      <x:c r="B112" s="195" t="n">
        <x:v>72.6</x:v>
      </x:c>
      <x:c r="C112" s="195" t="n">
        <x:v>4.13</x:v>
      </x:c>
      <x:c r="D112" s="195" t="n">
        <x:v>2658</x:v>
      </x:c>
      <x:c r="E112" s="195" t="n">
        <x:v>9740</x:v>
      </x:c>
      <x:c r="F112" s="195" t="n">
        <x:v>2983</x:v>
      </x:c>
      <x:c r="G112" s="195" t="n">
        <x:v>980</x:v>
      </x:c>
      <x:c r="H112" s="195" t="n">
        <x:v>33.2</x:v>
      </x:c>
      <x:c r="I112" s="195" t="n">
        <x:f>IFERROR(F112/H112,"")</x:f>
        <x:v>89.84939759036143</x:v>
      </x:c>
      <x:c r="J112" s="196" t="n">
        <x:f>IFERROR(F112/F111-1,"")</x:f>
        <x:v>0.030397236614853274</x:v>
      </x:c>
      <x:c r="K112" s="196" t="n">
        <x:f>IFERROR(H112/H111-1,"")</x:f>
        <x:v>0.03105590062111796</x:v>
      </x:c>
      <x:c r="L112" s="196" t="n">
        <x:f>IFERROR(E112/E111-1,"")</x:f>
        <x:v>0.043832386668095635</x:v>
      </x:c>
      <x:c r="M112" s="196" t="n">
        <x:f>IFERROR(B112/B111-1,"")</x:f>
        <x:v>-0.03457446808510645</x:v>
      </x:c>
    </x:row>
    <x:row r="113">
      <x:c r="A113" s="194" t="n">
        <x:v>45748</x:v>
      </x:c>
      <x:c r="B113" s="195" t="n">
        <x:v>67.7</x:v>
      </x:c>
      <x:c r="C113" s="195" t="n">
        <x:v>3.4</x:v>
      </x:c>
      <x:c r="D113" s="195" t="n">
        <x:v>2372</x:v>
      </x:c>
      <x:c r="E113" s="195" t="n">
        <x:v>9177</x:v>
      </x:c>
      <x:c r="F113" s="195" t="n">
        <x:v>3218</x:v>
      </x:c>
      <x:c r="G113" s="195" t="n">
        <x:v>959</x:v>
      </x:c>
      <x:c r="H113" s="195" t="n">
        <x:v>32.2</x:v>
      </x:c>
      <x:c r="I113" s="195" t="n">
        <x:f>IFERROR(F113/H113,"")</x:f>
        <x:v>99.93788819875776</x:v>
      </x:c>
      <x:c r="J113" s="196" t="n">
        <x:f>IFERROR(F113/F112-1,"")</x:f>
        <x:v>0.07877975192758968</x:v>
      </x:c>
      <x:c r="K113" s="196" t="n">
        <x:f>IFERROR(H113/H112-1,"")</x:f>
        <x:v>-0.030120481927710885</x:v>
      </x:c>
      <x:c r="L113" s="196" t="n">
        <x:f>IFERROR(E113/E112-1,"")</x:f>
        <x:v>-0.05780287474332646</x:v>
      </x:c>
      <x:c r="M113" s="196" t="n">
        <x:f>IFERROR(B113/B112-1,"")</x:f>
        <x:v>-0.06749311294765825</x:v>
      </x:c>
    </x:row>
    <x:row r="114">
      <x:c r="A114" s="194" t="n">
        <x:v>45778</x:v>
      </x:c>
      <x:c r="B114" s="195" t="n">
        <x:v>64.2</x:v>
      </x:c>
      <x:c r="C114" s="195" t="n">
        <x:v>3.12</x:v>
      </x:c>
      <x:c r="D114" s="195" t="n">
        <x:v>2449</x:v>
      </x:c>
      <x:c r="E114" s="195" t="n">
        <x:v>9533</x:v>
      </x:c>
      <x:c r="F114" s="195" t="n">
        <x:v>3309</x:v>
      </x:c>
      <x:c r="G114" s="195" t="n">
        <x:v>980</x:v>
      </x:c>
      <x:c r="H114" s="195" t="n">
        <x:v>32.8</x:v>
      </x:c>
      <x:c r="I114" s="195" t="n">
        <x:f>IFERROR(F114/H114,"")</x:f>
        <x:v>100.88414634146342</x:v>
      </x:c>
      <x:c r="J114" s="196" t="n">
        <x:f>IFERROR(F114/F113-1,"")</x:f>
        <x:v>0.02827843380981987</x:v>
      </x:c>
      <x:c r="K114" s="196" t="n">
        <x:f>IFERROR(H114/H113-1,"")</x:f>
        <x:v>0.01863354037267073</x:v>
      </x:c>
      <x:c r="L114" s="196" t="n">
        <x:f>IFERROR(E114/E113-1,"")</x:f>
        <x:v>0.03879263375830888</x:v>
      </x:c>
      <x:c r="M114" s="196" t="n">
        <x:f>IFERROR(B114/B113-1,"")</x:f>
        <x:v>-0.05169867060561295</x:v>
      </x:c>
    </x:row>
    <x:row r="115">
      <x:c r="A115" s="194" t="n">
        <x:v>45809</x:v>
      </x:c>
      <x:c r="B115" s="195" t="n">
        <x:v>71.5</x:v>
      </x:c>
      <x:c r="C115" s="195" t="n">
        <x:v>3.02</x:v>
      </x:c>
      <x:c r="D115" s="195" t="n">
        <x:v>2526</x:v>
      </x:c>
      <x:c r="E115" s="195" t="n">
        <x:v>9835</x:v>
      </x:c>
      <x:c r="F115" s="195" t="n">
        <x:v>3353</x:v>
      </x:c>
      <x:c r="G115" s="195" t="n">
        <x:v>1251</x:v>
      </x:c>
      <x:c r="H115" s="195" t="n">
        <x:v>36</x:v>
      </x:c>
      <x:c r="I115" s="195" t="n">
        <x:f>IFERROR(F115/H115,"")</x:f>
        <x:v>93.13888888888889</x:v>
      </x:c>
      <x:c r="J115" s="196" t="n">
        <x:f>IFERROR(F115/F114-1,"")</x:f>
        <x:v>0.013297068600785833</x:v>
      </x:c>
      <x:c r="K115" s="196" t="n">
        <x:f>IFERROR(H115/H114-1,"")</x:f>
        <x:v>0.09756097560975618</x:v>
      </x:c>
      <x:c r="L115" s="196" t="n">
        <x:f>IFERROR(E115/E114-1,"")</x:f>
        <x:v>0.03167942935067658</x:v>
      </x:c>
      <x:c r="M115" s="196" t="n">
        <x:f>IFERROR(B115/B114-1,"")</x:f>
        <x:v>0.11370716510903423</x:v>
      </x:c>
    </x:row>
    <x:row r="116">
      <x:c r="A116" s="194" t="n">
        <x:v>45839</x:v>
      </x:c>
      <x:c r="B116" s="195" t="n">
        <x:v>71</x:v>
      </x:c>
      <x:c r="C116" s="195" t="n">
        <x:v>3.19</x:v>
      </x:c>
      <x:c r="D116" s="195" t="n">
        <x:v>2606</x:v>
      </x:c>
      <x:c r="E116" s="195" t="n">
        <x:v>9771</x:v>
      </x:c>
      <x:c r="F116" s="195" t="n">
        <x:v>3340</x:v>
      </x:c>
      <x:c r="G116" s="195" t="n">
        <x:v>1391</x:v>
      </x:c>
      <x:c r="H116" s="195" t="n">
        <x:v>37.7</x:v>
      </x:c>
      <x:c r="I116" s="195" t="n">
        <x:f>IFERROR(F116/H116,"")</x:f>
        <x:v>88.59416445623341</x:v>
      </x:c>
      <x:c r="J116" s="196" t="n">
        <x:f>IFERROR(F116/F115-1,"")</x:f>
        <x:v>-0.003877124962719969</x:v>
      </x:c>
      <x:c r="K116" s="196" t="n">
        <x:f>IFERROR(H116/H115-1,"")</x:f>
        <x:v>0.047222222222222276</x:v>
      </x:c>
      <x:c r="L116" s="196" t="n">
        <x:f>IFERROR(E116/E115-1,"")</x:f>
        <x:v>-0.006507371631926828</x:v>
      </x:c>
      <x:c r="M116" s="196" t="n">
        <x:f>IFERROR(B116/B115-1,"")</x:f>
        <x:v>-0.006993006993006978</x:v>
      </x:c>
    </x:row>
    <x:row r="117">
      <x:c r="A117" s="194" t="n">
        <x:v>45870</x:v>
      </x:c>
      <x:c r="B117" s="195" t="n">
        <x:v>68.2</x:v>
      </x:c>
      <x:c r="C117" s="195" t="n">
        <x:v>2.91</x:v>
      </x:c>
      <x:c r="D117" s="195" t="n">
        <x:v>2597</x:v>
      </x:c>
      <x:c r="E117" s="195" t="n">
        <x:v>9670</x:v>
      </x:c>
      <x:c r="F117" s="195" t="n">
        <x:v>3368</x:v>
      </x:c>
      <x:c r="G117" s="195" t="n">
        <x:v>1343</x:v>
      </x:c>
      <x:c r="H117" s="195" t="n">
        <x:v>38.2</x:v>
      </x:c>
      <x:c r="I117" s="195" t="n">
        <x:f>IFERROR(F117/H117,"")</x:f>
        <x:v>88.1675392670157</x:v>
      </x:c>
      <x:c r="J117" s="196" t="n">
        <x:f>IFERROR(F117/F116-1,"")</x:f>
        <x:v>0.008383233532934131</x:v>
      </x:c>
      <x:c r="K117" s="196" t="n">
        <x:f>IFERROR(H117/H116-1,"")</x:f>
        <x:v>0.013262599469495928</x:v>
      </x:c>
      <x:c r="L117" s="196" t="n">
        <x:f>IFERROR(E117/E116-1,"")</x:f>
        <x:v>-0.010336710674444749</x:v>
      </x:c>
      <x:c r="M117" s="196" t="n">
        <x:f>IFERROR(B117/B116-1,"")</x:f>
        <x:v>-0.03943661971830981</x:v>
      </x:c>
    </x:row>
    <x:row r="118">
      <x:c r="A118" s="194" t="n">
        <x:v>45901</x:v>
      </x:c>
      <x:c r="B118" s="195" t="n">
        <x:v>68</x:v>
      </x:c>
      <x:c r="C118" s="195" t="n">
        <x:v>2.97</x:v>
      </x:c>
      <x:c r="D118" s="195" t="n">
        <x:v>2653</x:v>
      </x:c>
      <x:c r="E118" s="195" t="n">
        <x:v>9984</x:v>
      </x:c>
      <x:c r="F118" s="195" t="n">
        <x:v>3668</x:v>
      </x:c>
      <x:c r="G118" s="195" t="n">
        <x:v>1435</x:v>
      </x:c>
      <x:c r="H118" s="195" t="n">
        <x:v>42.8</x:v>
      </x:c>
      <x:c r="I118" s="195" t="n">
        <x:f>IFERROR(F118/H118,"")</x:f>
        <x:v>85.70093457943926</x:v>
      </x:c>
      <x:c r="J118" s="196" t="n">
        <x:f>IFERROR(F118/F117-1,"")</x:f>
        <x:v>0.0890736342042755</x:v>
      </x:c>
      <x:c r="K118" s="196" t="n">
        <x:f>IFERROR(H118/H117-1,"")</x:f>
        <x:v>0.120418848167539</x:v>
      </x:c>
      <x:c r="L118" s="196" t="n">
        <x:f>IFERROR(E118/E117-1,"")</x:f>
        <x:v>0.032471561530506676</x:v>
      </x:c>
      <x:c r="M118" s="196" t="n">
        <x:f>IFERROR(B118/B117-1,"")</x:f>
        <x:v>-0.0029325513196480912</x:v>
      </x:c>
    </x:row>
    <x:row r="119">
      <x:c r="A119" s="194" t="n">
        <x:v>45931</x:v>
      </x:c>
      <x:c r="B119" s="195" t="n">
        <x:v>64.7</x:v>
      </x:c>
      <x:c r="C119" s="195" t="n">
        <x:v>3.2</x:v>
      </x:c>
      <x:c r="D119" s="195" t="n">
        <x:v>2793</x:v>
      </x:c>
      <x:c r="E119" s="195" t="n">
        <x:v>10740</x:v>
      </x:c>
      <x:c r="F119" s="195" t="n">
        <x:v>4058</x:v>
      </x:c>
      <x:c r="G119" s="195" t="n">
        <x:v>1616</x:v>
      </x:c>
      <x:c r="H119" s="195" t="n">
        <x:v>49.4</x:v>
      </x:c>
      <x:c r="I119" s="195" t="n">
        <x:f>IFERROR(F119/H119,"")</x:f>
        <x:v>82.14574898785425</x:v>
      </x:c>
      <x:c r="J119" s="196" t="n">
        <x:f>IFERROR(F119/F118-1,"")</x:f>
        <x:v>0.10632497273718644</x:v>
      </x:c>
      <x:c r="K119" s="196" t="n">
        <x:f>IFERROR(H119/H118-1,"")</x:f>
        <x:v>0.1542056074766356</x:v>
      </x:c>
      <x:c r="L119" s="196" t="n">
        <x:f>IFERROR(E119/E118-1,"")</x:f>
        <x:v>0.07572115384615374</x:v>
      </x:c>
      <x:c r="M119" s="196" t="n">
        <x:f>IFERROR(B119/B118-1,"")</x:f>
        <x:v>-0.04852941176470582</x:v>
      </x:c>
    </x:row>
    <x:row r="120">
      <x:c r="A120" s="194" t="n">
        <x:v>45962</x:v>
      </x:c>
      <x:c r="B120" s="195" t="n">
        <x:v>63.6</x:v>
      </x:c>
      <x:c r="C120" s="195" t="n">
        <x:v>3.79</x:v>
      </x:c>
      <x:c r="D120" s="195" t="n">
        <x:v>2819</x:v>
      </x:c>
      <x:c r="E120" s="195" t="n">
        <x:v>10812</x:v>
      </x:c>
      <x:c r="F120" s="195" t="n">
        <x:v>4087</x:v>
      </x:c>
      <x:c r="G120" s="195" t="n">
        <x:v>1565</x:v>
      </x:c>
      <x:c r="H120" s="195" t="n">
        <x:v>50.4</x:v>
      </x:c>
      <x:c r="I120" s="195" t="n">
        <x:f>IFERROR(F120/H120,"")</x:f>
        <x:v>81.09126984126985</x:v>
      </x:c>
      <x:c r="J120" s="196" t="n">
        <x:f>IFERROR(F120/F119-1,"")</x:f>
        <x:v>0.007146377525874881</x:v>
      </x:c>
      <x:c r="K120" s="196" t="n">
        <x:f>IFERROR(H120/H119-1,"")</x:f>
        <x:v>0.020242914979757165</x:v>
      </x:c>
      <x:c r="L120" s="196" t="n">
        <x:f>IFERROR(E120/E119-1,"")</x:f>
        <x:v>0.006703910614525244</x:v>
      </x:c>
      <x:c r="M120" s="196" t="n">
        <x:f>IFERROR(B120/B119-1,"")</x:f>
        <x:v>-0.01700154559505407</x:v>
      </x:c>
    </x:row>
    <x:row r="121">
      <x:c r="A121" s="194" t="n">
        <x:v>45992</x:v>
      </x:c>
      <x:c r="B121" s="195" t="n">
        <x:v>62.7</x:v>
      </x:c>
      <x:c r="C121" s="195" t="n">
        <x:v>4.25</x:v>
      </x:c>
      <x:c r="D121" s="195" t="n">
        <x:v>2876</x:v>
      </x:c>
      <x:c r="E121" s="195" t="n">
        <x:v>11785</x:v>
      </x:c>
      <x:c r="F121" s="195" t="n">
        <x:v>4309</x:v>
      </x:c>
      <x:c r="G121" s="195" t="n">
        <x:v>1893</x:v>
      </x:c>
      <x:c r="H121" s="195" t="n">
        <x:v>62.3</x:v>
      </x:c>
      <x:c r="I121" s="195" t="n">
        <x:f>IFERROR(F121/H121,"")</x:f>
        <x:v>69.16532905296951</x:v>
      </x:c>
      <x:c r="J121" s="196" t="n">
        <x:f>IFERROR(F121/F120-1,"")</x:f>
        <x:v>0.05431857107903104</x:v>
      </x:c>
      <x:c r="K121" s="196" t="n">
        <x:f>IFERROR(H121/H120-1,"")</x:f>
        <x:v>0.23611111111111116</x:v>
      </x:c>
      <x:c r="L121" s="196" t="n">
        <x:f>IFERROR(E121/E120-1,"")</x:f>
        <x:v>0.08999260081391047</x:v>
      </x:c>
      <x:c r="M121" s="196" t="n">
        <x:f>IFERROR(B121/B120-1,"")</x:f>
        <x:v>-0.014150943396226356</x:v>
      </x:c>
    </x:row>
    <x:row r="122">
      <x:c r="A122" s="194" t="n">
        <x:v>46023</x:v>
      </x:c>
      <x:c r="B122" s="195" t="n">
        <x:v>66.8</x:v>
      </x:c>
      <x:c r="C122" s="195" t="n">
        <x:v>7.58</x:v>
      </x:c>
      <x:c r="D122" s="195" t="n">
        <x:v>3142</x:v>
      </x:c>
      <x:c r="E122" s="195" t="n">
        <x:v>13012</x:v>
      </x:c>
      <x:c r="F122" s="195" t="n">
        <x:v>4753</x:v>
      </x:c>
      <x:c r="G122" s="195" t="n">
        <x:v>2434</x:v>
      </x:c>
      <x:c r="H122" s="195" t="n">
        <x:v>92.1</x:v>
      </x:c>
      <x:c r="I122" s="195" t="n">
        <x:f>IFERROR(F122/H122,"")</x:f>
        <x:v>51.60694896851249</x:v>
      </x:c>
      <x:c r="J122" s="196" t="n">
        <x:f>IFERROR(F122/F121-1,"")</x:f>
        <x:v>0.10304014852634014</x:v>
      </x:c>
      <x:c r="K122" s="196" t="n">
        <x:f>IFERROR(H122/H121-1,"")</x:f>
        <x:v>0.478330658105939</x:v>
      </x:c>
      <x:c r="L122" s="196" t="n">
        <x:f>IFERROR(E122/E121-1,"")</x:f>
        <x:v>0.10411540093339</x:v>
      </x:c>
      <x:c r="M122" s="196" t="n">
        <x:f>IFERROR(B122/B121-1,"")</x:f>
        <x:v>0.06539074960127578</x:v>
      </x:c>
    </x:row>
    <x:row r="123">
      <x:c r="A123" s="194" t="n">
        <x:v>46054</x:v>
      </x:c>
      <x:c r="B123" s="195" t="n">
        <x:v>71.1</x:v>
      </x:c>
      <x:c r="C123" s="195" t="n">
        <x:v>3.61</x:v>
      </x:c>
      <x:c r="D123" s="195" t="n">
        <x:v>3065</x:v>
      </x:c>
      <x:c r="E123" s="195" t="n">
        <x:v>12951</x:v>
      </x:c>
      <x:c r="F123" s="195" t="n">
        <x:v>5020</x:v>
      </x:c>
      <x:c r="G123" s="195" t="n">
        <x:v>2137</x:v>
      </x:c>
      <x:c r="H123" s="195" t="n">
        <x:v>81.9</x:v>
      </x:c>
      <x:c r="I123" s="195" t="n">
        <x:f>IFERROR(F123/H123,"")</x:f>
        <x:v>61.29426129426129</x:v>
      </x:c>
      <x:c r="J123" s="196" t="n">
        <x:f>IFERROR(F123/F122-1,"")</x:f>
        <x:v>0.056175047338522965</x:v>
      </x:c>
      <x:c r="K123" s="196" t="n">
        <x:f>IFERROR(H123/H122-1,"")</x:f>
        <x:v>-0.11074918566775238</x:v>
      </x:c>
      <x:c r="L123" s="196" t="n">
        <x:f>IFERROR(E123/E122-1,"")</x:f>
        <x:v>-0.004687980325853047</x:v>
      </x:c>
      <x:c r="M123" s="196" t="n">
        <x:f>IFERROR(B123/B122-1,"")</x:f>
        <x:v>0.06437125748502992</x:v>
      </x:c>
    </x:row>
    <x:row r="124">
      <x:c r="A124" s="194" t="n">
        <x:v>46082</x:v>
      </x:c>
      <x:c r="B124" s="195" t="n">
        <x:v>103.7</x:v>
      </x:c>
      <x:c r="C124" s="195" t="n">
        <x:v>3.06</x:v>
      </x:c>
      <x:c r="D124" s="195" t="n">
        <x:v>3373</x:v>
      </x:c>
      <x:c r="E124" s="195" t="n">
        <x:v>12529</x:v>
      </x:c>
      <x:c r="F124" s="195" t="n">
        <x:v>4856</x:v>
      </x:c>
      <x:c r="G124" s="195" t="n">
        <x:v>2046</x:v>
      </x:c>
      <x:c r="H124" s="195" t="n">
        <x:v>77.9</x:v>
      </x:c>
      <x:c r="I124" s="195" t="n">
        <x:f>IFERROR(F124/H124,"")</x:f>
        <x:v>62.33632862644416</x:v>
      </x:c>
      <x:c r="J124" s="196" t="n">
        <x:f>IFERROR(F124/F123-1,"")</x:f>
        <x:v>-0.03266932270916334</x:v>
      </x:c>
      <x:c r="K124" s="196" t="n">
        <x:f>IFERROR(H124/H123-1,"")</x:f>
        <x:v>-0.04884004884004889</x:v>
      </x:c>
      <x:c r="L124" s="196" t="n">
        <x:f>IFERROR(E124/E123-1,"")</x:f>
        <x:v>-0.03258435642035362</x:v>
      </x:c>
      <x:c r="M124" s="196" t="n">
        <x:f>IFERROR(B124/B123-1,"")</x:f>
        <x:v>0.45850914205344595</x:v>
      </x:c>
    </x:row>
    <x:row r="125">
      <x:c r="A125" s="194" t="n">
        <x:v>46113</x:v>
      </x:c>
      <x:c r="B125" s="195" t="n">
        <x:v>120.4</x:v>
      </x:c>
      <x:c r="C125" s="195" t="n">
        <x:v>2.77</x:v>
      </x:c>
      <x:c r="D125" s="195" t="n">
        <x:v>3600</x:v>
      </x:c>
      <x:c r="E125" s="195" t="n">
        <x:v>12951</x:v>
      </x:c>
      <x:c r="F125" s="195" t="n">
        <x:v>4721</x:v>
      </x:c>
      <x:c r="G125" s="195" t="n">
        <x:v>2028</x:v>
      </x:c>
      <x:c r="H125" s="195" t="n">
        <x:v>75.9</x:v>
      </x:c>
      <x:c r="I125" s="195" t="n">
        <x:f>IFERROR(F125/H125,"")</x:f>
        <x:v>62.20026350461133</x:v>
      </x:c>
      <x:c r="J125" s="196" t="n">
        <x:f>IFERROR(F125/F124-1,"")</x:f>
        <x:v>-0.027800658978583193</x:v>
      </x:c>
      <x:c r="K125" s="196" t="n">
        <x:f>IFERROR(H125/H124-1,"")</x:f>
        <x:v>-0.025673940949935803</x:v>
      </x:c>
      <x:c r="L125" s="196" t="n">
        <x:f>IFERROR(E125/E124-1,"")</x:f>
        <x:v>0.033681858089233074</x:v>
      </x:c>
      <x:c r="M125" s="196" t="n">
        <x:f>IFERROR(B125/B124-1,"")</x:f>
        <x:v>0.16104146576663458</x:v>
      </x:c>
    </x:row>
    <x:row r="126">
      <x:c r="A126" s="194" t="n">
        <x:v>46143</x:v>
      </x:c>
      <x:c r="B126" s="195" t="n">
        <x:v>107.5</x:v>
      </x:c>
      <x:c r="C126" s="195" t="n">
        <x:v>2.93</x:v>
      </x:c>
      <x:c r="D126" s="195" t="n">
        <x:v>3666</x:v>
      </x:c>
      <x:c r="E126" s="195" t="n">
        <x:v>13543</x:v>
      </x:c>
      <x:c r="F126" s="195" t="n">
        <x:v>4587</x:v>
      </x:c>
      <x:c r="G126" s="195" t="n">
        <x:v>1998</x:v>
      </x:c>
      <x:c r="H126" s="195" t="n">
        <x:v>78</x:v>
      </x:c>
      <x:c r="I126" s="195" t="n">
        <x:f>IFERROR(F126/H126,"")</x:f>
        <x:v>58.80769230769231</x:v>
      </x:c>
      <x:c r="J126" s="196" t="n">
        <x:f>IFERROR(F126/F125-1,"")</x:f>
        <x:v>-0.028383816987926247</x:v>
      </x:c>
      <x:c r="K126" s="196" t="n">
        <x:f>IFERROR(H126/H125-1,"")</x:f>
        <x:v>0.02766798418972316</x:v>
      </x:c>
      <x:c r="L126" s="196" t="n">
        <x:f>IFERROR(E126/E125-1,"")</x:f>
        <x:v>0.045710755926183344</x:v>
      </x:c>
      <x:c r="M126" s="196" t="n">
        <x:f>IFERROR(B126/B125-1,"")</x:f>
        <x:v>-0.1071428571428572</x:v>
      </x:c>
    </x:row>
    <x:row r="127">
      <x:c r="A127" s="194" t="n">
        <x:v>46174</x:v>
      </x:c>
      <x:c r="B127" s="195" t="n">
        <x:v>85.4</x:v>
      </x:c>
      <x:c r="C127" s="195" t="n">
        <x:v>3.15</x:v>
      </x:c>
      <x:c r="D127" s="195" t="n">
        <x:v>3439</x:v>
      </x:c>
      <x:c r="E127" s="195" t="n">
        <x:v>13552</x:v>
      </x:c>
      <x:c r="F127" s="195" t="n">
        <x:v>4228</x:v>
      </x:c>
      <x:c r="G127" s="195" t="n">
        <x:v>1726</x:v>
      </x:c>
      <x:c r="H127" s="195" t="n">
        <x:v>66.7</x:v>
      </x:c>
      <x:c r="I127" s="195" t="n">
        <x:f>IFERROR(F127/H127,"")</x:f>
        <x:v>63.38830584707646</x:v>
      </x:c>
      <x:c r="J127" s="196" t="n">
        <x:f>IFERROR(F127/F126-1,"")</x:f>
        <x:v>-0.07826466099847396</x:v>
      </x:c>
      <x:c r="K127" s="196" t="n">
        <x:f>IFERROR(H127/H126-1,"")</x:f>
        <x:v>-0.1448717948717948</x:v>
      </x:c>
      <x:c r="L127" s="196" t="n">
        <x:f>IFERROR(E127/E126-1,"")</x:f>
        <x:v>0.0006645499520048226</x:v>
      </x:c>
      <x:c r="M127" s="196" t="n">
        <x:f>IFERROR(B127/B126-1,"")</x:f>
        <x:v>-0.20558139534883713</x:v>
      </x:c>
    </x:row>
  </x:sheetData>
  <x:pageMargins left="0.7" right="0.7" top="0.75" bottom="0.75" header="0.3" footer="0.3"/>
  <x:tableParts count="1">
    <x:tablePart xmlns:r="http://schemas.openxmlformats.org/officeDocument/2006/relationships" r:id="R4452fa1920524a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8" hidden="0" customHeight="1">
      <x:c r="A1" s="185" t="str">
        <x:v>date</x:v>
      </x:c>
      <x:c r="B1" s="185" t="str">
        <x:v>nominal_10y_pct</x:v>
      </x:c>
      <x:c r="C1" s="185" t="str">
        <x:v>real_10y_pct</x:v>
      </x:c>
      <x:c r="D1" s="185" t="str">
        <x:v>breakeven_10y_pct</x:v>
      </x:c>
    </x:row>
    <x:row r="2" ht="15" hidden="0" customHeight="1">
      <x:c r="A2" s="187" t="n">
        <x:v>42373</x:v>
      </x:c>
      <x:c r="B2" s="195" t="n">
        <x:v>2.24</x:v>
      </x:c>
      <x:c r="C2" s="195" t="n">
        <x:v>0.69</x:v>
      </x:c>
      <x:c r="D2" s="195" t="n">
        <x:f>IFERROR(B2-C2,"")</x:f>
        <x:v>1.5500000000000003</x:v>
      </x:c>
    </x:row>
    <x:row r="3" ht="15" hidden="0" customHeight="1">
      <x:c r="A3" s="187" t="n">
        <x:v>42374</x:v>
      </x:c>
      <x:c r="B3" s="195" t="n">
        <x:v>2.25</x:v>
      </x:c>
      <x:c r="C3" s="195" t="n">
        <x:v>0.69</x:v>
      </x:c>
      <x:c r="D3" s="195" t="n">
        <x:f>IFERROR(B3-C3,"")</x:f>
        <x:v>1.56</x:v>
      </x:c>
    </x:row>
    <x:row r="4" ht="15" hidden="0" customHeight="1">
      <x:c r="A4" s="187" t="n">
        <x:v>42375</x:v>
      </x:c>
      <x:c r="B4" s="195" t="n">
        <x:v>2.18</x:v>
      </x:c>
      <x:c r="C4" s="195" t="n">
        <x:v>0.65</x:v>
      </x:c>
      <x:c r="D4" s="195" t="n">
        <x:f>IFERROR(B4-C4,"")</x:f>
        <x:v>1.5300000000000002</x:v>
      </x:c>
    </x:row>
    <x:row r="5" ht="15" hidden="0" customHeight="1">
      <x:c r="A5" s="187" t="n">
        <x:v>42376</x:v>
      </x:c>
      <x:c r="B5" s="195" t="n">
        <x:v>2.16</x:v>
      </x:c>
      <x:c r="C5" s="195" t="n">
        <x:v>0.66</x:v>
      </x:c>
      <x:c r="D5" s="195" t="n">
        <x:f>IFERROR(B5-C5,"")</x:f>
        <x:v>1.5</x:v>
      </x:c>
    </x:row>
    <x:row r="6" ht="15" hidden="0" customHeight="1">
      <x:c r="A6" s="187" t="n">
        <x:v>42377</x:v>
      </x:c>
      <x:c r="B6" s="195" t="n">
        <x:v>2.13</x:v>
      </x:c>
      <x:c r="C6" s="195" t="n">
        <x:v>0.65</x:v>
      </x:c>
      <x:c r="D6" s="195" t="n">
        <x:f>IFERROR(B6-C6,"")</x:f>
        <x:v>1.48</x:v>
      </x:c>
    </x:row>
    <x:row r="7" ht="15" hidden="0" customHeight="1">
      <x:c r="A7" s="187" t="n">
        <x:v>42380</x:v>
      </x:c>
      <x:c r="B7" s="195" t="n">
        <x:v>2.17</x:v>
      </x:c>
      <x:c r="C7" s="195" t="n">
        <x:v>0.72</x:v>
      </x:c>
      <x:c r="D7" s="195" t="n">
        <x:f>IFERROR(B7-C7,"")</x:f>
        <x:v>1.45</x:v>
      </x:c>
    </x:row>
    <x:row r="8" ht="15" hidden="0" customHeight="1">
      <x:c r="A8" s="187" t="n">
        <x:v>42381</x:v>
      </x:c>
      <x:c r="B8" s="195" t="n">
        <x:v>2.12</x:v>
      </x:c>
      <x:c r="C8" s="195" t="n">
        <x:v>0.69</x:v>
      </x:c>
      <x:c r="D8" s="195" t="n">
        <x:f>IFERROR(B8-C8,"")</x:f>
        <x:v>1.4300000000000002</x:v>
      </x:c>
    </x:row>
    <x:row r="9" ht="15" hidden="0" customHeight="1">
      <x:c r="A9" s="187" t="n">
        <x:v>42382</x:v>
      </x:c>
      <x:c r="B9" s="195" t="n">
        <x:v>2.08</x:v>
      </x:c>
      <x:c r="C9" s="195" t="n">
        <x:v>0.65</x:v>
      </x:c>
      <x:c r="D9" s="195" t="n">
        <x:f>IFERROR(B9-C9,"")</x:f>
        <x:v>1.4300000000000002</x:v>
      </x:c>
    </x:row>
    <x:row r="10" ht="15" hidden="0" customHeight="1">
      <x:c r="A10" s="187" t="n">
        <x:v>42383</x:v>
      </x:c>
      <x:c r="B10" s="195" t="n">
        <x:v>2.1</x:v>
      </x:c>
      <x:c r="C10" s="195" t="n">
        <x:v>0.67</x:v>
      </x:c>
      <x:c r="D10" s="195" t="n">
        <x:f>IFERROR(B10-C10,"")</x:f>
        <x:v>1.4300000000000002</x:v>
      </x:c>
    </x:row>
    <x:row r="11" ht="15" hidden="0" customHeight="1">
      <x:c r="A11" s="187" t="n">
        <x:v>42384</x:v>
      </x:c>
      <x:c r="B11" s="195" t="n">
        <x:v>2.03</x:v>
      </x:c>
      <x:c r="C11" s="195" t="n">
        <x:v>0.67</x:v>
      </x:c>
      <x:c r="D11" s="195" t="n">
        <x:f>IFERROR(B11-C11,"")</x:f>
        <x:v>1.3599999999999999</x:v>
      </x:c>
    </x:row>
    <x:row r="12" ht="15" hidden="0" customHeight="1">
      <x:c r="A12" s="187" t="n">
        <x:v>42388</x:v>
      </x:c>
      <x:c r="B12" s="195" t="n">
        <x:v>2.06</x:v>
      </x:c>
      <x:c r="C12" s="195" t="n">
        <x:v>0.68</x:v>
      </x:c>
      <x:c r="D12" s="195" t="n">
        <x:f>IFERROR(B12-C12,"")</x:f>
        <x:v>1.38</x:v>
      </x:c>
    </x:row>
    <x:row r="13" ht="15" hidden="0" customHeight="1">
      <x:c r="A13" s="187" t="n">
        <x:v>42389</x:v>
      </x:c>
      <x:c r="B13" s="195" t="n">
        <x:v>2.01</x:v>
      </x:c>
      <x:c r="C13" s="195" t="n">
        <x:v>0.69</x:v>
      </x:c>
      <x:c r="D13" s="195" t="n">
        <x:f>IFERROR(B13-C13,"")</x:f>
        <x:v>1.3199999999999998</x:v>
      </x:c>
    </x:row>
    <x:row r="14" ht="15" hidden="0" customHeight="1">
      <x:c r="A14" s="187" t="n">
        <x:v>42390</x:v>
      </x:c>
      <x:c r="B14" s="195" t="n">
        <x:v>2.02</x:v>
      </x:c>
      <x:c r="C14" s="195" t="n">
        <x:v>0.74</x:v>
      </x:c>
      <x:c r="D14" s="195" t="n">
        <x:f>IFERROR(B14-C14,"")</x:f>
        <x:v>1.28</x:v>
      </x:c>
    </x:row>
    <x:row r="15" ht="15" hidden="0" customHeight="1">
      <x:c r="A15" s="187" t="n">
        <x:v>42391</x:v>
      </x:c>
      <x:c r="B15" s="195" t="n">
        <x:v>2.07</x:v>
      </x:c>
      <x:c r="C15" s="195" t="n">
        <x:v>0.72</x:v>
      </x:c>
      <x:c r="D15" s="195" t="n">
        <x:f>IFERROR(B15-C15,"")</x:f>
        <x:v>1.3499999999999999</x:v>
      </x:c>
    </x:row>
    <x:row r="16" ht="15" hidden="0" customHeight="1">
      <x:c r="A16" s="187" t="n">
        <x:v>42394</x:v>
      </x:c>
      <x:c r="B16" s="195" t="n">
        <x:v>2.03</x:v>
      </x:c>
      <x:c r="C16" s="195" t="n">
        <x:v>0.69</x:v>
      </x:c>
      <x:c r="D16" s="195" t="n">
        <x:f>IFERROR(B16-C16,"")</x:f>
        <x:v>1.3399999999999999</x:v>
      </x:c>
    </x:row>
    <x:row r="17" ht="15" hidden="0" customHeight="1">
      <x:c r="A17" s="187" t="n">
        <x:v>42395</x:v>
      </x:c>
      <x:c r="B17" s="195" t="n">
        <x:v>2.01</x:v>
      </x:c>
      <x:c r="C17" s="195" t="n">
        <x:v>0.65</x:v>
      </x:c>
      <x:c r="D17" s="195" t="n">
        <x:f>IFERROR(B17-C17,"")</x:f>
        <x:v>1.3599999999999999</x:v>
      </x:c>
    </x:row>
    <x:row r="18" ht="15" hidden="0" customHeight="1">
      <x:c r="A18" s="187" t="n">
        <x:v>42396</x:v>
      </x:c>
      <x:c r="B18" s="195" t="n">
        <x:v>2.02</x:v>
      </x:c>
      <x:c r="C18" s="195" t="n">
        <x:v>0.62</x:v>
      </x:c>
      <x:c r="D18" s="195" t="n">
        <x:f>IFERROR(B18-C18,"")</x:f>
        <x:v>1.4</x:v>
      </x:c>
    </x:row>
    <x:row r="19" ht="15" hidden="0" customHeight="1">
      <x:c r="A19" s="187" t="n">
        <x:v>42397</x:v>
      </x:c>
      <x:c r="B19" s="195" t="n">
        <x:v>2</x:v>
      </x:c>
      <x:c r="C19" s="195" t="n">
        <x:v>0.58</x:v>
      </x:c>
      <x:c r="D19" s="195" t="n">
        <x:f>IFERROR(B19-C19,"")</x:f>
        <x:v>1.42</x:v>
      </x:c>
    </x:row>
    <x:row r="20" ht="15" hidden="0" customHeight="1">
      <x:c r="A20" s="187" t="n">
        <x:v>42398</x:v>
      </x:c>
      <x:c r="B20" s="195" t="n">
        <x:v>1.94</x:v>
      </x:c>
      <x:c r="C20" s="195" t="n">
        <x:v>0.53</x:v>
      </x:c>
      <x:c r="D20" s="195" t="n">
        <x:f>IFERROR(B20-C20,"")</x:f>
        <x:v>1.41</x:v>
      </x:c>
    </x:row>
    <x:row r="21" ht="15" hidden="0" customHeight="1">
      <x:c r="A21" s="187" t="n">
        <x:v>42401</x:v>
      </x:c>
      <x:c r="B21" s="195" t="n">
        <x:v>1.97</x:v>
      </x:c>
      <x:c r="C21" s="195" t="n">
        <x:v>0.57</x:v>
      </x:c>
      <x:c r="D21" s="195" t="n">
        <x:f>IFERROR(B21-C21,"")</x:f>
        <x:v>1.4</x:v>
      </x:c>
    </x:row>
    <x:row r="22" ht="15" hidden="0" customHeight="1">
      <x:c r="A22" s="187" t="n">
        <x:v>42402</x:v>
      </x:c>
      <x:c r="B22" s="195" t="n">
        <x:v>1.87</x:v>
      </x:c>
      <x:c r="C22" s="195" t="n">
        <x:v>0.51</x:v>
      </x:c>
      <x:c r="D22" s="195" t="n">
        <x:f>IFERROR(B22-C22,"")</x:f>
        <x:v>1.36</x:v>
      </x:c>
    </x:row>
    <x:row r="23" ht="15" hidden="0" customHeight="1">
      <x:c r="A23" s="187" t="n">
        <x:v>42403</x:v>
      </x:c>
      <x:c r="B23" s="195" t="n">
        <x:v>1.88</x:v>
      </x:c>
      <x:c r="C23" s="195" t="n">
        <x:v>0.5</x:v>
      </x:c>
      <x:c r="D23" s="195" t="n">
        <x:f>IFERROR(B23-C23,"")</x:f>
        <x:v>1.38</x:v>
      </x:c>
    </x:row>
    <x:row r="24" ht="15" hidden="0" customHeight="1">
      <x:c r="A24" s="187" t="n">
        <x:v>42404</x:v>
      </x:c>
      <x:c r="B24" s="195" t="n">
        <x:v>1.87</x:v>
      </x:c>
      <x:c r="C24" s="195" t="n">
        <x:v>0.51</x:v>
      </x:c>
      <x:c r="D24" s="195" t="n">
        <x:f>IFERROR(B24-C24,"")</x:f>
        <x:v>1.36</x:v>
      </x:c>
    </x:row>
    <x:row r="25" ht="15" hidden="0" customHeight="1">
      <x:c r="A25" s="187" t="n">
        <x:v>42405</x:v>
      </x:c>
      <x:c r="B25" s="195" t="n">
        <x:v>1.86</x:v>
      </x:c>
      <x:c r="C25" s="195" t="n">
        <x:v>0.53</x:v>
      </x:c>
      <x:c r="D25" s="195" t="n">
        <x:f>IFERROR(B25-C25,"")</x:f>
        <x:v>1.33</x:v>
      </x:c>
    </x:row>
    <x:row r="26" ht="15" hidden="0" customHeight="1">
      <x:c r="A26" s="187" t="n">
        <x:v>42408</x:v>
      </x:c>
      <x:c r="B26" s="195" t="n">
        <x:v>1.75</x:v>
      </x:c>
      <x:c r="C26" s="195" t="n">
        <x:v>0.52</x:v>
      </x:c>
      <x:c r="D26" s="195" t="n">
        <x:f>IFERROR(B26-C26,"")</x:f>
        <x:v>1.23</x:v>
      </x:c>
    </x:row>
    <x:row r="27" ht="15" hidden="0" customHeight="1">
      <x:c r="A27" s="187" t="n">
        <x:v>42409</x:v>
      </x:c>
      <x:c r="B27" s="195" t="n">
        <x:v>1.74</x:v>
      </x:c>
      <x:c r="C27" s="195" t="n">
        <x:v>0.53</x:v>
      </x:c>
      <x:c r="D27" s="195" t="n">
        <x:f>IFERROR(B27-C27,"")</x:f>
        <x:v>1.21</x:v>
      </x:c>
    </x:row>
    <x:row r="28" ht="15" hidden="0" customHeight="1">
      <x:c r="A28" s="187" t="n">
        <x:v>42410</x:v>
      </x:c>
      <x:c r="B28" s="195" t="n">
        <x:v>1.71</x:v>
      </x:c>
      <x:c r="C28" s="195" t="n">
        <x:v>0.5</x:v>
      </x:c>
      <x:c r="D28" s="195" t="n">
        <x:f>IFERROR(B28-C28,"")</x:f>
        <x:v>1.21</x:v>
      </x:c>
    </x:row>
    <x:row r="29" ht="15" hidden="0" customHeight="1">
      <x:c r="A29" s="187" t="n">
        <x:v>42411</x:v>
      </x:c>
      <x:c r="B29" s="195" t="n">
        <x:v>1.63</x:v>
      </x:c>
      <x:c r="C29" s="195" t="n">
        <x:v>0.45</x:v>
      </x:c>
      <x:c r="D29" s="195" t="n">
        <x:f>IFERROR(B29-C29,"")</x:f>
        <x:v>1.18</x:v>
      </x:c>
    </x:row>
    <x:row r="30" ht="15" hidden="0" customHeight="1">
      <x:c r="A30" s="187" t="n">
        <x:v>42412</x:v>
      </x:c>
      <x:c r="B30" s="195" t="n">
        <x:v>1.74</x:v>
      </x:c>
      <x:c r="C30" s="195" t="n">
        <x:v>0.49</x:v>
      </x:c>
      <x:c r="D30" s="195" t="n">
        <x:f>IFERROR(B30-C30,"")</x:f>
        <x:v>1.25</x:v>
      </x:c>
    </x:row>
    <x:row r="31" ht="15" hidden="0" customHeight="1">
      <x:c r="A31" s="187" t="n">
        <x:v>42416</x:v>
      </x:c>
      <x:c r="B31" s="195" t="n">
        <x:v>1.78</x:v>
      </x:c>
      <x:c r="C31" s="195" t="n">
        <x:v>0.53</x:v>
      </x:c>
      <x:c r="D31" s="195" t="n">
        <x:f>IFERROR(B31-C31,"")</x:f>
        <x:v>1.25</x:v>
      </x:c>
    </x:row>
    <x:row r="32" ht="15" hidden="0" customHeight="1">
      <x:c r="A32" s="187" t="n">
        <x:v>42417</x:v>
      </x:c>
      <x:c r="B32" s="195" t="n">
        <x:v>1.81</x:v>
      </x:c>
      <x:c r="C32" s="195" t="n">
        <x:v>0.53</x:v>
      </x:c>
      <x:c r="D32" s="195" t="n">
        <x:f>IFERROR(B32-C32,"")</x:f>
        <x:v>1.28</x:v>
      </x:c>
    </x:row>
    <x:row r="33" ht="15" hidden="0" customHeight="1">
      <x:c r="A33" s="187" t="n">
        <x:v>42418</x:v>
      </x:c>
      <x:c r="B33" s="195" t="n">
        <x:v>1.75</x:v>
      </x:c>
      <x:c r="C33" s="195" t="n">
        <x:v>0.51</x:v>
      </x:c>
      <x:c r="D33" s="195" t="n">
        <x:f>IFERROR(B33-C33,"")</x:f>
        <x:v>1.24</x:v>
      </x:c>
    </x:row>
    <x:row r="34" ht="15" hidden="0" customHeight="1">
      <x:c r="A34" s="187" t="n">
        <x:v>42419</x:v>
      </x:c>
      <x:c r="B34" s="195" t="n">
        <x:v>1.76</x:v>
      </x:c>
      <x:c r="C34" s="195" t="n">
        <x:v>0.5</x:v>
      </x:c>
      <x:c r="D34" s="195" t="n">
        <x:f>IFERROR(B34-C34,"")</x:f>
        <x:v>1.26</x:v>
      </x:c>
    </x:row>
    <x:row r="35" ht="15" hidden="0" customHeight="1">
      <x:c r="A35" s="187" t="n">
        <x:v>42422</x:v>
      </x:c>
      <x:c r="B35" s="195" t="n">
        <x:v>1.77</x:v>
      </x:c>
      <x:c r="C35" s="195" t="n">
        <x:v>0.46</x:v>
      </x:c>
      <x:c r="D35" s="195" t="n">
        <x:f>IFERROR(B35-C35,"")</x:f>
        <x:v>1.31</x:v>
      </x:c>
    </x:row>
    <x:row r="36" ht="15" hidden="0" customHeight="1">
      <x:c r="A36" s="187" t="n">
        <x:v>42423</x:v>
      </x:c>
      <x:c r="B36" s="195" t="n">
        <x:v>1.74</x:v>
      </x:c>
      <x:c r="C36" s="195" t="n">
        <x:v>0.42</x:v>
      </x:c>
      <x:c r="D36" s="195" t="n">
        <x:f>IFERROR(B36-C36,"")</x:f>
        <x:v>1.32</x:v>
      </x:c>
    </x:row>
    <x:row r="37" ht="15" hidden="0" customHeight="1">
      <x:c r="A37" s="187" t="n">
        <x:v>42424</x:v>
      </x:c>
      <x:c r="B37" s="195" t="n">
        <x:v>1.75</x:v>
      </x:c>
      <x:c r="C37" s="195" t="n">
        <x:v>0.39</x:v>
      </x:c>
      <x:c r="D37" s="195" t="n">
        <x:f>IFERROR(B37-C37,"")</x:f>
        <x:v>1.3599999999999999</x:v>
      </x:c>
    </x:row>
    <x:row r="38" ht="15" hidden="0" customHeight="1">
      <x:c r="A38" s="187" t="n">
        <x:v>42425</x:v>
      </x:c>
      <x:c r="B38" s="195" t="n">
        <x:v>1.71</x:v>
      </x:c>
      <x:c r="C38" s="195" t="n">
        <x:v>0.32</x:v>
      </x:c>
      <x:c r="D38" s="195" t="n">
        <x:f>IFERROR(B38-C38,"")</x:f>
        <x:v>1.39</x:v>
      </x:c>
    </x:row>
    <x:row r="39" ht="15" hidden="0" customHeight="1">
      <x:c r="A39" s="187" t="n">
        <x:v>42426</x:v>
      </x:c>
      <x:c r="B39" s="195" t="n">
        <x:v>1.76</x:v>
      </x:c>
      <x:c r="C39" s="195" t="n">
        <x:v>0.35</x:v>
      </x:c>
      <x:c r="D39" s="195" t="n">
        <x:f>IFERROR(B39-C39,"")</x:f>
        <x:v>1.4100000000000001</x:v>
      </x:c>
    </x:row>
    <x:row r="40" ht="15" hidden="0" customHeight="1">
      <x:c r="A40" s="187" t="n">
        <x:v>42429</x:v>
      </x:c>
      <x:c r="B40" s="195" t="n">
        <x:v>1.74</x:v>
      </x:c>
      <x:c r="C40" s="195" t="n">
        <x:v>0.32</x:v>
      </x:c>
      <x:c r="D40" s="195" t="n">
        <x:f>IFERROR(B40-C40,"")</x:f>
        <x:v>1.42</x:v>
      </x:c>
    </x:row>
    <x:row r="41">
      <x:c r="A41" s="187" t="n">
        <x:v>42430</x:v>
      </x:c>
      <x:c r="B41" s="195" t="n">
        <x:v>1.83</x:v>
      </x:c>
      <x:c r="C41" s="195" t="n">
        <x:v>0.35</x:v>
      </x:c>
      <x:c r="D41" s="195" t="n">
        <x:f>IFERROR(B41-C41,"")</x:f>
        <x:v>1.48</x:v>
      </x:c>
    </x:row>
    <x:row r="42">
      <x:c r="A42" s="187" t="n">
        <x:v>42431</x:v>
      </x:c>
      <x:c r="B42" s="195" t="n">
        <x:v>1.84</x:v>
      </x:c>
      <x:c r="C42" s="195" t="n">
        <x:v>0.33</x:v>
      </x:c>
      <x:c r="D42" s="195" t="n">
        <x:f>IFERROR(B42-C42,"")</x:f>
        <x:v>1.51</x:v>
      </x:c>
    </x:row>
    <x:row r="43">
      <x:c r="A43" s="187" t="n">
        <x:v>42432</x:v>
      </x:c>
      <x:c r="B43" s="195" t="n">
        <x:v>1.83</x:v>
      </x:c>
      <x:c r="C43" s="195" t="n">
        <x:v>0.3</x:v>
      </x:c>
      <x:c r="D43" s="195" t="n">
        <x:f>IFERROR(B43-C43,"")</x:f>
        <x:v>1.53</x:v>
      </x:c>
    </x:row>
    <x:row r="44">
      <x:c r="A44" s="187" t="n">
        <x:v>42433</x:v>
      </x:c>
      <x:c r="B44" s="195" t="n">
        <x:v>1.88</x:v>
      </x:c>
      <x:c r="C44" s="195" t="n">
        <x:v>0.37</x:v>
      </x:c>
      <x:c r="D44" s="195" t="n">
        <x:f>IFERROR(B44-C44,"")</x:f>
        <x:v>1.5099999999999998</x:v>
      </x:c>
    </x:row>
    <x:row r="45">
      <x:c r="A45" s="187" t="n">
        <x:v>42436</x:v>
      </x:c>
      <x:c r="B45" s="195" t="n">
        <x:v>1.91</x:v>
      </x:c>
      <x:c r="C45" s="195" t="n">
        <x:v>0.43</x:v>
      </x:c>
      <x:c r="D45" s="195" t="n">
        <x:f>IFERROR(B45-C45,"")</x:f>
        <x:v>1.48</x:v>
      </x:c>
    </x:row>
    <x:row r="46">
      <x:c r="A46" s="187" t="n">
        <x:v>42437</x:v>
      </x:c>
      <x:c r="B46" s="195" t="n">
        <x:v>1.83</x:v>
      </x:c>
      <x:c r="C46" s="195" t="n">
        <x:v>0.37</x:v>
      </x:c>
      <x:c r="D46" s="195" t="n">
        <x:f>IFERROR(B46-C46,"")</x:f>
        <x:v>1.46</x:v>
      </x:c>
    </x:row>
    <x:row r="47">
      <x:c r="A47" s="187" t="n">
        <x:v>42438</x:v>
      </x:c>
      <x:c r="B47" s="195" t="n">
        <x:v>1.9</x:v>
      </x:c>
      <x:c r="C47" s="195" t="n">
        <x:v>0.39</x:v>
      </x:c>
      <x:c r="D47" s="195" t="n">
        <x:f>IFERROR(B47-C47,"")</x:f>
        <x:v>1.5099999999999998</x:v>
      </x:c>
    </x:row>
    <x:row r="48">
      <x:c r="A48" s="187" t="n">
        <x:v>42439</x:v>
      </x:c>
      <x:c r="B48" s="195" t="n">
        <x:v>1.93</x:v>
      </x:c>
      <x:c r="C48" s="195" t="n">
        <x:v>0.45</x:v>
      </x:c>
      <x:c r="D48" s="195" t="n">
        <x:f>IFERROR(B48-C48,"")</x:f>
        <x:v>1.48</x:v>
      </x:c>
    </x:row>
    <x:row r="49">
      <x:c r="A49" s="187" t="n">
        <x:v>42440</x:v>
      </x:c>
      <x:c r="B49" s="195" t="n">
        <x:v>1.98</x:v>
      </x:c>
      <x:c r="C49" s="195" t="n">
        <x:v>0.44</x:v>
      </x:c>
      <x:c r="D49" s="195" t="n">
        <x:f>IFERROR(B49-C49,"")</x:f>
        <x:v>1.54</x:v>
      </x:c>
    </x:row>
    <x:row r="50">
      <x:c r="A50" s="187" t="n">
        <x:v>42443</x:v>
      </x:c>
      <x:c r="B50" s="195" t="n">
        <x:v>1.97</x:v>
      </x:c>
      <x:c r="C50" s="195" t="n">
        <x:v>0.45</x:v>
      </x:c>
      <x:c r="D50" s="195" t="n">
        <x:f>IFERROR(B50-C50,"")</x:f>
        <x:v>1.52</x:v>
      </x:c>
    </x:row>
    <x:row r="51">
      <x:c r="A51" s="187" t="n">
        <x:v>42444</x:v>
      </x:c>
      <x:c r="B51" s="195" t="n">
        <x:v>1.97</x:v>
      </x:c>
      <x:c r="C51" s="195" t="n">
        <x:v>0.47</x:v>
      </x:c>
      <x:c r="D51" s="195" t="n">
        <x:f>IFERROR(B51-C51,"")</x:f>
        <x:v>1.5</x:v>
      </x:c>
    </x:row>
    <x:row r="52">
      <x:c r="A52" s="187" t="n">
        <x:v>42445</x:v>
      </x:c>
      <x:c r="B52" s="195" t="n">
        <x:v>1.94</x:v>
      </x:c>
      <x:c r="C52" s="195" t="n">
        <x:v>0.36</x:v>
      </x:c>
      <x:c r="D52" s="195" t="n">
        <x:f>IFERROR(B52-C52,"")</x:f>
        <x:v>1.58</x:v>
      </x:c>
    </x:row>
    <x:row r="53">
      <x:c r="A53" s="187" t="n">
        <x:v>42446</x:v>
      </x:c>
      <x:c r="B53" s="195" t="n">
        <x:v>1.91</x:v>
      </x:c>
      <x:c r="C53" s="195" t="n">
        <x:v>0.34</x:v>
      </x:c>
      <x:c r="D53" s="195" t="n">
        <x:f>IFERROR(B53-C53,"")</x:f>
        <x:v>1.5699999999999998</x:v>
      </x:c>
    </x:row>
    <x:row r="54">
      <x:c r="A54" s="187" t="n">
        <x:v>42447</x:v>
      </x:c>
      <x:c r="B54" s="195" t="n">
        <x:v>1.88</x:v>
      </x:c>
      <x:c r="C54" s="195" t="n">
        <x:v>0.27</x:v>
      </x:c>
      <x:c r="D54" s="195" t="n">
        <x:f>IFERROR(B54-C54,"")</x:f>
        <x:v>1.6099999999999999</x:v>
      </x:c>
    </x:row>
    <x:row r="55">
      <x:c r="A55" s="187" t="n">
        <x:v>42450</x:v>
      </x:c>
      <x:c r="B55" s="195" t="n">
        <x:v>1.92</x:v>
      </x:c>
      <x:c r="C55" s="195" t="n">
        <x:v>0.28</x:v>
      </x:c>
      <x:c r="D55" s="195" t="n">
        <x:f>IFERROR(B55-C55,"")</x:f>
        <x:v>1.64</x:v>
      </x:c>
    </x:row>
    <x:row r="56">
      <x:c r="A56" s="187" t="n">
        <x:v>42451</x:v>
      </x:c>
      <x:c r="B56" s="195" t="n">
        <x:v>1.94</x:v>
      </x:c>
      <x:c r="C56" s="195" t="n">
        <x:v>0.31</x:v>
      </x:c>
      <x:c r="D56" s="195" t="n">
        <x:f>IFERROR(B56-C56,"")</x:f>
        <x:v>1.63</x:v>
      </x:c>
    </x:row>
    <x:row r="57">
      <x:c r="A57" s="187" t="n">
        <x:v>42452</x:v>
      </x:c>
      <x:c r="B57" s="195" t="n">
        <x:v>1.88</x:v>
      </x:c>
      <x:c r="C57" s="195" t="n">
        <x:v>0.3</x:v>
      </x:c>
      <x:c r="D57" s="195" t="n">
        <x:f>IFERROR(B57-C57,"")</x:f>
        <x:v>1.5799999999999998</x:v>
      </x:c>
    </x:row>
    <x:row r="58">
      <x:c r="A58" s="187" t="n">
        <x:v>42453</x:v>
      </x:c>
      <x:c r="B58" s="195" t="n">
        <x:v>1.91</x:v>
      </x:c>
      <x:c r="C58" s="195" t="n">
        <x:v>0.34</x:v>
      </x:c>
      <x:c r="D58" s="195" t="n">
        <x:f>IFERROR(B58-C58,"")</x:f>
        <x:v>1.5699999999999998</x:v>
      </x:c>
    </x:row>
    <x:row r="59">
      <x:c r="A59" s="187" t="n">
        <x:v>42457</x:v>
      </x:c>
      <x:c r="B59" s="195" t="n">
        <x:v>1.89</x:v>
      </x:c>
      <x:c r="C59" s="195" t="n">
        <x:v>0.33</x:v>
      </x:c>
      <x:c r="D59" s="195" t="n">
        <x:f>IFERROR(B59-C59,"")</x:f>
        <x:v>1.5599999999999998</x:v>
      </x:c>
    </x:row>
    <x:row r="60">
      <x:c r="A60" s="187" t="n">
        <x:v>42458</x:v>
      </x:c>
      <x:c r="B60" s="195" t="n">
        <x:v>1.81</x:v>
      </x:c>
      <x:c r="C60" s="195" t="n">
        <x:v>0.2</x:v>
      </x:c>
      <x:c r="D60" s="195" t="n">
        <x:f>IFERROR(B60-C60,"")</x:f>
        <x:v>1.61</x:v>
      </x:c>
    </x:row>
    <x:row r="61">
      <x:c r="A61" s="187" t="n">
        <x:v>42459</x:v>
      </x:c>
      <x:c r="B61" s="195" t="n">
        <x:v>1.83</x:v>
      </x:c>
      <x:c r="C61" s="195" t="n">
        <x:v>0.18</x:v>
      </x:c>
      <x:c r="D61" s="195" t="n">
        <x:f>IFERROR(B61-C61,"")</x:f>
        <x:v>1.6500000000000001</x:v>
      </x:c>
    </x:row>
    <x:row r="62">
      <x:c r="A62" s="187" t="n">
        <x:v>42460</x:v>
      </x:c>
      <x:c r="B62" s="195" t="n">
        <x:v>1.78</x:v>
      </x:c>
      <x:c r="C62" s="195" t="n">
        <x:v>0.16</x:v>
      </x:c>
      <x:c r="D62" s="195" t="n">
        <x:f>IFERROR(B62-C62,"")</x:f>
        <x:v>1.62</x:v>
      </x:c>
    </x:row>
    <x:row r="63">
      <x:c r="A63" s="187" t="n">
        <x:v>42461</x:v>
      </x:c>
      <x:c r="B63" s="195" t="n">
        <x:v>1.79</x:v>
      </x:c>
      <x:c r="C63" s="195" t="n">
        <x:v>0.17</x:v>
      </x:c>
      <x:c r="D63" s="195" t="n">
        <x:f>IFERROR(B63-C63,"")</x:f>
        <x:v>1.62</x:v>
      </x:c>
    </x:row>
    <x:row r="64">
      <x:c r="A64" s="187" t="n">
        <x:v>42464</x:v>
      </x:c>
      <x:c r="B64" s="195" t="n">
        <x:v>1.78</x:v>
      </x:c>
      <x:c r="C64" s="195" t="n">
        <x:v>0.14</x:v>
      </x:c>
      <x:c r="D64" s="195" t="n">
        <x:f>IFERROR(B64-C64,"")</x:f>
        <x:v>1.6400000000000001</x:v>
      </x:c>
    </x:row>
    <x:row r="65">
      <x:c r="A65" s="187" t="n">
        <x:v>42465</x:v>
      </x:c>
      <x:c r="B65" s="195" t="n">
        <x:v>1.73</x:v>
      </x:c>
      <x:c r="C65" s="195" t="n">
        <x:v>0.14</x:v>
      </x:c>
      <x:c r="D65" s="195" t="n">
        <x:f>IFERROR(B65-C65,"")</x:f>
        <x:v>1.5899999999999999</x:v>
      </x:c>
    </x:row>
    <x:row r="66">
      <x:c r="A66" s="187" t="n">
        <x:v>42466</x:v>
      </x:c>
      <x:c r="B66" s="195" t="n">
        <x:v>1.76</x:v>
      </x:c>
      <x:c r="C66" s="195" t="n">
        <x:v>0.17</x:v>
      </x:c>
      <x:c r="D66" s="195" t="n">
        <x:f>IFERROR(B66-C66,"")</x:f>
        <x:v>1.59</x:v>
      </x:c>
    </x:row>
    <x:row r="67">
      <x:c r="A67" s="187" t="n">
        <x:v>42467</x:v>
      </x:c>
      <x:c r="B67" s="195" t="n">
        <x:v>1.7</x:v>
      </x:c>
      <x:c r="C67" s="195" t="n">
        <x:v>0.12</x:v>
      </x:c>
      <x:c r="D67" s="195" t="n">
        <x:f>IFERROR(B67-C67,"")</x:f>
        <x:v>1.58</x:v>
      </x:c>
    </x:row>
    <x:row r="68">
      <x:c r="A68" s="187" t="n">
        <x:v>42468</x:v>
      </x:c>
      <x:c r="B68" s="195" t="n">
        <x:v>1.72</x:v>
      </x:c>
      <x:c r="C68" s="195" t="n">
        <x:v>0.14</x:v>
      </x:c>
      <x:c r="D68" s="195" t="n">
        <x:f>IFERROR(B68-C68,"")</x:f>
        <x:v>1.58</x:v>
      </x:c>
    </x:row>
    <x:row r="69">
      <x:c r="A69" s="187" t="n">
        <x:v>42471</x:v>
      </x:c>
      <x:c r="B69" s="195" t="n">
        <x:v>1.73</x:v>
      </x:c>
      <x:c r="C69" s="195" t="n">
        <x:v>0.17</x:v>
      </x:c>
      <x:c r="D69" s="195" t="n">
        <x:f>IFERROR(B69-C69,"")</x:f>
        <x:v>1.56</x:v>
      </x:c>
    </x:row>
    <x:row r="70">
      <x:c r="A70" s="187" t="n">
        <x:v>42472</x:v>
      </x:c>
      <x:c r="B70" s="195" t="n">
        <x:v>1.79</x:v>
      </x:c>
      <x:c r="C70" s="195" t="n">
        <x:v>0.22</x:v>
      </x:c>
      <x:c r="D70" s="195" t="n">
        <x:f>IFERROR(B70-C70,"")</x:f>
        <x:v>1.57</x:v>
      </x:c>
    </x:row>
    <x:row r="71">
      <x:c r="A71" s="187" t="n">
        <x:v>42473</x:v>
      </x:c>
      <x:c r="B71" s="195" t="n">
        <x:v>1.77</x:v>
      </x:c>
      <x:c r="C71" s="195" t="n">
        <x:v>0.21</x:v>
      </x:c>
      <x:c r="D71" s="195" t="n">
        <x:f>IFERROR(B71-C71,"")</x:f>
        <x:v>1.56</x:v>
      </x:c>
    </x:row>
    <x:row r="72">
      <x:c r="A72" s="187" t="n">
        <x:v>42474</x:v>
      </x:c>
      <x:c r="B72" s="195" t="n">
        <x:v>1.8</x:v>
      </x:c>
      <x:c r="C72" s="195" t="n">
        <x:v>0.24</x:v>
      </x:c>
      <x:c r="D72" s="195" t="n">
        <x:f>IFERROR(B72-C72,"")</x:f>
        <x:v>1.56</x:v>
      </x:c>
    </x:row>
    <x:row r="73">
      <x:c r="A73" s="187" t="n">
        <x:v>42475</x:v>
      </x:c>
      <x:c r="B73" s="195" t="n">
        <x:v>1.76</x:v>
      </x:c>
      <x:c r="C73" s="195" t="n">
        <x:v>0.2</x:v>
      </x:c>
      <x:c r="D73" s="195" t="n">
        <x:f>IFERROR(B73-C73,"")</x:f>
        <x:v>1.56</x:v>
      </x:c>
    </x:row>
    <x:row r="74">
      <x:c r="A74" s="187" t="n">
        <x:v>42478</x:v>
      </x:c>
      <x:c r="B74" s="195" t="n">
        <x:v>1.78</x:v>
      </x:c>
      <x:c r="C74" s="195" t="n">
        <x:v>0.21</x:v>
      </x:c>
      <x:c r="D74" s="195" t="n">
        <x:f>IFERROR(B74-C74,"")</x:f>
        <x:v>1.57</x:v>
      </x:c>
    </x:row>
    <x:row r="75">
      <x:c r="A75" s="187" t="n">
        <x:v>42479</x:v>
      </x:c>
      <x:c r="B75" s="195" t="n">
        <x:v>1.79</x:v>
      </x:c>
      <x:c r="C75" s="195" t="n">
        <x:v>0.19</x:v>
      </x:c>
      <x:c r="D75" s="195" t="n">
        <x:f>IFERROR(B75-C75,"")</x:f>
        <x:v>1.6</x:v>
      </x:c>
    </x:row>
    <x:row r="76">
      <x:c r="A76" s="187" t="n">
        <x:v>42480</x:v>
      </x:c>
      <x:c r="B76" s="195" t="n">
        <x:v>1.85</x:v>
      </x:c>
      <x:c r="C76" s="195" t="n">
        <x:v>0.23</x:v>
      </x:c>
      <x:c r="D76" s="195" t="n">
        <x:f>IFERROR(B76-C76,"")</x:f>
        <x:v>1.62</x:v>
      </x:c>
    </x:row>
    <x:row r="77">
      <x:c r="A77" s="187" t="n">
        <x:v>42481</x:v>
      </x:c>
      <x:c r="B77" s="195" t="n">
        <x:v>1.88</x:v>
      </x:c>
      <x:c r="C77" s="195" t="n">
        <x:v>0.24</x:v>
      </x:c>
      <x:c r="D77" s="195" t="n">
        <x:f>IFERROR(B77-C77,"")</x:f>
        <x:v>1.64</x:v>
      </x:c>
    </x:row>
    <x:row r="78">
      <x:c r="A78" s="187" t="n">
        <x:v>42482</x:v>
      </x:c>
      <x:c r="B78" s="195" t="n">
        <x:v>1.89</x:v>
      </x:c>
      <x:c r="C78" s="195" t="n">
        <x:v>0.25</x:v>
      </x:c>
      <x:c r="D78" s="195" t="n">
        <x:f>IFERROR(B78-C78,"")</x:f>
        <x:v>1.64</x:v>
      </x:c>
    </x:row>
    <x:row r="79">
      <x:c r="A79" s="187" t="n">
        <x:v>42485</x:v>
      </x:c>
      <x:c r="B79" s="195" t="n">
        <x:v>1.91</x:v>
      </x:c>
      <x:c r="C79" s="195" t="n">
        <x:v>0.26</x:v>
      </x:c>
      <x:c r="D79" s="195" t="n">
        <x:f>IFERROR(B79-C79,"")</x:f>
        <x:v>1.65</x:v>
      </x:c>
    </x:row>
    <x:row r="80">
      <x:c r="A80" s="187" t="n">
        <x:v>42486</x:v>
      </x:c>
      <x:c r="B80" s="195" t="n">
        <x:v>1.94</x:v>
      </x:c>
      <x:c r="C80" s="195" t="n">
        <x:v>0.27</x:v>
      </x:c>
      <x:c r="D80" s="195" t="n">
        <x:f>IFERROR(B80-C80,"")</x:f>
        <x:v>1.67</x:v>
      </x:c>
    </x:row>
    <x:row r="81">
      <x:c r="A81" s="187" t="n">
        <x:v>42487</x:v>
      </x:c>
      <x:c r="B81" s="195" t="n">
        <x:v>1.87</x:v>
      </x:c>
      <x:c r="C81" s="195" t="n">
        <x:v>0.19</x:v>
      </x:c>
      <x:c r="D81" s="195" t="n">
        <x:f>IFERROR(B81-C81,"")</x:f>
        <x:v>1.6800000000000002</x:v>
      </x:c>
    </x:row>
    <x:row r="82">
      <x:c r="A82" s="187" t="n">
        <x:v>42488</x:v>
      </x:c>
      <x:c r="B82" s="195" t="n">
        <x:v>1.84</x:v>
      </x:c>
      <x:c r="C82" s="195" t="n">
        <x:v>0.12</x:v>
      </x:c>
      <x:c r="D82" s="195" t="n">
        <x:f>IFERROR(B82-C82,"")</x:f>
        <x:v>1.7200000000000002</x:v>
      </x:c>
    </x:row>
    <x:row r="83">
      <x:c r="A83" s="187" t="n">
        <x:v>42489</x:v>
      </x:c>
      <x:c r="B83" s="195" t="n">
        <x:v>1.83</x:v>
      </x:c>
      <x:c r="C83" s="195" t="n">
        <x:v>0.12</x:v>
      </x:c>
      <x:c r="D83" s="195" t="n">
        <x:f>IFERROR(B83-C83,"")</x:f>
        <x:v>1.71</x:v>
      </x:c>
    </x:row>
    <x:row r="84">
      <x:c r="A84" s="187" t="n">
        <x:v>42492</x:v>
      </x:c>
      <x:c r="B84" s="195" t="n">
        <x:v>1.88</x:v>
      </x:c>
      <x:c r="C84" s="195" t="n">
        <x:v>0.2</x:v>
      </x:c>
      <x:c r="D84" s="195" t="n">
        <x:f>IFERROR(B84-C84,"")</x:f>
        <x:v>1.68</x:v>
      </x:c>
    </x:row>
    <x:row r="85">
      <x:c r="A85" s="187" t="n">
        <x:v>42493</x:v>
      </x:c>
      <x:c r="B85" s="195" t="n">
        <x:v>1.81</x:v>
      </x:c>
      <x:c r="C85" s="195" t="n">
        <x:v>0.17</x:v>
      </x:c>
      <x:c r="D85" s="195" t="n">
        <x:f>IFERROR(B85-C85,"")</x:f>
        <x:v>1.6400000000000001</x:v>
      </x:c>
    </x:row>
    <x:row r="86">
      <x:c r="A86" s="187" t="n">
        <x:v>42494</x:v>
      </x:c>
      <x:c r="B86" s="195" t="n">
        <x:v>1.79</x:v>
      </x:c>
      <x:c r="C86" s="195" t="n">
        <x:v>0.16</x:v>
      </x:c>
      <x:c r="D86" s="195" t="n">
        <x:f>IFERROR(B86-C86,"")</x:f>
        <x:v>1.6300000000000001</x:v>
      </x:c>
    </x:row>
    <x:row r="87">
      <x:c r="A87" s="187" t="n">
        <x:v>42495</x:v>
      </x:c>
      <x:c r="B87" s="195" t="n">
        <x:v>1.76</x:v>
      </x:c>
      <x:c r="C87" s="195" t="n">
        <x:v>0.13</x:v>
      </x:c>
      <x:c r="D87" s="195" t="n">
        <x:f>IFERROR(B87-C87,"")</x:f>
        <x:v>1.63</x:v>
      </x:c>
    </x:row>
    <x:row r="88">
      <x:c r="A88" s="187" t="n">
        <x:v>42496</x:v>
      </x:c>
      <x:c r="B88" s="195" t="n">
        <x:v>1.79</x:v>
      </x:c>
      <x:c r="C88" s="195" t="n">
        <x:v>0.18</x:v>
      </x:c>
      <x:c r="D88" s="195" t="n">
        <x:f>IFERROR(B88-C88,"")</x:f>
        <x:v>1.61</x:v>
      </x:c>
    </x:row>
    <x:row r="89">
      <x:c r="A89" s="187" t="n">
        <x:v>42499</x:v>
      </x:c>
      <x:c r="B89" s="195" t="n">
        <x:v>1.77</x:v>
      </x:c>
      <x:c r="C89" s="195" t="n">
        <x:v>0.18</x:v>
      </x:c>
      <x:c r="D89" s="195" t="n">
        <x:f>IFERROR(B89-C89,"")</x:f>
        <x:v>1.59</x:v>
      </x:c>
    </x:row>
    <x:row r="90">
      <x:c r="A90" s="187" t="n">
        <x:v>42500</x:v>
      </x:c>
      <x:c r="B90" s="195" t="n">
        <x:v>1.77</x:v>
      </x:c>
      <x:c r="C90" s="195" t="n">
        <x:v>0.15</x:v>
      </x:c>
      <x:c r="D90" s="195" t="n">
        <x:f>IFERROR(B90-C90,"")</x:f>
        <x:v>1.62</x:v>
      </x:c>
    </x:row>
    <x:row r="91">
      <x:c r="A91" s="187" t="n">
        <x:v>42501</x:v>
      </x:c>
      <x:c r="B91" s="195" t="n">
        <x:v>1.73</x:v>
      </x:c>
      <x:c r="C91" s="195" t="n">
        <x:v>0.14</x:v>
      </x:c>
      <x:c r="D91" s="195" t="n">
        <x:f>IFERROR(B91-C91,"")</x:f>
        <x:v>1.5899999999999999</x:v>
      </x:c>
    </x:row>
    <x:row r="92">
      <x:c r="A92" s="187" t="n">
        <x:v>42502</x:v>
      </x:c>
      <x:c r="B92" s="195" t="n">
        <x:v>1.75</x:v>
      </x:c>
      <x:c r="C92" s="195" t="n">
        <x:v>0.15</x:v>
      </x:c>
      <x:c r="D92" s="195" t="n">
        <x:f>IFERROR(B92-C92,"")</x:f>
        <x:v>1.6</x:v>
      </x:c>
    </x:row>
    <x:row r="93">
      <x:c r="A93" s="187" t="n">
        <x:v>42503</x:v>
      </x:c>
      <x:c r="B93" s="195" t="n">
        <x:v>1.71</x:v>
      </x:c>
      <x:c r="C93" s="195" t="n">
        <x:v>0.13</x:v>
      </x:c>
      <x:c r="D93" s="195" t="n">
        <x:f>IFERROR(B93-C93,"")</x:f>
        <x:v>1.58</x:v>
      </x:c>
    </x:row>
    <x:row r="94">
      <x:c r="A94" s="187" t="n">
        <x:v>42506</x:v>
      </x:c>
      <x:c r="B94" s="195" t="n">
        <x:v>1.75</x:v>
      </x:c>
      <x:c r="C94" s="195" t="n">
        <x:v>0.15</x:v>
      </x:c>
      <x:c r="D94" s="195" t="n">
        <x:f>IFERROR(B94-C94,"")</x:f>
        <x:v>1.6</x:v>
      </x:c>
    </x:row>
    <x:row r="95">
      <x:c r="A95" s="187" t="n">
        <x:v>42507</x:v>
      </x:c>
      <x:c r="B95" s="195" t="n">
        <x:v>1.76</x:v>
      </x:c>
      <x:c r="C95" s="195" t="n">
        <x:v>0.15</x:v>
      </x:c>
      <x:c r="D95" s="195" t="n">
        <x:f>IFERROR(B95-C95,"")</x:f>
        <x:v>1.61</x:v>
      </x:c>
    </x:row>
    <x:row r="96">
      <x:c r="A96" s="187" t="n">
        <x:v>42508</x:v>
      </x:c>
      <x:c r="B96" s="195" t="n">
        <x:v>1.87</x:v>
      </x:c>
      <x:c r="C96" s="195" t="n">
        <x:v>0.26</x:v>
      </x:c>
      <x:c r="D96" s="195" t="n">
        <x:f>IFERROR(B96-C96,"")</x:f>
        <x:v>1.61</x:v>
      </x:c>
    </x:row>
    <x:row r="97">
      <x:c r="A97" s="187" t="n">
        <x:v>42509</x:v>
      </x:c>
      <x:c r="B97" s="195" t="n">
        <x:v>1.85</x:v>
      </x:c>
      <x:c r="C97" s="195" t="n">
        <x:v>0.29</x:v>
      </x:c>
      <x:c r="D97" s="195" t="n">
        <x:f>IFERROR(B97-C97,"")</x:f>
        <x:v>1.56</x:v>
      </x:c>
    </x:row>
    <x:row r="98">
      <x:c r="A98" s="187" t="n">
        <x:v>42510</x:v>
      </x:c>
      <x:c r="B98" s="195" t="n">
        <x:v>1.85</x:v>
      </x:c>
      <x:c r="C98" s="195" t="n">
        <x:v>0.29</x:v>
      </x:c>
      <x:c r="D98" s="195" t="n">
        <x:f>IFERROR(B98-C98,"")</x:f>
        <x:v>1.56</x:v>
      </x:c>
    </x:row>
    <x:row r="99">
      <x:c r="A99" s="187" t="n">
        <x:v>42513</x:v>
      </x:c>
      <x:c r="B99" s="195" t="n">
        <x:v>1.84</x:v>
      </x:c>
      <x:c r="C99" s="195" t="n">
        <x:v>0.3</x:v>
      </x:c>
      <x:c r="D99" s="195" t="n">
        <x:f>IFERROR(B99-C99,"")</x:f>
        <x:v>1.54</x:v>
      </x:c>
    </x:row>
    <x:row r="100">
      <x:c r="A100" s="187" t="n">
        <x:v>42514</x:v>
      </x:c>
      <x:c r="B100" s="195" t="n">
        <x:v>1.86</x:v>
      </x:c>
      <x:c r="C100" s="195" t="n">
        <x:v>0.31</x:v>
      </x:c>
      <x:c r="D100" s="195" t="n">
        <x:f>IFERROR(B100-C100,"")</x:f>
        <x:v>1.55</x:v>
      </x:c>
    </x:row>
    <x:row r="101">
      <x:c r="A101" s="187" t="n">
        <x:v>42515</x:v>
      </x:c>
      <x:c r="B101" s="195" t="n">
        <x:v>1.87</x:v>
      </x:c>
      <x:c r="C101" s="195" t="n">
        <x:v>0.29</x:v>
      </x:c>
      <x:c r="D101" s="195" t="n">
        <x:f>IFERROR(B101-C101,"")</x:f>
        <x:v>1.58</x:v>
      </x:c>
    </x:row>
    <x:row r="102">
      <x:c r="A102" s="187" t="n">
        <x:v>42516</x:v>
      </x:c>
      <x:c r="B102" s="195" t="n">
        <x:v>1.83</x:v>
      </x:c>
      <x:c r="C102" s="195" t="n">
        <x:v>0.25</x:v>
      </x:c>
      <x:c r="D102" s="195" t="n">
        <x:f>IFERROR(B102-C102,"")</x:f>
        <x:v>1.58</x:v>
      </x:c>
    </x:row>
    <x:row r="103">
      <x:c r="A103" s="187" t="n">
        <x:v>42517</x:v>
      </x:c>
      <x:c r="B103" s="195" t="n">
        <x:v>1.85</x:v>
      </x:c>
      <x:c r="C103" s="195" t="n">
        <x:v>0.27</x:v>
      </x:c>
      <x:c r="D103" s="195" t="n">
        <x:f>IFERROR(B103-C103,"")</x:f>
        <x:v>1.58</x:v>
      </x:c>
    </x:row>
    <x:row r="104">
      <x:c r="A104" s="187" t="n">
        <x:v>42521</x:v>
      </x:c>
      <x:c r="B104" s="195" t="n">
        <x:v>1.84</x:v>
      </x:c>
      <x:c r="C104" s="195" t="n">
        <x:v>0.3</x:v>
      </x:c>
      <x:c r="D104" s="195" t="n">
        <x:f>IFERROR(B104-C104,"")</x:f>
        <x:v>1.54</x:v>
      </x:c>
    </x:row>
    <x:row r="105">
      <x:c r="A105" s="187" t="n">
        <x:v>42522</x:v>
      </x:c>
      <x:c r="B105" s="195" t="n">
        <x:v>1.85</x:v>
      </x:c>
      <x:c r="C105" s="195" t="n">
        <x:v>0.31</x:v>
      </x:c>
      <x:c r="D105" s="195" t="n">
        <x:f>IFERROR(B105-C105,"")</x:f>
        <x:v>1.54</x:v>
      </x:c>
    </x:row>
    <x:row r="106">
      <x:c r="A106" s="187" t="n">
        <x:v>42523</x:v>
      </x:c>
      <x:c r="B106" s="195" t="n">
        <x:v>1.81</x:v>
      </x:c>
      <x:c r="C106" s="195" t="n">
        <x:v>0.27</x:v>
      </x:c>
      <x:c r="D106" s="195" t="n">
        <x:f>IFERROR(B106-C106,"")</x:f>
        <x:v>1.54</x:v>
      </x:c>
    </x:row>
    <x:row r="107">
      <x:c r="A107" s="187" t="n">
        <x:v>42524</x:v>
      </x:c>
      <x:c r="B107" s="195" t="n">
        <x:v>1.71</x:v>
      </x:c>
      <x:c r="C107" s="195" t="n">
        <x:v>0.19</x:v>
      </x:c>
      <x:c r="D107" s="195" t="n">
        <x:f>IFERROR(B107-C107,"")</x:f>
        <x:v>1.52</x:v>
      </x:c>
    </x:row>
    <x:row r="108">
      <x:c r="A108" s="187" t="n">
        <x:v>42527</x:v>
      </x:c>
      <x:c r="B108" s="195" t="n">
        <x:v>1.73</x:v>
      </x:c>
      <x:c r="C108" s="195" t="n">
        <x:v>0.19</x:v>
      </x:c>
      <x:c r="D108" s="195" t="n">
        <x:f>IFERROR(B108-C108,"")</x:f>
        <x:v>1.54</x:v>
      </x:c>
    </x:row>
    <x:row r="109">
      <x:c r="A109" s="187" t="n">
        <x:v>42528</x:v>
      </x:c>
      <x:c r="B109" s="195" t="n">
        <x:v>1.72</x:v>
      </x:c>
      <x:c r="C109" s="195" t="n">
        <x:v>0.15</x:v>
      </x:c>
      <x:c r="D109" s="195" t="n">
        <x:f>IFERROR(B109-C109,"")</x:f>
        <x:v>1.57</x:v>
      </x:c>
    </x:row>
    <x:row r="110">
      <x:c r="A110" s="187" t="n">
        <x:v>42529</x:v>
      </x:c>
      <x:c r="B110" s="195" t="n">
        <x:v>1.71</x:v>
      </x:c>
      <x:c r="C110" s="195" t="n">
        <x:v>0.12</x:v>
      </x:c>
      <x:c r="D110" s="195" t="n">
        <x:f>IFERROR(B110-C110,"")</x:f>
        <x:v>1.5899999999999999</x:v>
      </x:c>
    </x:row>
    <x:row r="111">
      <x:c r="A111" s="187" t="n">
        <x:v>42530</x:v>
      </x:c>
      <x:c r="B111" s="195" t="n">
        <x:v>1.68</x:v>
      </x:c>
      <x:c r="C111" s="195" t="n">
        <x:v>0.12</x:v>
      </x:c>
      <x:c r="D111" s="195" t="n">
        <x:f>IFERROR(B111-C111,"")</x:f>
        <x:v>1.56</x:v>
      </x:c>
    </x:row>
    <x:row r="112">
      <x:c r="A112" s="187" t="n">
        <x:v>42531</x:v>
      </x:c>
      <x:c r="B112" s="195" t="n">
        <x:v>1.64</x:v>
      </x:c>
      <x:c r="C112" s="195" t="n">
        <x:v>0.12</x:v>
      </x:c>
      <x:c r="D112" s="195" t="n">
        <x:f>IFERROR(B112-C112,"")</x:f>
        <x:v>1.52</x:v>
      </x:c>
    </x:row>
    <x:row r="113">
      <x:c r="A113" s="187" t="n">
        <x:v>42534</x:v>
      </x:c>
      <x:c r="B113" s="195" t="n">
        <x:v>1.62</x:v>
      </x:c>
      <x:c r="C113" s="195" t="n">
        <x:v>0.15</x:v>
      </x:c>
      <x:c r="D113" s="195" t="n">
        <x:f>IFERROR(B113-C113,"")</x:f>
        <x:v>1.4700000000000002</x:v>
      </x:c>
    </x:row>
    <x:row r="114">
      <x:c r="A114" s="187" t="n">
        <x:v>42535</x:v>
      </x:c>
      <x:c r="B114" s="195" t="n">
        <x:v>1.62</x:v>
      </x:c>
      <x:c r="C114" s="195" t="n">
        <x:v>0.17</x:v>
      </x:c>
      <x:c r="D114" s="195" t="n">
        <x:f>IFERROR(B114-C114,"")</x:f>
        <x:v>1.4500000000000002</x:v>
      </x:c>
    </x:row>
    <x:row r="115">
      <x:c r="A115" s="187" t="n">
        <x:v>42536</x:v>
      </x:c>
      <x:c r="B115" s="195" t="n">
        <x:v>1.6</x:v>
      </x:c>
      <x:c r="C115" s="195" t="n">
        <x:v>0.13</x:v>
      </x:c>
      <x:c r="D115" s="195" t="n">
        <x:f>IFERROR(B115-C115,"")</x:f>
        <x:v>1.4700000000000002</x:v>
      </x:c>
    </x:row>
    <x:row r="116">
      <x:c r="A116" s="187" t="n">
        <x:v>42537</x:v>
      </x:c>
      <x:c r="B116" s="195" t="n">
        <x:v>1.57</x:v>
      </x:c>
      <x:c r="C116" s="195" t="n">
        <x:v>0.15</x:v>
      </x:c>
      <x:c r="D116" s="195" t="n">
        <x:f>IFERROR(B116-C116,"")</x:f>
        <x:v>1.4200000000000002</x:v>
      </x:c>
    </x:row>
    <x:row r="117">
      <x:c r="A117" s="187" t="n">
        <x:v>42538</x:v>
      </x:c>
      <x:c r="B117" s="195" t="n">
        <x:v>1.62</x:v>
      </x:c>
      <x:c r="C117" s="195" t="n">
        <x:v>0.2</x:v>
      </x:c>
      <x:c r="D117" s="195" t="n">
        <x:f>IFERROR(B117-C117,"")</x:f>
        <x:v>1.4200000000000002</x:v>
      </x:c>
    </x:row>
    <x:row r="118">
      <x:c r="A118" s="187" t="n">
        <x:v>42541</x:v>
      </x:c>
      <x:c r="B118" s="195" t="n">
        <x:v>1.67</x:v>
      </x:c>
      <x:c r="C118" s="195" t="n">
        <x:v>0.24</x:v>
      </x:c>
      <x:c r="D118" s="195" t="n">
        <x:f>IFERROR(B118-C118,"")</x:f>
        <x:v>1.43</x:v>
      </x:c>
    </x:row>
    <x:row r="119">
      <x:c r="A119" s="187" t="n">
        <x:v>42542</x:v>
      </x:c>
      <x:c r="B119" s="195" t="n">
        <x:v>1.71</x:v>
      </x:c>
      <x:c r="C119" s="195" t="n">
        <x:v>0.28</x:v>
      </x:c>
      <x:c r="D119" s="195" t="n">
        <x:f>IFERROR(B119-C119,"")</x:f>
        <x:v>1.43</x:v>
      </x:c>
    </x:row>
    <x:row r="120">
      <x:c r="A120" s="187" t="n">
        <x:v>42543</x:v>
      </x:c>
      <x:c r="B120" s="195" t="n">
        <x:v>1.69</x:v>
      </x:c>
      <x:c r="C120" s="195" t="n">
        <x:v>0.25</x:v>
      </x:c>
      <x:c r="D120" s="195" t="n">
        <x:f>IFERROR(B120-C120,"")</x:f>
        <x:v>1.44</x:v>
      </x:c>
    </x:row>
    <x:row r="121">
      <x:c r="A121" s="187" t="n">
        <x:v>42544</x:v>
      </x:c>
      <x:c r="B121" s="195" t="n">
        <x:v>1.74</x:v>
      </x:c>
      <x:c r="C121" s="195" t="n">
        <x:v>0.24</x:v>
      </x:c>
      <x:c r="D121" s="195" t="n">
        <x:f>IFERROR(B121-C121,"")</x:f>
        <x:v>1.5</x:v>
      </x:c>
    </x:row>
    <x:row r="122">
      <x:c r="A122" s="187" t="n">
        <x:v>42545</x:v>
      </x:c>
      <x:c r="B122" s="195" t="n">
        <x:v>1.57</x:v>
      </x:c>
      <x:c r="C122" s="195" t="n">
        <x:v>0.15</x:v>
      </x:c>
      <x:c r="D122" s="195" t="n">
        <x:f>IFERROR(B122-C122,"")</x:f>
        <x:v>1.4200000000000002</x:v>
      </x:c>
    </x:row>
    <x:row r="123">
      <x:c r="A123" s="187" t="n">
        <x:v>42548</x:v>
      </x:c>
      <x:c r="B123" s="195" t="n">
        <x:v>1.46</x:v>
      </x:c>
      <x:c r="C123" s="195" t="n">
        <x:v>0.12</x:v>
      </x:c>
      <x:c r="D123" s="195" t="n">
        <x:f>IFERROR(B123-C123,"")</x:f>
        <x:v>1.3399999999999999</x:v>
      </x:c>
    </x:row>
    <x:row r="124">
      <x:c r="A124" s="187" t="n">
        <x:v>42549</x:v>
      </x:c>
      <x:c r="B124" s="195" t="n">
        <x:v>1.46</x:v>
      </x:c>
      <x:c r="C124" s="195" t="n">
        <x:v>0.09</x:v>
      </x:c>
      <x:c r="D124" s="195" t="n">
        <x:f>IFERROR(B124-C124,"")</x:f>
        <x:v>1.3699999999999999</x:v>
      </x:c>
    </x:row>
    <x:row r="125">
      <x:c r="A125" s="187" t="n">
        <x:v>42550</x:v>
      </x:c>
      <x:c r="B125" s="195" t="n">
        <x:v>1.5</x:v>
      </x:c>
      <x:c r="C125" s="195" t="n">
        <x:v>0.1</x:v>
      </x:c>
      <x:c r="D125" s="195" t="n">
        <x:f>IFERROR(B125-C125,"")</x:f>
        <x:v>1.4</x:v>
      </x:c>
    </x:row>
    <x:row r="126">
      <x:c r="A126" s="187" t="n">
        <x:v>42551</x:v>
      </x:c>
      <x:c r="B126" s="195" t="n">
        <x:v>1.49</x:v>
      </x:c>
      <x:c r="C126" s="195" t="n">
        <x:v>0.09</x:v>
      </x:c>
      <x:c r="D126" s="195" t="n">
        <x:f>IFERROR(B126-C126,"")</x:f>
        <x:v>1.4</x:v>
      </x:c>
    </x:row>
    <x:row r="127">
      <x:c r="A127" s="187" t="n">
        <x:v>42552</x:v>
      </x:c>
      <x:c r="B127" s="195" t="n">
        <x:v>1.46</x:v>
      </x:c>
      <x:c r="C127" s="195" t="n">
        <x:v>0.03</x:v>
      </x:c>
      <x:c r="D127" s="195" t="n">
        <x:f>IFERROR(B127-C127,"")</x:f>
        <x:v>1.43</x:v>
      </x:c>
    </x:row>
    <x:row r="128">
      <x:c r="A128" s="187" t="n">
        <x:v>42556</x:v>
      </x:c>
      <x:c r="B128" s="195" t="n">
        <x:v>1.37</x:v>
      </x:c>
      <x:c r="C128" s="195" t="n">
        <x:v>-0.03</x:v>
      </x:c>
      <x:c r="D128" s="195" t="n">
        <x:f>IFERROR(B128-C128,"")</x:f>
        <x:v>1.4000000000000001</x:v>
      </x:c>
    </x:row>
    <x:row r="129">
      <x:c r="A129" s="187" t="n">
        <x:v>42557</x:v>
      </x:c>
      <x:c r="B129" s="195" t="n">
        <x:v>1.38</x:v>
      </x:c>
      <x:c r="C129" s="195" t="n">
        <x:v>-0.05</x:v>
      </x:c>
      <x:c r="D129" s="195" t="n">
        <x:f>IFERROR(B129-C129,"")</x:f>
        <x:v>1.43</x:v>
      </x:c>
    </x:row>
    <x:row r="130">
      <x:c r="A130" s="187" t="n">
        <x:v>42558</x:v>
      </x:c>
      <x:c r="B130" s="195" t="n">
        <x:v>1.4</x:v>
      </x:c>
      <x:c r="C130" s="195" t="n">
        <x:v>-0.03</x:v>
      </x:c>
      <x:c r="D130" s="195" t="n">
        <x:f>IFERROR(B130-C130,"")</x:f>
        <x:v>1.43</x:v>
      </x:c>
    </x:row>
    <x:row r="131">
      <x:c r="A131" s="187" t="n">
        <x:v>42559</x:v>
      </x:c>
      <x:c r="B131" s="195" t="n">
        <x:v>1.37</x:v>
      </x:c>
      <x:c r="C131" s="195" t="n">
        <x:v>-0.06</x:v>
      </x:c>
      <x:c r="D131" s="195" t="n">
        <x:f>IFERROR(B131-C131,"")</x:f>
        <x:v>1.4300000000000002</x:v>
      </x:c>
    </x:row>
    <x:row r="132">
      <x:c r="A132" s="187" t="n">
        <x:v>42562</x:v>
      </x:c>
      <x:c r="B132" s="195" t="n">
        <x:v>1.43</x:v>
      </x:c>
      <x:c r="C132" s="195" t="n">
        <x:v>0.01</x:v>
      </x:c>
      <x:c r="D132" s="195" t="n">
        <x:f>IFERROR(B132-C132,"")</x:f>
        <x:v>1.42</x:v>
      </x:c>
    </x:row>
    <x:row r="133">
      <x:c r="A133" s="187" t="n">
        <x:v>42563</x:v>
      </x:c>
      <x:c r="B133" s="195" t="n">
        <x:v>1.53</x:v>
      </x:c>
      <x:c r="C133" s="195" t="n">
        <x:v>0.07</x:v>
      </x:c>
      <x:c r="D133" s="195" t="n">
        <x:f>IFERROR(B133-C133,"")</x:f>
        <x:v>1.46</x:v>
      </x:c>
    </x:row>
    <x:row r="134">
      <x:c r="A134" s="187" t="n">
        <x:v>42564</x:v>
      </x:c>
      <x:c r="B134" s="195" t="n">
        <x:v>1.48</x:v>
      </x:c>
      <x:c r="C134" s="195" t="n">
        <x:v>0.03</x:v>
      </x:c>
      <x:c r="D134" s="195" t="n">
        <x:f>IFERROR(B134-C134,"")</x:f>
        <x:v>1.45</x:v>
      </x:c>
    </x:row>
    <x:row r="135">
      <x:c r="A135" s="187" t="n">
        <x:v>42565</x:v>
      </x:c>
      <x:c r="B135" s="195" t="n">
        <x:v>1.53</x:v>
      </x:c>
      <x:c r="C135" s="195" t="n">
        <x:v>0.08</x:v>
      </x:c>
      <x:c r="D135" s="195" t="n">
        <x:f>IFERROR(B135-C135,"")</x:f>
        <x:v>1.45</x:v>
      </x:c>
    </x:row>
    <x:row r="136">
      <x:c r="A136" s="187" t="n">
        <x:v>42566</x:v>
      </x:c>
      <x:c r="B136" s="195" t="n">
        <x:v>1.6</x:v>
      </x:c>
      <x:c r="C136" s="195" t="n">
        <x:v>0.11</x:v>
      </x:c>
      <x:c r="D136" s="195" t="n">
        <x:f>IFERROR(B136-C136,"")</x:f>
        <x:v>1.49</x:v>
      </x:c>
    </x:row>
    <x:row r="137">
      <x:c r="A137" s="187" t="n">
        <x:v>42569</x:v>
      </x:c>
      <x:c r="B137" s="195" t="n">
        <x:v>1.59</x:v>
      </x:c>
      <x:c r="C137" s="195" t="n">
        <x:v>0.1</x:v>
      </x:c>
      <x:c r="D137" s="195" t="n">
        <x:f>IFERROR(B137-C137,"")</x:f>
        <x:v>1.49</x:v>
      </x:c>
    </x:row>
    <x:row r="138">
      <x:c r="A138" s="187" t="n">
        <x:v>42570</x:v>
      </x:c>
      <x:c r="B138" s="195" t="n">
        <x:v>1.56</x:v>
      </x:c>
      <x:c r="C138" s="195" t="n">
        <x:v>0.12</x:v>
      </x:c>
      <x:c r="D138" s="195" t="n">
        <x:f>IFERROR(B138-C138,"")</x:f>
        <x:v>1.44</x:v>
      </x:c>
    </x:row>
    <x:row r="139">
      <x:c r="A139" s="187" t="n">
        <x:v>42571</x:v>
      </x:c>
      <x:c r="B139" s="195" t="n">
        <x:v>1.59</x:v>
      </x:c>
      <x:c r="C139" s="195" t="n">
        <x:v>0.13</x:v>
      </x:c>
      <x:c r="D139" s="195" t="n">
        <x:f>IFERROR(B139-C139,"")</x:f>
        <x:v>1.46</x:v>
      </x:c>
    </x:row>
    <x:row r="140">
      <x:c r="A140" s="187" t="n">
        <x:v>42572</x:v>
      </x:c>
      <x:c r="B140" s="195" t="n">
        <x:v>1.57</x:v>
      </x:c>
      <x:c r="C140" s="195" t="n">
        <x:v>0.05</x:v>
      </x:c>
      <x:c r="D140" s="195" t="n">
        <x:f>IFERROR(B140-C140,"")</x:f>
        <x:v>1.52</x:v>
      </x:c>
    </x:row>
    <x:row r="141">
      <x:c r="A141" s="187" t="n">
        <x:v>42573</x:v>
      </x:c>
      <x:c r="B141" s="195" t="n">
        <x:v>1.57</x:v>
      </x:c>
      <x:c r="C141" s="195" t="n">
        <x:v>0.06</x:v>
      </x:c>
      <x:c r="D141" s="195" t="n">
        <x:f>IFERROR(B141-C141,"")</x:f>
        <x:v>1.51</x:v>
      </x:c>
    </x:row>
    <x:row r="142">
      <x:c r="A142" s="187" t="n">
        <x:v>42576</x:v>
      </x:c>
      <x:c r="B142" s="195" t="n">
        <x:v>1.58</x:v>
      </x:c>
      <x:c r="C142" s="195" t="n">
        <x:v>0.08</x:v>
      </x:c>
      <x:c r="D142" s="195" t="n">
        <x:f>IFERROR(B142-C142,"")</x:f>
        <x:v>1.5</x:v>
      </x:c>
    </x:row>
    <x:row r="143">
      <x:c r="A143" s="187" t="n">
        <x:v>42577</x:v>
      </x:c>
      <x:c r="B143" s="195" t="n">
        <x:v>1.57</x:v>
      </x:c>
      <x:c r="C143" s="195" t="n">
        <x:v>0.07</x:v>
      </x:c>
      <x:c r="D143" s="195" t="n">
        <x:f>IFERROR(B143-C143,"")</x:f>
        <x:v>1.5</x:v>
      </x:c>
    </x:row>
    <x:row r="144">
      <x:c r="A144" s="187" t="n">
        <x:v>42578</x:v>
      </x:c>
      <x:c r="B144" s="195" t="n">
        <x:v>1.52</x:v>
      </x:c>
      <x:c r="C144" s="195" t="n">
        <x:v>0.03</x:v>
      </x:c>
      <x:c r="D144" s="195" t="n">
        <x:f>IFERROR(B144-C144,"")</x:f>
        <x:v>1.49</x:v>
      </x:c>
    </x:row>
    <x:row r="145">
      <x:c r="A145" s="187" t="n">
        <x:v>42579</x:v>
      </x:c>
      <x:c r="B145" s="195" t="n">
        <x:v>1.52</x:v>
      </x:c>
      <x:c r="C145" s="195" t="n">
        <x:v>0</x:v>
      </x:c>
      <x:c r="D145" s="195" t="n">
        <x:f>IFERROR(B145-C145,"")</x:f>
        <x:v>1.52</x:v>
      </x:c>
    </x:row>
    <x:row r="146">
      <x:c r="A146" s="187" t="n">
        <x:v>42580</x:v>
      </x:c>
      <x:c r="B146" s="195" t="n">
        <x:v>1.46</x:v>
      </x:c>
      <x:c r="C146" s="195" t="n">
        <x:v>-0.03</x:v>
      </x:c>
      <x:c r="D146" s="195" t="n">
        <x:f>IFERROR(B146-C146,"")</x:f>
        <x:v>1.49</x:v>
      </x:c>
    </x:row>
    <x:row r="147">
      <x:c r="A147" s="187" t="n">
        <x:v>42583</x:v>
      </x:c>
      <x:c r="B147" s="195" t="n">
        <x:v>1.51</x:v>
      </x:c>
      <x:c r="C147" s="195" t="n">
        <x:v>0.05</x:v>
      </x:c>
      <x:c r="D147" s="195" t="n">
        <x:f>IFERROR(B147-C147,"")</x:f>
        <x:v>1.46</x:v>
      </x:c>
    </x:row>
    <x:row r="148">
      <x:c r="A148" s="187" t="n">
        <x:v>42584</x:v>
      </x:c>
      <x:c r="B148" s="195" t="n">
        <x:v>1.55</x:v>
      </x:c>
      <x:c r="C148" s="195" t="n">
        <x:v>0.11</x:v>
      </x:c>
      <x:c r="D148" s="195" t="n">
        <x:f>IFERROR(B148-C148,"")</x:f>
        <x:v>1.44</x:v>
      </x:c>
    </x:row>
    <x:row r="149">
      <x:c r="A149" s="187" t="n">
        <x:v>42585</x:v>
      </x:c>
      <x:c r="B149" s="195" t="n">
        <x:v>1.55</x:v>
      </x:c>
      <x:c r="C149" s="195" t="n">
        <x:v>0.09</x:v>
      </x:c>
      <x:c r="D149" s="195" t="n">
        <x:f>IFERROR(B149-C149,"")</x:f>
        <x:v>1.46</x:v>
      </x:c>
    </x:row>
    <x:row r="150">
      <x:c r="A150" s="187" t="n">
        <x:v>42586</x:v>
      </x:c>
      <x:c r="B150" s="195" t="n">
        <x:v>1.51</x:v>
      </x:c>
      <x:c r="C150" s="195" t="n">
        <x:v>0.04</x:v>
      </x:c>
      <x:c r="D150" s="195" t="n">
        <x:f>IFERROR(B150-C150,"")</x:f>
        <x:v>1.47</x:v>
      </x:c>
    </x:row>
    <x:row r="151">
      <x:c r="A151" s="187" t="n">
        <x:v>42587</x:v>
      </x:c>
      <x:c r="B151" s="195" t="n">
        <x:v>1.59</x:v>
      </x:c>
      <x:c r="C151" s="195" t="n">
        <x:v>0.09</x:v>
      </x:c>
      <x:c r="D151" s="195" t="n">
        <x:f>IFERROR(B151-C151,"")</x:f>
        <x:v>1.5</x:v>
      </x:c>
    </x:row>
    <x:row r="152">
      <x:c r="A152" s="187" t="n">
        <x:v>42590</x:v>
      </x:c>
      <x:c r="B152" s="195" t="n">
        <x:v>1.59</x:v>
      </x:c>
      <x:c r="C152" s="195" t="n">
        <x:v>0.08</x:v>
      </x:c>
      <x:c r="D152" s="195" t="n">
        <x:f>IFERROR(B152-C152,"")</x:f>
        <x:v>1.51</x:v>
      </x:c>
    </x:row>
    <x:row r="153">
      <x:c r="A153" s="187" t="n">
        <x:v>42591</x:v>
      </x:c>
      <x:c r="B153" s="195" t="n">
        <x:v>1.55</x:v>
      </x:c>
      <x:c r="C153" s="195" t="n">
        <x:v>0.06</x:v>
      </x:c>
      <x:c r="D153" s="195" t="n">
        <x:f>IFERROR(B153-C153,"")</x:f>
        <x:v>1.49</x:v>
      </x:c>
    </x:row>
    <x:row r="154">
      <x:c r="A154" s="187" t="n">
        <x:v>42592</x:v>
      </x:c>
      <x:c r="B154" s="195" t="n">
        <x:v>1.5</x:v>
      </x:c>
      <x:c r="C154" s="195" t="n">
        <x:v>0.06</x:v>
      </x:c>
      <x:c r="D154" s="195" t="n">
        <x:f>IFERROR(B154-C154,"")</x:f>
        <x:v>1.44</x:v>
      </x:c>
    </x:row>
    <x:row r="155">
      <x:c r="A155" s="187" t="n">
        <x:v>42593</x:v>
      </x:c>
      <x:c r="B155" s="195" t="n">
        <x:v>1.57</x:v>
      </x:c>
      <x:c r="C155" s="195" t="n">
        <x:v>0.1</x:v>
      </x:c>
      <x:c r="D155" s="195" t="n">
        <x:f>IFERROR(B155-C155,"")</x:f>
        <x:v>1.47</x:v>
      </x:c>
    </x:row>
    <x:row r="156">
      <x:c r="A156" s="187" t="n">
        <x:v>42594</x:v>
      </x:c>
      <x:c r="B156" s="195" t="n">
        <x:v>1.51</x:v>
      </x:c>
      <x:c r="C156" s="195" t="n">
        <x:v>0.07</x:v>
      </x:c>
      <x:c r="D156" s="195" t="n">
        <x:f>IFERROR(B156-C156,"")</x:f>
        <x:v>1.44</x:v>
      </x:c>
    </x:row>
    <x:row r="157">
      <x:c r="A157" s="187" t="n">
        <x:v>42597</x:v>
      </x:c>
      <x:c r="B157" s="195" t="n">
        <x:v>1.55</x:v>
      </x:c>
      <x:c r="C157" s="195" t="n">
        <x:v>0.1</x:v>
      </x:c>
      <x:c r="D157" s="195" t="n">
        <x:f>IFERROR(B157-C157,"")</x:f>
        <x:v>1.45</x:v>
      </x:c>
    </x:row>
    <x:row r="158">
      <x:c r="A158" s="187" t="n">
        <x:v>42598</x:v>
      </x:c>
      <x:c r="B158" s="195" t="n">
        <x:v>1.57</x:v>
      </x:c>
      <x:c r="C158" s="195" t="n">
        <x:v>0.13</x:v>
      </x:c>
      <x:c r="D158" s="195" t="n">
        <x:f>IFERROR(B158-C158,"")</x:f>
        <x:v>1.44</x:v>
      </x:c>
    </x:row>
    <x:row r="159">
      <x:c r="A159" s="187" t="n">
        <x:v>42599</x:v>
      </x:c>
      <x:c r="B159" s="195" t="n">
        <x:v>1.56</x:v>
      </x:c>
      <x:c r="C159" s="195" t="n">
        <x:v>0.09</x:v>
      </x:c>
      <x:c r="D159" s="195" t="n">
        <x:f>IFERROR(B159-C159,"")</x:f>
        <x:v>1.47</x:v>
      </x:c>
    </x:row>
    <x:row r="160">
      <x:c r="A160" s="187" t="n">
        <x:v>42600</x:v>
      </x:c>
      <x:c r="B160" s="195" t="n">
        <x:v>1.53</x:v>
      </x:c>
      <x:c r="C160" s="195" t="n">
        <x:v>0.06</x:v>
      </x:c>
      <x:c r="D160" s="195" t="n">
        <x:f>IFERROR(B160-C160,"")</x:f>
        <x:v>1.47</x:v>
      </x:c>
    </x:row>
    <x:row r="161">
      <x:c r="A161" s="187" t="n">
        <x:v>42601</x:v>
      </x:c>
      <x:c r="B161" s="195" t="n">
        <x:v>1.58</x:v>
      </x:c>
      <x:c r="C161" s="195" t="n">
        <x:v>0.1</x:v>
      </x:c>
      <x:c r="D161" s="195" t="n">
        <x:f>IFERROR(B161-C161,"")</x:f>
        <x:v>1.48</x:v>
      </x:c>
    </x:row>
    <x:row r="162">
      <x:c r="A162" s="187" t="n">
        <x:v>42604</x:v>
      </x:c>
      <x:c r="B162" s="195" t="n">
        <x:v>1.55</x:v>
      </x:c>
      <x:c r="C162" s="195" t="n">
        <x:v>0.08</x:v>
      </x:c>
      <x:c r="D162" s="195" t="n">
        <x:f>IFERROR(B162-C162,"")</x:f>
        <x:v>1.47</x:v>
      </x:c>
    </x:row>
    <x:row r="163">
      <x:c r="A163" s="187" t="n">
        <x:v>42605</x:v>
      </x:c>
      <x:c r="B163" s="195" t="n">
        <x:v>1.55</x:v>
      </x:c>
      <x:c r="C163" s="195" t="n">
        <x:v>0.07</x:v>
      </x:c>
      <x:c r="D163" s="195" t="n">
        <x:f>IFERROR(B163-C163,"")</x:f>
        <x:v>1.48</x:v>
      </x:c>
    </x:row>
    <x:row r="164">
      <x:c r="A164" s="187" t="n">
        <x:v>42606</x:v>
      </x:c>
      <x:c r="B164" s="195" t="n">
        <x:v>1.56</x:v>
      </x:c>
      <x:c r="C164" s="195" t="n">
        <x:v>0.08</x:v>
      </x:c>
      <x:c r="D164" s="195" t="n">
        <x:f>IFERROR(B164-C164,"")</x:f>
        <x:v>1.48</x:v>
      </x:c>
    </x:row>
    <x:row r="165">
      <x:c r="A165" s="187" t="n">
        <x:v>42607</x:v>
      </x:c>
      <x:c r="B165" s="195" t="n">
        <x:v>1.58</x:v>
      </x:c>
      <x:c r="C165" s="195" t="n">
        <x:v>0.09</x:v>
      </x:c>
      <x:c r="D165" s="195" t="n">
        <x:f>IFERROR(B165-C165,"")</x:f>
        <x:v>1.49</x:v>
      </x:c>
    </x:row>
    <x:row r="166">
      <x:c r="A166" s="187" t="n">
        <x:v>42608</x:v>
      </x:c>
      <x:c r="B166" s="195" t="n">
        <x:v>1.62</x:v>
      </x:c>
      <x:c r="C166" s="195" t="n">
        <x:v>0.15</x:v>
      </x:c>
      <x:c r="D166" s="195" t="n">
        <x:f>IFERROR(B166-C166,"")</x:f>
        <x:v>1.4700000000000002</x:v>
      </x:c>
    </x:row>
    <x:row r="167">
      <x:c r="A167" s="187" t="n">
        <x:v>42611</x:v>
      </x:c>
      <x:c r="B167" s="195" t="n">
        <x:v>1.57</x:v>
      </x:c>
      <x:c r="C167" s="195" t="n">
        <x:v>0.11</x:v>
      </x:c>
      <x:c r="D167" s="195" t="n">
        <x:f>IFERROR(B167-C167,"")</x:f>
        <x:v>1.46</x:v>
      </x:c>
    </x:row>
    <x:row r="168">
      <x:c r="A168" s="187" t="n">
        <x:v>42612</x:v>
      </x:c>
      <x:c r="B168" s="195" t="n">
        <x:v>1.57</x:v>
      </x:c>
      <x:c r="C168" s="195" t="n">
        <x:v>0.11</x:v>
      </x:c>
      <x:c r="D168" s="195" t="n">
        <x:f>IFERROR(B168-C168,"")</x:f>
        <x:v>1.46</x:v>
      </x:c>
    </x:row>
    <x:row r="169">
      <x:c r="A169" s="187" t="n">
        <x:v>42613</x:v>
      </x:c>
      <x:c r="B169" s="195" t="n">
        <x:v>1.58</x:v>
      </x:c>
      <x:c r="C169" s="195" t="n">
        <x:v>0.11</x:v>
      </x:c>
      <x:c r="D169" s="195" t="n">
        <x:f>IFERROR(B169-C169,"")</x:f>
        <x:v>1.47</x:v>
      </x:c>
    </x:row>
    <x:row r="170">
      <x:c r="A170" s="187" t="n">
        <x:v>42614</x:v>
      </x:c>
      <x:c r="B170" s="195" t="n">
        <x:v>1.57</x:v>
      </x:c>
      <x:c r="C170" s="195" t="n">
        <x:v>0.12</x:v>
      </x:c>
      <x:c r="D170" s="195" t="n">
        <x:f>IFERROR(B170-C170,"")</x:f>
        <x:v>1.4500000000000002</x:v>
      </x:c>
    </x:row>
    <x:row r="171">
      <x:c r="A171" s="187" t="n">
        <x:v>42615</x:v>
      </x:c>
      <x:c r="B171" s="195" t="n">
        <x:v>1.6</x:v>
      </x:c>
      <x:c r="C171" s="195" t="n">
        <x:v>0.13</x:v>
      </x:c>
      <x:c r="D171" s="195" t="n">
        <x:f>IFERROR(B171-C171,"")</x:f>
        <x:v>1.4700000000000002</x:v>
      </x:c>
    </x:row>
    <x:row r="172">
      <x:c r="A172" s="187" t="n">
        <x:v>42619</x:v>
      </x:c>
      <x:c r="B172" s="195" t="n">
        <x:v>1.55</x:v>
      </x:c>
      <x:c r="C172" s="195" t="n">
        <x:v>0.06</x:v>
      </x:c>
      <x:c r="D172" s="195" t="n">
        <x:f>IFERROR(B172-C172,"")</x:f>
        <x:v>1.49</x:v>
      </x:c>
    </x:row>
    <x:row r="173">
      <x:c r="A173" s="187" t="n">
        <x:v>42620</x:v>
      </x:c>
      <x:c r="B173" s="195" t="n">
        <x:v>1.54</x:v>
      </x:c>
      <x:c r="C173" s="195" t="n">
        <x:v>0.03</x:v>
      </x:c>
      <x:c r="D173" s="195" t="n">
        <x:f>IFERROR(B173-C173,"")</x:f>
        <x:v>1.51</x:v>
      </x:c>
    </x:row>
    <x:row r="174">
      <x:c r="A174" s="187" t="n">
        <x:v>42621</x:v>
      </x:c>
      <x:c r="B174" s="195" t="n">
        <x:v>1.61</x:v>
      </x:c>
      <x:c r="C174" s="195" t="n">
        <x:v>0.09</x:v>
      </x:c>
      <x:c r="D174" s="195" t="n">
        <x:f>IFERROR(B174-C174,"")</x:f>
        <x:v>1.52</x:v>
      </x:c>
    </x:row>
    <x:row r="175">
      <x:c r="A175" s="187" t="n">
        <x:v>42622</x:v>
      </x:c>
      <x:c r="B175" s="195" t="n">
        <x:v>1.67</x:v>
      </x:c>
      <x:c r="C175" s="195" t="n">
        <x:v>0.17</x:v>
      </x:c>
      <x:c r="D175" s="195" t="n">
        <x:f>IFERROR(B175-C175,"")</x:f>
        <x:v>1.5</x:v>
      </x:c>
    </x:row>
    <x:row r="176">
      <x:c r="A176" s="187" t="n">
        <x:v>42625</x:v>
      </x:c>
      <x:c r="B176" s="195" t="n">
        <x:v>1.68</x:v>
      </x:c>
      <x:c r="C176" s="195" t="n">
        <x:v>0.17</x:v>
      </x:c>
      <x:c r="D176" s="195" t="n">
        <x:f>IFERROR(B176-C176,"")</x:f>
        <x:v>1.51</x:v>
      </x:c>
    </x:row>
    <x:row r="177">
      <x:c r="A177" s="187" t="n">
        <x:v>42626</x:v>
      </x:c>
      <x:c r="B177" s="195" t="n">
        <x:v>1.73</x:v>
      </x:c>
      <x:c r="C177" s="195" t="n">
        <x:v>0.24</x:v>
      </x:c>
      <x:c r="D177" s="195" t="n">
        <x:f>IFERROR(B177-C177,"")</x:f>
        <x:v>1.49</x:v>
      </x:c>
    </x:row>
    <x:row r="178">
      <x:c r="A178" s="187" t="n">
        <x:v>42627</x:v>
      </x:c>
      <x:c r="B178" s="195" t="n">
        <x:v>1.7</x:v>
      </x:c>
      <x:c r="C178" s="195" t="n">
        <x:v>0.21</x:v>
      </x:c>
      <x:c r="D178" s="195" t="n">
        <x:f>IFERROR(B178-C178,"")</x:f>
        <x:v>1.49</x:v>
      </x:c>
    </x:row>
    <x:row r="179">
      <x:c r="A179" s="187" t="n">
        <x:v>42628</x:v>
      </x:c>
      <x:c r="B179" s="195" t="n">
        <x:v>1.71</x:v>
      </x:c>
      <x:c r="C179" s="195" t="n">
        <x:v>0.22</x:v>
      </x:c>
      <x:c r="D179" s="195" t="n">
        <x:f>IFERROR(B179-C179,"")</x:f>
        <x:v>1.49</x:v>
      </x:c>
    </x:row>
    <x:row r="180">
      <x:c r="A180" s="187" t="n">
        <x:v>42629</x:v>
      </x:c>
      <x:c r="B180" s="195" t="n">
        <x:v>1.7</x:v>
      </x:c>
      <x:c r="C180" s="195" t="n">
        <x:v>0.19</x:v>
      </x:c>
      <x:c r="D180" s="195" t="n">
        <x:f>IFERROR(B180-C180,"")</x:f>
        <x:v>1.51</x:v>
      </x:c>
    </x:row>
    <x:row r="181">
      <x:c r="A181" s="187" t="n">
        <x:v>42632</x:v>
      </x:c>
      <x:c r="B181" s="195" t="n">
        <x:v>1.7</x:v>
      </x:c>
      <x:c r="C181" s="195" t="n">
        <x:v>0.2</x:v>
      </x:c>
      <x:c r="D181" s="195" t="n">
        <x:f>IFERROR(B181-C181,"")</x:f>
        <x:v>1.5</x:v>
      </x:c>
    </x:row>
    <x:row r="182">
      <x:c r="A182" s="187" t="n">
        <x:v>42633</x:v>
      </x:c>
      <x:c r="B182" s="195" t="n">
        <x:v>1.69</x:v>
      </x:c>
      <x:c r="C182" s="195" t="n">
        <x:v>0.2</x:v>
      </x:c>
      <x:c r="D182" s="195" t="n">
        <x:f>IFERROR(B182-C182,"")</x:f>
        <x:v>1.49</x:v>
      </x:c>
    </x:row>
    <x:row r="183">
      <x:c r="A183" s="187" t="n">
        <x:v>42634</x:v>
      </x:c>
      <x:c r="B183" s="195" t="n">
        <x:v>1.66</x:v>
      </x:c>
      <x:c r="C183" s="195" t="n">
        <x:v>0.15</x:v>
      </x:c>
      <x:c r="D183" s="195" t="n">
        <x:f>IFERROR(B183-C183,"")</x:f>
        <x:v>1.51</x:v>
      </x:c>
    </x:row>
    <x:row r="184">
      <x:c r="A184" s="187" t="n">
        <x:v>42635</x:v>
      </x:c>
      <x:c r="B184" s="195" t="n">
        <x:v>1.63</x:v>
      </x:c>
      <x:c r="C184" s="195" t="n">
        <x:v>0.08</x:v>
      </x:c>
      <x:c r="D184" s="195" t="n">
        <x:f>IFERROR(B184-C184,"")</x:f>
        <x:v>1.5499999999999998</x:v>
      </x:c>
    </x:row>
    <x:row r="185">
      <x:c r="A185" s="187" t="n">
        <x:v>42636</x:v>
      </x:c>
      <x:c r="B185" s="195" t="n">
        <x:v>1.62</x:v>
      </x:c>
      <x:c r="C185" s="195" t="n">
        <x:v>0.05</x:v>
      </x:c>
      <x:c r="D185" s="195" t="n">
        <x:f>IFERROR(B185-C185,"")</x:f>
        <x:v>1.57</x:v>
      </x:c>
    </x:row>
    <x:row r="186">
      <x:c r="A186" s="187" t="n">
        <x:v>42639</x:v>
      </x:c>
      <x:c r="B186" s="195" t="n">
        <x:v>1.59</x:v>
      </x:c>
      <x:c r="C186" s="195" t="n">
        <x:v>0.05</x:v>
      </x:c>
      <x:c r="D186" s="195" t="n">
        <x:f>IFERROR(B186-C186,"")</x:f>
        <x:v>1.54</x:v>
      </x:c>
    </x:row>
    <x:row r="187">
      <x:c r="A187" s="187" t="n">
        <x:v>42640</x:v>
      </x:c>
      <x:c r="B187" s="195" t="n">
        <x:v>1.56</x:v>
      </x:c>
      <x:c r="C187" s="195" t="n">
        <x:v>0.04</x:v>
      </x:c>
      <x:c r="D187" s="195" t="n">
        <x:f>IFERROR(B187-C187,"")</x:f>
        <x:v>1.52</x:v>
      </x:c>
    </x:row>
    <x:row r="188">
      <x:c r="A188" s="187" t="n">
        <x:v>42641</x:v>
      </x:c>
      <x:c r="B188" s="195" t="n">
        <x:v>1.57</x:v>
      </x:c>
      <x:c r="C188" s="195" t="n">
        <x:v>0.01</x:v>
      </x:c>
      <x:c r="D188" s="195" t="n">
        <x:f>IFERROR(B188-C188,"")</x:f>
        <x:v>1.56</x:v>
      </x:c>
    </x:row>
    <x:row r="189">
      <x:c r="A189" s="187" t="n">
        <x:v>42642</x:v>
      </x:c>
      <x:c r="B189" s="195" t="n">
        <x:v>1.56</x:v>
      </x:c>
      <x:c r="C189" s="195" t="n">
        <x:v>0.02</x:v>
      </x:c>
      <x:c r="D189" s="195" t="n">
        <x:f>IFERROR(B189-C189,"")</x:f>
        <x:v>1.54</x:v>
      </x:c>
    </x:row>
    <x:row r="190">
      <x:c r="A190" s="187" t="n">
        <x:v>42643</x:v>
      </x:c>
      <x:c r="B190" s="195" t="n">
        <x:v>1.6</x:v>
      </x:c>
      <x:c r="C190" s="195" t="n">
        <x:v>0</x:v>
      </x:c>
      <x:c r="D190" s="195" t="n">
        <x:f>IFERROR(B190-C190,"")</x:f>
        <x:v>1.6</x:v>
      </x:c>
    </x:row>
    <x:row r="191">
      <x:c r="A191" s="187" t="n">
        <x:v>42646</x:v>
      </x:c>
      <x:c r="B191" s="195" t="n">
        <x:v>1.63</x:v>
      </x:c>
      <x:c r="C191" s="195" t="n">
        <x:v>0</x:v>
      </x:c>
      <x:c r="D191" s="195" t="n">
        <x:f>IFERROR(B191-C191,"")</x:f>
        <x:v>1.63</x:v>
      </x:c>
    </x:row>
    <x:row r="192">
      <x:c r="A192" s="187" t="n">
        <x:v>42647</x:v>
      </x:c>
      <x:c r="B192" s="195" t="n">
        <x:v>1.69</x:v>
      </x:c>
      <x:c r="C192" s="195" t="n">
        <x:v>0.07</x:v>
      </x:c>
      <x:c r="D192" s="195" t="n">
        <x:f>IFERROR(B192-C192,"")</x:f>
        <x:v>1.6199999999999999</x:v>
      </x:c>
    </x:row>
    <x:row r="193">
      <x:c r="A193" s="187" t="n">
        <x:v>42648</x:v>
      </x:c>
      <x:c r="B193" s="195" t="n">
        <x:v>1.72</x:v>
      </x:c>
      <x:c r="C193" s="195" t="n">
        <x:v>0.1</x:v>
      </x:c>
      <x:c r="D193" s="195" t="n">
        <x:f>IFERROR(B193-C193,"")</x:f>
        <x:v>1.6199999999999999</x:v>
      </x:c>
    </x:row>
    <x:row r="194">
      <x:c r="A194" s="187" t="n">
        <x:v>42649</x:v>
      </x:c>
      <x:c r="B194" s="195" t="n">
        <x:v>1.75</x:v>
      </x:c>
      <x:c r="C194" s="195" t="n">
        <x:v>0.11</x:v>
      </x:c>
      <x:c r="D194" s="195" t="n">
        <x:f>IFERROR(B194-C194,"")</x:f>
        <x:v>1.64</x:v>
      </x:c>
    </x:row>
    <x:row r="195">
      <x:c r="A195" s="187" t="n">
        <x:v>42650</x:v>
      </x:c>
      <x:c r="B195" s="195" t="n">
        <x:v>1.73</x:v>
      </x:c>
      <x:c r="C195" s="195" t="n">
        <x:v>0.1</x:v>
      </x:c>
      <x:c r="D195" s="195" t="n">
        <x:f>IFERROR(B195-C195,"")</x:f>
        <x:v>1.63</x:v>
      </x:c>
    </x:row>
    <x:row r="196">
      <x:c r="A196" s="187" t="n">
        <x:v>42654</x:v>
      </x:c>
      <x:c r="B196" s="195" t="n">
        <x:v>1.77</x:v>
      </x:c>
      <x:c r="C196" s="195" t="n">
        <x:v>0.13</x:v>
      </x:c>
      <x:c r="D196" s="195" t="n">
        <x:f>IFERROR(B196-C196,"")</x:f>
        <x:v>1.6400000000000001</x:v>
      </x:c>
    </x:row>
    <x:row r="197">
      <x:c r="A197" s="187" t="n">
        <x:v>42655</x:v>
      </x:c>
      <x:c r="B197" s="195" t="n">
        <x:v>1.79</x:v>
      </x:c>
      <x:c r="C197" s="195" t="n">
        <x:v>0.15</x:v>
      </x:c>
      <x:c r="D197" s="195" t="n">
        <x:f>IFERROR(B197-C197,"")</x:f>
        <x:v>1.6400000000000001</x:v>
      </x:c>
    </x:row>
    <x:row r="198">
      <x:c r="A198" s="187" t="n">
        <x:v>42656</x:v>
      </x:c>
      <x:c r="B198" s="195" t="n">
        <x:v>1.75</x:v>
      </x:c>
      <x:c r="C198" s="195" t="n">
        <x:v>0.12</x:v>
      </x:c>
      <x:c r="D198" s="195" t="n">
        <x:f>IFERROR(B198-C198,"")</x:f>
        <x:v>1.63</x:v>
      </x:c>
    </x:row>
    <x:row r="199">
      <x:c r="A199" s="187" t="n">
        <x:v>42657</x:v>
      </x:c>
      <x:c r="B199" s="195" t="n">
        <x:v>1.8</x:v>
      </x:c>
      <x:c r="C199" s="195" t="n">
        <x:v>0.13</x:v>
      </x:c>
      <x:c r="D199" s="195" t="n">
        <x:f>IFERROR(B199-C199,"")</x:f>
        <x:v>1.67</x:v>
      </x:c>
    </x:row>
    <x:row r="200">
      <x:c r="A200" s="187" t="n">
        <x:v>42660</x:v>
      </x:c>
      <x:c r="B200" s="195" t="n">
        <x:v>1.77</x:v>
      </x:c>
      <x:c r="C200" s="195" t="n">
        <x:v>0.09</x:v>
      </x:c>
      <x:c r="D200" s="195" t="n">
        <x:f>IFERROR(B200-C200,"")</x:f>
        <x:v>1.68</x:v>
      </x:c>
    </x:row>
    <x:row r="201">
      <x:c r="A201" s="187" t="n">
        <x:v>42661</x:v>
      </x:c>
      <x:c r="B201" s="195" t="n">
        <x:v>1.75</x:v>
      </x:c>
      <x:c r="C201" s="195" t="n">
        <x:v>0.09</x:v>
      </x:c>
      <x:c r="D201" s="195" t="n">
        <x:f>IFERROR(B201-C201,"")</x:f>
        <x:v>1.66</x:v>
      </x:c>
    </x:row>
    <x:row r="202">
      <x:c r="A202" s="187" t="n">
        <x:v>42662</x:v>
      </x:c>
      <x:c r="B202" s="195" t="n">
        <x:v>1.76</x:v>
      </x:c>
      <x:c r="C202" s="195" t="n">
        <x:v>0.08</x:v>
      </x:c>
      <x:c r="D202" s="195" t="n">
        <x:f>IFERROR(B202-C202,"")</x:f>
        <x:v>1.68</x:v>
      </x:c>
    </x:row>
    <x:row r="203">
      <x:c r="A203" s="187" t="n">
        <x:v>42663</x:v>
      </x:c>
      <x:c r="B203" s="195" t="n">
        <x:v>1.76</x:v>
      </x:c>
      <x:c r="C203" s="195" t="n">
        <x:v>0.08</x:v>
      </x:c>
      <x:c r="D203" s="195" t="n">
        <x:f>IFERROR(B203-C203,"")</x:f>
        <x:v>1.68</x:v>
      </x:c>
    </x:row>
    <x:row r="204">
      <x:c r="A204" s="187" t="n">
        <x:v>42664</x:v>
      </x:c>
      <x:c r="B204" s="195" t="n">
        <x:v>1.74</x:v>
      </x:c>
      <x:c r="C204" s="195" t="n">
        <x:v>0.07</x:v>
      </x:c>
      <x:c r="D204" s="195" t="n">
        <x:f>IFERROR(B204-C204,"")</x:f>
        <x:v>1.67</x:v>
      </x:c>
    </x:row>
    <x:row r="205">
      <x:c r="A205" s="187" t="n">
        <x:v>42667</x:v>
      </x:c>
      <x:c r="B205" s="195" t="n">
        <x:v>1.77</x:v>
      </x:c>
      <x:c r="C205" s="195" t="n">
        <x:v>0.11</x:v>
      </x:c>
      <x:c r="D205" s="195" t="n">
        <x:f>IFERROR(B205-C205,"")</x:f>
        <x:v>1.66</x:v>
      </x:c>
    </x:row>
    <x:row r="206">
      <x:c r="A206" s="187" t="n">
        <x:v>42668</x:v>
      </x:c>
      <x:c r="B206" s="195" t="n">
        <x:v>1.77</x:v>
      </x:c>
      <x:c r="C206" s="195" t="n">
        <x:v>0.07</x:v>
      </x:c>
      <x:c r="D206" s="195" t="n">
        <x:f>IFERROR(B206-C206,"")</x:f>
        <x:v>1.7</x:v>
      </x:c>
    </x:row>
    <x:row r="207">
      <x:c r="A207" s="187" t="n">
        <x:v>42669</x:v>
      </x:c>
      <x:c r="B207" s="195" t="n">
        <x:v>1.79</x:v>
      </x:c>
      <x:c r="C207" s="195" t="n">
        <x:v>0.08</x:v>
      </x:c>
      <x:c r="D207" s="195" t="n">
        <x:f>IFERROR(B207-C207,"")</x:f>
        <x:v>1.71</x:v>
      </x:c>
    </x:row>
    <x:row r="208">
      <x:c r="A208" s="187" t="n">
        <x:v>42670</x:v>
      </x:c>
      <x:c r="B208" s="195" t="n">
        <x:v>1.85</x:v>
      </x:c>
      <x:c r="C208" s="195" t="n">
        <x:v>0.13</x:v>
      </x:c>
      <x:c r="D208" s="195" t="n">
        <x:f>IFERROR(B208-C208,"")</x:f>
        <x:v>1.7200000000000002</x:v>
      </x:c>
    </x:row>
    <x:row r="209">
      <x:c r="A209" s="187" t="n">
        <x:v>42671</x:v>
      </x:c>
      <x:c r="B209" s="195" t="n">
        <x:v>1.86</x:v>
      </x:c>
      <x:c r="C209" s="195" t="n">
        <x:v>0.13</x:v>
      </x:c>
      <x:c r="D209" s="195" t="n">
        <x:f>IFERROR(B209-C209,"")</x:f>
        <x:v>1.73</x:v>
      </x:c>
    </x:row>
    <x:row r="210">
      <x:c r="A210" s="187" t="n">
        <x:v>42674</x:v>
      </x:c>
      <x:c r="B210" s="195" t="n">
        <x:v>1.84</x:v>
      </x:c>
      <x:c r="C210" s="195" t="n">
        <x:v>0.11</x:v>
      </x:c>
      <x:c r="D210" s="195" t="n">
        <x:f>IFERROR(B210-C210,"")</x:f>
        <x:v>1.73</x:v>
      </x:c>
    </x:row>
    <x:row r="211">
      <x:c r="A211" s="187" t="n">
        <x:v>42675</x:v>
      </x:c>
      <x:c r="B211" s="195" t="n">
        <x:v>1.83</x:v>
      </x:c>
      <x:c r="C211" s="195" t="n">
        <x:v>0.11</x:v>
      </x:c>
      <x:c r="D211" s="195" t="n">
        <x:f>IFERROR(B211-C211,"")</x:f>
        <x:v>1.72</x:v>
      </x:c>
    </x:row>
    <x:row r="212">
      <x:c r="A212" s="187" t="n">
        <x:v>42676</x:v>
      </x:c>
      <x:c r="B212" s="195" t="n">
        <x:v>1.81</x:v>
      </x:c>
      <x:c r="C212" s="195" t="n">
        <x:v>0.11</x:v>
      </x:c>
      <x:c r="D212" s="195" t="n">
        <x:f>IFERROR(B212-C212,"")</x:f>
        <x:v>1.7</x:v>
      </x:c>
    </x:row>
    <x:row r="213">
      <x:c r="A213" s="187" t="n">
        <x:v>42677</x:v>
      </x:c>
      <x:c r="B213" s="195" t="n">
        <x:v>1.82</x:v>
      </x:c>
      <x:c r="C213" s="195" t="n">
        <x:v>0.14</x:v>
      </x:c>
      <x:c r="D213" s="195" t="n">
        <x:f>IFERROR(B213-C213,"")</x:f>
        <x:v>1.6800000000000002</x:v>
      </x:c>
    </x:row>
    <x:row r="214">
      <x:c r="A214" s="187" t="n">
        <x:v>42678</x:v>
      </x:c>
      <x:c r="B214" s="195" t="n">
        <x:v>1.79</x:v>
      </x:c>
      <x:c r="C214" s="195" t="n">
        <x:v>0.11</x:v>
      </x:c>
      <x:c r="D214" s="195" t="n">
        <x:f>IFERROR(B214-C214,"")</x:f>
        <x:v>1.68</x:v>
      </x:c>
    </x:row>
    <x:row r="215">
      <x:c r="A215" s="187" t="n">
        <x:v>42681</x:v>
      </x:c>
      <x:c r="B215" s="195" t="n">
        <x:v>1.83</x:v>
      </x:c>
      <x:c r="C215" s="195" t="n">
        <x:v>0.12</x:v>
      </x:c>
      <x:c r="D215" s="195" t="n">
        <x:f>IFERROR(B215-C215,"")</x:f>
        <x:v>1.71</x:v>
      </x:c>
    </x:row>
    <x:row r="216">
      <x:c r="A216" s="187" t="n">
        <x:v>42682</x:v>
      </x:c>
      <x:c r="B216" s="195" t="n">
        <x:v>1.88</x:v>
      </x:c>
      <x:c r="C216" s="195" t="n">
        <x:v>0.15</x:v>
      </x:c>
      <x:c r="D216" s="195" t="n">
        <x:f>IFERROR(B216-C216,"")</x:f>
        <x:v>1.73</x:v>
      </x:c>
    </x:row>
    <x:row r="217">
      <x:c r="A217" s="187" t="n">
        <x:v>42683</x:v>
      </x:c>
      <x:c r="B217" s="195" t="n">
        <x:v>2.07</x:v>
      </x:c>
      <x:c r="C217" s="195" t="n">
        <x:v>0.25</x:v>
      </x:c>
      <x:c r="D217" s="195" t="n">
        <x:f>IFERROR(B217-C217,"")</x:f>
        <x:v>1.8199999999999998</x:v>
      </x:c>
    </x:row>
    <x:row r="218">
      <x:c r="A218" s="187" t="n">
        <x:v>42684</x:v>
      </x:c>
      <x:c r="B218" s="195" t="n">
        <x:v>2.15</x:v>
      </x:c>
      <x:c r="C218" s="195" t="n">
        <x:v>0.27</x:v>
      </x:c>
      <x:c r="D218" s="195" t="n">
        <x:f>IFERROR(B218-C218,"")</x:f>
        <x:v>1.88</x:v>
      </x:c>
    </x:row>
    <x:row r="219">
      <x:c r="A219" s="187" t="n">
        <x:v>42688</x:v>
      </x:c>
      <x:c r="B219" s="195" t="n">
        <x:v>2.23</x:v>
      </x:c>
      <x:c r="C219" s="195" t="n">
        <x:v>0.4</x:v>
      </x:c>
      <x:c r="D219" s="195" t="n">
        <x:f>IFERROR(B219-C219,"")</x:f>
        <x:v>1.83</x:v>
      </x:c>
    </x:row>
    <x:row r="220">
      <x:c r="A220" s="187" t="n">
        <x:v>42689</x:v>
      </x:c>
      <x:c r="B220" s="195" t="n">
        <x:v>2.23</x:v>
      </x:c>
      <x:c r="C220" s="195" t="n">
        <x:v>0.41</x:v>
      </x:c>
      <x:c r="D220" s="195" t="n">
        <x:f>IFERROR(B220-C220,"")</x:f>
        <x:v>1.82</x:v>
      </x:c>
    </x:row>
    <x:row r="221">
      <x:c r="A221" s="187" t="n">
        <x:v>42690</x:v>
      </x:c>
      <x:c r="B221" s="195" t="n">
        <x:v>2.22</x:v>
      </x:c>
      <x:c r="C221" s="195" t="n">
        <x:v>0.39</x:v>
      </x:c>
      <x:c r="D221" s="195" t="n">
        <x:f>IFERROR(B221-C221,"")</x:f>
        <x:v>1.83</x:v>
      </x:c>
    </x:row>
    <x:row r="222">
      <x:c r="A222" s="187" t="n">
        <x:v>42691</x:v>
      </x:c>
      <x:c r="B222" s="195" t="n">
        <x:v>2.29</x:v>
      </x:c>
      <x:c r="C222" s="195" t="n">
        <x:v>0.42</x:v>
      </x:c>
      <x:c r="D222" s="195" t="n">
        <x:f>IFERROR(B222-C222,"")</x:f>
        <x:v>1.87</x:v>
      </x:c>
    </x:row>
    <x:row r="223">
      <x:c r="A223" s="187" t="n">
        <x:v>42692</x:v>
      </x:c>
      <x:c r="B223" s="195" t="n">
        <x:v>2.34</x:v>
      </x:c>
      <x:c r="C223" s="195" t="n">
        <x:v>0.44</x:v>
      </x:c>
      <x:c r="D223" s="195" t="n">
        <x:f>IFERROR(B223-C223,"")</x:f>
        <x:v>1.9</x:v>
      </x:c>
    </x:row>
    <x:row r="224">
      <x:c r="A224" s="187" t="n">
        <x:v>42695</x:v>
      </x:c>
      <x:c r="B224" s="195" t="n">
        <x:v>2.33</x:v>
      </x:c>
      <x:c r="C224" s="195" t="n">
        <x:v>0.42</x:v>
      </x:c>
      <x:c r="D224" s="195" t="n">
        <x:f>IFERROR(B224-C224,"")</x:f>
        <x:v>1.9100000000000001</x:v>
      </x:c>
    </x:row>
    <x:row r="225">
      <x:c r="A225" s="187" t="n">
        <x:v>42696</x:v>
      </x:c>
      <x:c r="B225" s="195" t="n">
        <x:v>2.31</x:v>
      </x:c>
      <x:c r="C225" s="195" t="n">
        <x:v>0.41</x:v>
      </x:c>
      <x:c r="D225" s="195" t="n">
        <x:f>IFERROR(B225-C225,"")</x:f>
        <x:v>1.9000000000000001</x:v>
      </x:c>
    </x:row>
    <x:row r="226">
      <x:c r="A226" s="187" t="n">
        <x:v>42697</x:v>
      </x:c>
      <x:c r="B226" s="195" t="n">
        <x:v>2.36</x:v>
      </x:c>
      <x:c r="C226" s="195" t="n">
        <x:v>0.44</x:v>
      </x:c>
      <x:c r="D226" s="195" t="n">
        <x:f>IFERROR(B226-C226,"")</x:f>
        <x:v>1.92</x:v>
      </x:c>
    </x:row>
    <x:row r="227">
      <x:c r="A227" s="187" t="n">
        <x:v>42699</x:v>
      </x:c>
      <x:c r="B227" s="195" t="n">
        <x:v>2.36</x:v>
      </x:c>
      <x:c r="C227" s="195" t="n">
        <x:v>0.47</x:v>
      </x:c>
      <x:c r="D227" s="195" t="n">
        <x:f>IFERROR(B227-C227,"")</x:f>
        <x:v>1.89</x:v>
      </x:c>
    </x:row>
    <x:row r="228">
      <x:c r="A228" s="187" t="n">
        <x:v>42702</x:v>
      </x:c>
      <x:c r="B228" s="195" t="n">
        <x:v>2.32</x:v>
      </x:c>
      <x:c r="C228" s="195" t="n">
        <x:v>0.47</x:v>
      </x:c>
      <x:c r="D228" s="195" t="n">
        <x:f>IFERROR(B228-C228,"")</x:f>
        <x:v>1.8499999999999999</x:v>
      </x:c>
    </x:row>
    <x:row r="229">
      <x:c r="A229" s="187" t="n">
        <x:v>42703</x:v>
      </x:c>
      <x:c r="B229" s="195" t="n">
        <x:v>2.3</x:v>
      </x:c>
      <x:c r="C229" s="195" t="n">
        <x:v>0.44</x:v>
      </x:c>
      <x:c r="D229" s="195" t="n">
        <x:f>IFERROR(B229-C229,"")</x:f>
        <x:v>1.8599999999999999</x:v>
      </x:c>
    </x:row>
    <x:row r="230">
      <x:c r="A230" s="187" t="n">
        <x:v>42704</x:v>
      </x:c>
      <x:c r="B230" s="195" t="n">
        <x:v>2.37</x:v>
      </x:c>
      <x:c r="C230" s="195" t="n">
        <x:v>0.43</x:v>
      </x:c>
      <x:c r="D230" s="195" t="n">
        <x:f>IFERROR(B230-C230,"")</x:f>
        <x:v>1.9400000000000002</x:v>
      </x:c>
    </x:row>
    <x:row r="231">
      <x:c r="A231" s="187" t="n">
        <x:v>42705</x:v>
      </x:c>
      <x:c r="B231" s="195" t="n">
        <x:v>2.45</x:v>
      </x:c>
      <x:c r="C231" s="195" t="n">
        <x:v>0.48</x:v>
      </x:c>
      <x:c r="D231" s="195" t="n">
        <x:f>IFERROR(B231-C231,"")</x:f>
        <x:v>1.9700000000000002</x:v>
      </x:c>
    </x:row>
    <x:row r="232">
      <x:c r="A232" s="187" t="n">
        <x:v>42706</x:v>
      </x:c>
      <x:c r="B232" s="195" t="n">
        <x:v>2.4</x:v>
      </x:c>
      <x:c r="C232" s="195" t="n">
        <x:v>0.49</x:v>
      </x:c>
      <x:c r="D232" s="195" t="n">
        <x:f>IFERROR(B232-C232,"")</x:f>
        <x:v>1.91</x:v>
      </x:c>
    </x:row>
    <x:row r="233">
      <x:c r="A233" s="187" t="n">
        <x:v>42709</x:v>
      </x:c>
      <x:c r="B233" s="195" t="n">
        <x:v>2.39</x:v>
      </x:c>
      <x:c r="C233" s="195" t="n">
        <x:v>0.45</x:v>
      </x:c>
      <x:c r="D233" s="195" t="n">
        <x:f>IFERROR(B233-C233,"")</x:f>
        <x:v>1.9400000000000002</x:v>
      </x:c>
    </x:row>
    <x:row r="234">
      <x:c r="A234" s="187" t="n">
        <x:v>42710</x:v>
      </x:c>
      <x:c r="B234" s="195" t="n">
        <x:v>2.39</x:v>
      </x:c>
      <x:c r="C234" s="195" t="n">
        <x:v>0.44</x:v>
      </x:c>
      <x:c r="D234" s="195" t="n">
        <x:f>IFERROR(B234-C234,"")</x:f>
        <x:v>1.9500000000000002</x:v>
      </x:c>
    </x:row>
    <x:row r="235">
      <x:c r="A235" s="187" t="n">
        <x:v>42711</x:v>
      </x:c>
      <x:c r="B235" s="195" t="n">
        <x:v>2.34</x:v>
      </x:c>
      <x:c r="C235" s="195" t="n">
        <x:v>0.42</x:v>
      </x:c>
      <x:c r="D235" s="195" t="n">
        <x:f>IFERROR(B235-C235,"")</x:f>
        <x:v>1.92</x:v>
      </x:c>
    </x:row>
    <x:row r="236">
      <x:c r="A236" s="187" t="n">
        <x:v>42712</x:v>
      </x:c>
      <x:c r="B236" s="195" t="n">
        <x:v>2.4</x:v>
      </x:c>
      <x:c r="C236" s="195" t="n">
        <x:v>0.45</x:v>
      </x:c>
      <x:c r="D236" s="195" t="n">
        <x:f>IFERROR(B236-C236,"")</x:f>
        <x:v>1.95</x:v>
      </x:c>
    </x:row>
    <x:row r="237">
      <x:c r="A237" s="187" t="n">
        <x:v>42713</x:v>
      </x:c>
      <x:c r="B237" s="195" t="n">
        <x:v>2.47</x:v>
      </x:c>
      <x:c r="C237" s="195" t="n">
        <x:v>0.51</x:v>
      </x:c>
      <x:c r="D237" s="195" t="n">
        <x:f>IFERROR(B237-C237,"")</x:f>
        <x:v>1.9600000000000002</x:v>
      </x:c>
    </x:row>
    <x:row r="238">
      <x:c r="A238" s="187" t="n">
        <x:v>42716</x:v>
      </x:c>
      <x:c r="B238" s="195" t="n">
        <x:v>2.49</x:v>
      </x:c>
      <x:c r="C238" s="195" t="n">
        <x:v>0.51</x:v>
      </x:c>
      <x:c r="D238" s="195" t="n">
        <x:f>IFERROR(B238-C238,"")</x:f>
        <x:v>1.9800000000000002</x:v>
      </x:c>
    </x:row>
    <x:row r="239">
      <x:c r="A239" s="187" t="n">
        <x:v>42717</x:v>
      </x:c>
      <x:c r="B239" s="195" t="n">
        <x:v>2.48</x:v>
      </x:c>
      <x:c r="C239" s="195" t="n">
        <x:v>0.53</x:v>
      </x:c>
      <x:c r="D239" s="195" t="n">
        <x:f>IFERROR(B239-C239,"")</x:f>
        <x:v>1.95</x:v>
      </x:c>
    </x:row>
    <x:row r="240">
      <x:c r="A240" s="187" t="n">
        <x:v>42718</x:v>
      </x:c>
      <x:c r="B240" s="195" t="n">
        <x:v>2.54</x:v>
      </x:c>
      <x:c r="C240" s="195" t="n">
        <x:v>0.6</x:v>
      </x:c>
      <x:c r="D240" s="195" t="n">
        <x:f>IFERROR(B240-C240,"")</x:f>
        <x:v>1.94</x:v>
      </x:c>
    </x:row>
    <x:row r="241">
      <x:c r="A241" s="187" t="n">
        <x:v>42719</x:v>
      </x:c>
      <x:c r="B241" s="195" t="n">
        <x:v>2.6</x:v>
      </x:c>
      <x:c r="C241" s="195" t="n">
        <x:v>0.7</x:v>
      </x:c>
      <x:c r="D241" s="195" t="n">
        <x:f>IFERROR(B241-C241,"")</x:f>
        <x:v>1.9000000000000001</x:v>
      </x:c>
    </x:row>
    <x:row r="242">
      <x:c r="A242" s="187" t="n">
        <x:v>42720</x:v>
      </x:c>
      <x:c r="B242" s="195" t="n">
        <x:v>2.6</x:v>
      </x:c>
      <x:c r="C242" s="195" t="n">
        <x:v>0.74</x:v>
      </x:c>
      <x:c r="D242" s="195" t="n">
        <x:f>IFERROR(B242-C242,"")</x:f>
        <x:v>1.86</x:v>
      </x:c>
    </x:row>
    <x:row r="243">
      <x:c r="A243" s="187" t="n">
        <x:v>42723</x:v>
      </x:c>
      <x:c r="B243" s="195" t="n">
        <x:v>2.54</x:v>
      </x:c>
      <x:c r="C243" s="195" t="n">
        <x:v>0.68</x:v>
      </x:c>
      <x:c r="D243" s="195" t="n">
        <x:f>IFERROR(B243-C243,"")</x:f>
        <x:v>1.8599999999999999</x:v>
      </x:c>
    </x:row>
    <x:row r="244">
      <x:c r="A244" s="187" t="n">
        <x:v>42724</x:v>
      </x:c>
      <x:c r="B244" s="195" t="n">
        <x:v>2.57</x:v>
      </x:c>
      <x:c r="C244" s="195" t="n">
        <x:v>0.67</x:v>
      </x:c>
      <x:c r="D244" s="195" t="n">
        <x:f>IFERROR(B244-C244,"")</x:f>
        <x:v>1.9</x:v>
      </x:c>
    </x:row>
    <x:row r="245">
      <x:c r="A245" s="187" t="n">
        <x:v>42725</x:v>
      </x:c>
      <x:c r="B245" s="195" t="n">
        <x:v>2.55</x:v>
      </x:c>
      <x:c r="C245" s="195" t="n">
        <x:v>0.64</x:v>
      </x:c>
      <x:c r="D245" s="195" t="n">
        <x:f>IFERROR(B245-C245,"")</x:f>
        <x:v>1.9099999999999997</x:v>
      </x:c>
    </x:row>
    <x:row r="246">
      <x:c r="A246" s="187" t="n">
        <x:v>42726</x:v>
      </x:c>
      <x:c r="B246" s="195" t="n">
        <x:v>2.55</x:v>
      </x:c>
      <x:c r="C246" s="195" t="n">
        <x:v>0.6</x:v>
      </x:c>
      <x:c r="D246" s="195" t="n">
        <x:f>IFERROR(B246-C246,"")</x:f>
        <x:v>1.9499999999999997</x:v>
      </x:c>
    </x:row>
    <x:row r="247">
      <x:c r="A247" s="187" t="n">
        <x:v>42727</x:v>
      </x:c>
      <x:c r="B247" s="195" t="n">
        <x:v>2.55</x:v>
      </x:c>
      <x:c r="C247" s="195" t="n">
        <x:v>0.58</x:v>
      </x:c>
      <x:c r="D247" s="195" t="n">
        <x:f>IFERROR(B247-C247,"")</x:f>
        <x:v>1.9699999999999998</x:v>
      </x:c>
    </x:row>
    <x:row r="248">
      <x:c r="A248" s="187" t="n">
        <x:v>42731</x:v>
      </x:c>
      <x:c r="B248" s="195" t="n">
        <x:v>2.57</x:v>
      </x:c>
      <x:c r="C248" s="195" t="n">
        <x:v>0.58</x:v>
      </x:c>
      <x:c r="D248" s="195" t="n">
        <x:f>IFERROR(B248-C248,"")</x:f>
        <x:v>1.9899999999999998</x:v>
      </x:c>
    </x:row>
    <x:row r="249">
      <x:c r="A249" s="187" t="n">
        <x:v>42732</x:v>
      </x:c>
      <x:c r="B249" s="195" t="n">
        <x:v>2.51</x:v>
      </x:c>
      <x:c r="C249" s="195" t="n">
        <x:v>0.56</x:v>
      </x:c>
      <x:c r="D249" s="195" t="n">
        <x:f>IFERROR(B249-C249,"")</x:f>
        <x:v>1.9499999999999997</x:v>
      </x:c>
    </x:row>
    <x:row r="250">
      <x:c r="A250" s="187" t="n">
        <x:v>42733</x:v>
      </x:c>
      <x:c r="B250" s="195" t="n">
        <x:v>2.49</x:v>
      </x:c>
      <x:c r="C250" s="195" t="n">
        <x:v>0.55</x:v>
      </x:c>
      <x:c r="D250" s="195" t="n">
        <x:f>IFERROR(B250-C250,"")</x:f>
        <x:v>1.9400000000000002</x:v>
      </x:c>
    </x:row>
    <x:row r="251">
      <x:c r="A251" s="187" t="n">
        <x:v>42734</x:v>
      </x:c>
      <x:c r="B251" s="195" t="n">
        <x:v>2.45</x:v>
      </x:c>
      <x:c r="C251" s="195" t="n">
        <x:v>0.5</x:v>
      </x:c>
      <x:c r="D251" s="195" t="n">
        <x:f>IFERROR(B251-C251,"")</x:f>
        <x:v>1.9500000000000002</x:v>
      </x:c>
    </x:row>
    <x:row r="252">
      <x:c r="A252" s="187" t="n">
        <x:v>42738</x:v>
      </x:c>
      <x:c r="B252" s="195" t="n">
        <x:v>2.45</x:v>
      </x:c>
      <x:c r="C252" s="195" t="n">
        <x:v>0.47</x:v>
      </x:c>
      <x:c r="D252" s="195" t="n">
        <x:f>IFERROR(B252-C252,"")</x:f>
        <x:v>1.9800000000000002</x:v>
      </x:c>
    </x:row>
    <x:row r="253">
      <x:c r="A253" s="187" t="n">
        <x:v>42739</x:v>
      </x:c>
      <x:c r="B253" s="195" t="n">
        <x:v>2.46</x:v>
      </x:c>
      <x:c r="C253" s="195" t="n">
        <x:v>0.47</x:v>
      </x:c>
      <x:c r="D253" s="195" t="n">
        <x:f>IFERROR(B253-C253,"")</x:f>
        <x:v>1.99</x:v>
      </x:c>
    </x:row>
    <x:row r="254">
      <x:c r="A254" s="187" t="n">
        <x:v>42740</x:v>
      </x:c>
      <x:c r="B254" s="195" t="n">
        <x:v>2.37</x:v>
      </x:c>
      <x:c r="C254" s="195" t="n">
        <x:v>0.42</x:v>
      </x:c>
      <x:c r="D254" s="195" t="n">
        <x:f>IFERROR(B254-C254,"")</x:f>
        <x:v>1.9500000000000002</x:v>
      </x:c>
    </x:row>
    <x:row r="255">
      <x:c r="A255" s="187" t="n">
        <x:v>42741</x:v>
      </x:c>
      <x:c r="B255" s="195" t="n">
        <x:v>2.42</x:v>
      </x:c>
      <x:c r="C255" s="195" t="n">
        <x:v>0.46</x:v>
      </x:c>
      <x:c r="D255" s="195" t="n">
        <x:f>IFERROR(B255-C255,"")</x:f>
        <x:v>1.96</x:v>
      </x:c>
    </x:row>
    <x:row r="256">
      <x:c r="A256" s="187" t="n">
        <x:v>42744</x:v>
      </x:c>
      <x:c r="B256" s="195" t="n">
        <x:v>2.38</x:v>
      </x:c>
      <x:c r="C256" s="195" t="n">
        <x:v>0.43</x:v>
      </x:c>
      <x:c r="D256" s="195" t="n">
        <x:f>IFERROR(B256-C256,"")</x:f>
        <x:v>1.95</x:v>
      </x:c>
    </x:row>
    <x:row r="257">
      <x:c r="A257" s="187" t="n">
        <x:v>42745</x:v>
      </x:c>
      <x:c r="B257" s="195" t="n">
        <x:v>2.38</x:v>
      </x:c>
      <x:c r="C257" s="195" t="n">
        <x:v>0.43</x:v>
      </x:c>
      <x:c r="D257" s="195" t="n">
        <x:f>IFERROR(B257-C257,"")</x:f>
        <x:v>1.95</x:v>
      </x:c>
    </x:row>
    <x:row r="258">
      <x:c r="A258" s="187" t="n">
        <x:v>42746</x:v>
      </x:c>
      <x:c r="B258" s="195" t="n">
        <x:v>2.38</x:v>
      </x:c>
      <x:c r="C258" s="195" t="n">
        <x:v>0.39</x:v>
      </x:c>
      <x:c r="D258" s="195" t="n">
        <x:f>IFERROR(B258-C258,"")</x:f>
        <x:v>1.9899999999999998</x:v>
      </x:c>
    </x:row>
    <x:row r="259">
      <x:c r="A259" s="187" t="n">
        <x:v>42747</x:v>
      </x:c>
      <x:c r="B259" s="195" t="n">
        <x:v>2.36</x:v>
      </x:c>
      <x:c r="C259" s="195" t="n">
        <x:v>0.38</x:v>
      </x:c>
      <x:c r="D259" s="195" t="n">
        <x:f>IFERROR(B259-C259,"")</x:f>
        <x:v>1.98</x:v>
      </x:c>
    </x:row>
    <x:row r="260">
      <x:c r="A260" s="187" t="n">
        <x:v>42748</x:v>
      </x:c>
      <x:c r="B260" s="195" t="n">
        <x:v>2.4</x:v>
      </x:c>
      <x:c r="C260" s="195" t="n">
        <x:v>0.41</x:v>
      </x:c>
      <x:c r="D260" s="195" t="n">
        <x:f>IFERROR(B260-C260,"")</x:f>
        <x:v>1.99</x:v>
      </x:c>
    </x:row>
    <x:row r="261">
      <x:c r="A261" s="187" t="n">
        <x:v>42752</x:v>
      </x:c>
      <x:c r="B261" s="195" t="n">
        <x:v>2.33</x:v>
      </x:c>
      <x:c r="C261" s="195" t="n">
        <x:v>0.36</x:v>
      </x:c>
      <x:c r="D261" s="195" t="n">
        <x:f>IFERROR(B261-C261,"")</x:f>
        <x:v>1.9700000000000002</x:v>
      </x:c>
    </x:row>
    <x:row r="262">
      <x:c r="A262" s="187" t="n">
        <x:v>42753</x:v>
      </x:c>
      <x:c r="B262" s="195" t="n">
        <x:v>2.42</x:v>
      </x:c>
      <x:c r="C262" s="195" t="n">
        <x:v>0.42</x:v>
      </x:c>
      <x:c r="D262" s="195" t="n">
        <x:f>IFERROR(B262-C262,"")</x:f>
        <x:v>2</x:v>
      </x:c>
    </x:row>
    <x:row r="263">
      <x:c r="A263" s="187" t="n">
        <x:v>42754</x:v>
      </x:c>
      <x:c r="B263" s="195" t="n">
        <x:v>2.47</x:v>
      </x:c>
      <x:c r="C263" s="195" t="n">
        <x:v>0.43</x:v>
      </x:c>
      <x:c r="D263" s="195" t="n">
        <x:f>IFERROR(B263-C263,"")</x:f>
        <x:v>2.04</x:v>
      </x:c>
    </x:row>
    <x:row r="264">
      <x:c r="A264" s="187" t="n">
        <x:v>42755</x:v>
      </x:c>
      <x:c r="B264" s="195" t="n">
        <x:v>2.48</x:v>
      </x:c>
      <x:c r="C264" s="195" t="n">
        <x:v>0.44</x:v>
      </x:c>
      <x:c r="D264" s="195" t="n">
        <x:f>IFERROR(B264-C264,"")</x:f>
        <x:v>2.04</x:v>
      </x:c>
    </x:row>
    <x:row r="265">
      <x:c r="A265" s="187" t="n">
        <x:v>42758</x:v>
      </x:c>
      <x:c r="B265" s="195" t="n">
        <x:v>2.41</x:v>
      </x:c>
      <x:c r="C265" s="195" t="n">
        <x:v>0.39</x:v>
      </x:c>
      <x:c r="D265" s="195" t="n">
        <x:f>IFERROR(B265-C265,"")</x:f>
        <x:v>2.02</x:v>
      </x:c>
    </x:row>
    <x:row r="266">
      <x:c r="A266" s="187" t="n">
        <x:v>42759</x:v>
      </x:c>
      <x:c r="B266" s="195" t="n">
        <x:v>2.47</x:v>
      </x:c>
      <x:c r="C266" s="195" t="n">
        <x:v>0.41</x:v>
      </x:c>
      <x:c r="D266" s="195" t="n">
        <x:f>IFERROR(B266-C266,"")</x:f>
        <x:v>2.06</x:v>
      </x:c>
    </x:row>
    <x:row r="267">
      <x:c r="A267" s="187" t="n">
        <x:v>42760</x:v>
      </x:c>
      <x:c r="B267" s="195" t="n">
        <x:v>2.53</x:v>
      </x:c>
      <x:c r="C267" s="195" t="n">
        <x:v>0.45</x:v>
      </x:c>
      <x:c r="D267" s="195" t="n">
        <x:f>IFERROR(B267-C267,"")</x:f>
        <x:v>2.0799999999999996</x:v>
      </x:c>
    </x:row>
    <x:row r="268">
      <x:c r="A268" s="187" t="n">
        <x:v>42761</x:v>
      </x:c>
      <x:c r="B268" s="195" t="n">
        <x:v>2.51</x:v>
      </x:c>
      <x:c r="C268" s="195" t="n">
        <x:v>0.43</x:v>
      </x:c>
      <x:c r="D268" s="195" t="n">
        <x:f>IFERROR(B268-C268,"")</x:f>
        <x:v>2.0799999999999996</x:v>
      </x:c>
    </x:row>
    <x:row r="269">
      <x:c r="A269" s="187" t="n">
        <x:v>42762</x:v>
      </x:c>
      <x:c r="B269" s="195" t="n">
        <x:v>2.49</x:v>
      </x:c>
      <x:c r="C269" s="195" t="n">
        <x:v>0.41</x:v>
      </x:c>
      <x:c r="D269" s="195" t="n">
        <x:f>IFERROR(B269-C269,"")</x:f>
        <x:v>2.08</x:v>
      </x:c>
    </x:row>
    <x:row r="270">
      <x:c r="A270" s="187" t="n">
        <x:v>42765</x:v>
      </x:c>
      <x:c r="B270" s="195" t="n">
        <x:v>2.49</x:v>
      </x:c>
      <x:c r="C270" s="195" t="n">
        <x:v>0.42</x:v>
      </x:c>
      <x:c r="D270" s="195" t="n">
        <x:f>IFERROR(B270-C270,"")</x:f>
        <x:v>2.0700000000000003</x:v>
      </x:c>
    </x:row>
    <x:row r="271">
      <x:c r="A271" s="187" t="n">
        <x:v>42766</x:v>
      </x:c>
      <x:c r="B271" s="195" t="n">
        <x:v>2.45</x:v>
      </x:c>
      <x:c r="C271" s="195" t="n">
        <x:v>0.4</x:v>
      </x:c>
      <x:c r="D271" s="195" t="n">
        <x:f>IFERROR(B271-C271,"")</x:f>
        <x:v>2.0500000000000003</x:v>
      </x:c>
    </x:row>
    <x:row r="272">
      <x:c r="A272" s="187" t="n">
        <x:v>42767</x:v>
      </x:c>
      <x:c r="B272" s="195" t="n">
        <x:v>2.48</x:v>
      </x:c>
      <x:c r="C272" s="195" t="n">
        <x:v>0.43</x:v>
      </x:c>
      <x:c r="D272" s="195" t="n">
        <x:f>IFERROR(B272-C272,"")</x:f>
        <x:v>2.05</x:v>
      </x:c>
    </x:row>
    <x:row r="273">
      <x:c r="A273" s="187" t="n">
        <x:v>42768</x:v>
      </x:c>
      <x:c r="B273" s="195" t="n">
        <x:v>2.48</x:v>
      </x:c>
      <x:c r="C273" s="195" t="n">
        <x:v>0.43</x:v>
      </x:c>
      <x:c r="D273" s="195" t="n">
        <x:f>IFERROR(B273-C273,"")</x:f>
        <x:v>2.05</x:v>
      </x:c>
    </x:row>
    <x:row r="274">
      <x:c r="A274" s="187" t="n">
        <x:v>42769</x:v>
      </x:c>
      <x:c r="B274" s="195" t="n">
        <x:v>2.49</x:v>
      </x:c>
      <x:c r="C274" s="195" t="n">
        <x:v>0.44</x:v>
      </x:c>
      <x:c r="D274" s="195" t="n">
        <x:f>IFERROR(B274-C274,"")</x:f>
        <x:v>2.0500000000000003</x:v>
      </x:c>
    </x:row>
    <x:row r="275">
      <x:c r="A275" s="187" t="n">
        <x:v>42772</x:v>
      </x:c>
      <x:c r="B275" s="195" t="n">
        <x:v>2.42</x:v>
      </x:c>
      <x:c r="C275" s="195" t="n">
        <x:v>0.4</x:v>
      </x:c>
      <x:c r="D275" s="195" t="n">
        <x:f>IFERROR(B275-C275,"")</x:f>
        <x:v>2.02</x:v>
      </x:c>
    </x:row>
    <x:row r="276">
      <x:c r="A276" s="187" t="n">
        <x:v>42773</x:v>
      </x:c>
      <x:c r="B276" s="195" t="n">
        <x:v>2.4</x:v>
      </x:c>
      <x:c r="C276" s="195" t="n">
        <x:v>0.4</x:v>
      </x:c>
      <x:c r="D276" s="195" t="n">
        <x:f>IFERROR(B276-C276,"")</x:f>
        <x:v>2</x:v>
      </x:c>
    </x:row>
    <x:row r="277">
      <x:c r="A277" s="187" t="n">
        <x:v>42774</x:v>
      </x:c>
      <x:c r="B277" s="195" t="n">
        <x:v>2.34</x:v>
      </x:c>
      <x:c r="C277" s="195" t="n">
        <x:v>0.38</x:v>
      </x:c>
      <x:c r="D277" s="195" t="n">
        <x:f>IFERROR(B277-C277,"")</x:f>
        <x:v>1.96</x:v>
      </x:c>
    </x:row>
    <x:row r="278">
      <x:c r="A278" s="187" t="n">
        <x:v>42775</x:v>
      </x:c>
      <x:c r="B278" s="195" t="n">
        <x:v>2.4</x:v>
      </x:c>
      <x:c r="C278" s="195" t="n">
        <x:v>0.41</x:v>
      </x:c>
      <x:c r="D278" s="195" t="n">
        <x:f>IFERROR(B278-C278,"")</x:f>
        <x:v>1.99</x:v>
      </x:c>
    </x:row>
    <x:row r="279">
      <x:c r="A279" s="187" t="n">
        <x:v>42776</x:v>
      </x:c>
      <x:c r="B279" s="195" t="n">
        <x:v>2.41</x:v>
      </x:c>
      <x:c r="C279" s="195" t="n">
        <x:v>0.4</x:v>
      </x:c>
      <x:c r="D279" s="195" t="n">
        <x:f>IFERROR(B279-C279,"")</x:f>
        <x:v>2.0100000000000002</x:v>
      </x:c>
    </x:row>
    <x:row r="280">
      <x:c r="A280" s="187" t="n">
        <x:v>42779</x:v>
      </x:c>
      <x:c r="B280" s="195" t="n">
        <x:v>2.43</x:v>
      </x:c>
      <x:c r="C280" s="195" t="n">
        <x:v>0.43</x:v>
      </x:c>
      <x:c r="D280" s="195" t="n">
        <x:f>IFERROR(B280-C280,"")</x:f>
        <x:v>2</x:v>
      </x:c>
    </x:row>
    <x:row r="281">
      <x:c r="A281" s="187" t="n">
        <x:v>42780</x:v>
      </x:c>
      <x:c r="B281" s="195" t="n">
        <x:v>2.47</x:v>
      </x:c>
      <x:c r="C281" s="195" t="n">
        <x:v>0.46</x:v>
      </x:c>
      <x:c r="D281" s="195" t="n">
        <x:f>IFERROR(B281-C281,"")</x:f>
        <x:v>2.0100000000000002</x:v>
      </x:c>
    </x:row>
    <x:row r="282">
      <x:c r="A282" s="187" t="n">
        <x:v>42781</x:v>
      </x:c>
      <x:c r="B282" s="195" t="n">
        <x:v>2.51</x:v>
      </x:c>
      <x:c r="C282" s="195" t="n">
        <x:v>0.45</x:v>
      </x:c>
      <x:c r="D282" s="195" t="n">
        <x:f>IFERROR(B282-C282,"")</x:f>
        <x:v>2.0599999999999996</x:v>
      </x:c>
    </x:row>
    <x:row r="283">
      <x:c r="A283" s="187" t="n">
        <x:v>42782</x:v>
      </x:c>
      <x:c r="B283" s="195" t="n">
        <x:v>2.45</x:v>
      </x:c>
      <x:c r="C283" s="195" t="n">
        <x:v>0.43</x:v>
      </x:c>
      <x:c r="D283" s="195" t="n">
        <x:f>IFERROR(B283-C283,"")</x:f>
        <x:v>2.02</x:v>
      </x:c>
    </x:row>
    <x:row r="284">
      <x:c r="A284" s="187" t="n">
        <x:v>42783</x:v>
      </x:c>
      <x:c r="B284" s="195" t="n">
        <x:v>2.42</x:v>
      </x:c>
      <x:c r="C284" s="195" t="n">
        <x:v>0.41</x:v>
      </x:c>
      <x:c r="D284" s="195" t="n">
        <x:f>IFERROR(B284-C284,"")</x:f>
        <x:v>2.01</x:v>
      </x:c>
    </x:row>
    <x:row r="285">
      <x:c r="A285" s="187" t="n">
        <x:v>42787</x:v>
      </x:c>
      <x:c r="B285" s="195" t="n">
        <x:v>2.43</x:v>
      </x:c>
      <x:c r="C285" s="195" t="n">
        <x:v>0.4</x:v>
      </x:c>
      <x:c r="D285" s="195" t="n">
        <x:f>IFERROR(B285-C285,"")</x:f>
        <x:v>2.0300000000000002</x:v>
      </x:c>
    </x:row>
    <x:row r="286">
      <x:c r="A286" s="187" t="n">
        <x:v>42788</x:v>
      </x:c>
      <x:c r="B286" s="195" t="n">
        <x:v>2.42</x:v>
      </x:c>
      <x:c r="C286" s="195" t="n">
        <x:v>0.38</x:v>
      </x:c>
      <x:c r="D286" s="195" t="n">
        <x:f>IFERROR(B286-C286,"")</x:f>
        <x:v>2.04</x:v>
      </x:c>
    </x:row>
    <x:row r="287">
      <x:c r="A287" s="187" t="n">
        <x:v>42789</x:v>
      </x:c>
      <x:c r="B287" s="195" t="n">
        <x:v>2.38</x:v>
      </x:c>
      <x:c r="C287" s="195" t="n">
        <x:v>0.35</x:v>
      </x:c>
      <x:c r="D287" s="195" t="n">
        <x:f>IFERROR(B287-C287,"")</x:f>
        <x:v>2.03</x:v>
      </x:c>
    </x:row>
    <x:row r="288">
      <x:c r="A288" s="187" t="n">
        <x:v>42790</x:v>
      </x:c>
      <x:c r="B288" s="195" t="n">
        <x:v>2.31</x:v>
      </x:c>
      <x:c r="C288" s="195" t="n">
        <x:v>0.31</x:v>
      </x:c>
      <x:c r="D288" s="195" t="n">
        <x:f>IFERROR(B288-C288,"")</x:f>
        <x:v>2</x:v>
      </x:c>
    </x:row>
    <x:row r="289">
      <x:c r="A289" s="187" t="n">
        <x:v>42793</x:v>
      </x:c>
      <x:c r="B289" s="195" t="n">
        <x:v>2.36</x:v>
      </x:c>
      <x:c r="C289" s="195" t="n">
        <x:v>0.35</x:v>
      </x:c>
      <x:c r="D289" s="195" t="n">
        <x:f>IFERROR(B289-C289,"")</x:f>
        <x:v>2.01</x:v>
      </x:c>
    </x:row>
    <x:row r="290">
      <x:c r="A290" s="187" t="n">
        <x:v>42794</x:v>
      </x:c>
      <x:c r="B290" s="195" t="n">
        <x:v>2.36</x:v>
      </x:c>
      <x:c r="C290" s="195" t="n">
        <x:v>0.34</x:v>
      </x:c>
      <x:c r="D290" s="195" t="n">
        <x:f>IFERROR(B290-C290,"")</x:f>
        <x:v>2.02</x:v>
      </x:c>
    </x:row>
    <x:row r="291">
      <x:c r="A291" s="187" t="n">
        <x:v>42795</x:v>
      </x:c>
      <x:c r="B291" s="195" t="n">
        <x:v>2.46</x:v>
      </x:c>
      <x:c r="C291" s="195" t="n">
        <x:v>0.43</x:v>
      </x:c>
      <x:c r="D291" s="195" t="n">
        <x:f>IFERROR(B291-C291,"")</x:f>
        <x:v>2.03</x:v>
      </x:c>
    </x:row>
    <x:row r="292">
      <x:c r="A292" s="187" t="n">
        <x:v>42796</x:v>
      </x:c>
      <x:c r="B292" s="195" t="n">
        <x:v>2.49</x:v>
      </x:c>
      <x:c r="C292" s="195" t="n">
        <x:v>0.48</x:v>
      </x:c>
      <x:c r="D292" s="195" t="n">
        <x:f>IFERROR(B292-C292,"")</x:f>
        <x:v>2.0100000000000002</x:v>
      </x:c>
    </x:row>
    <x:row r="293">
      <x:c r="A293" s="187" t="n">
        <x:v>42797</x:v>
      </x:c>
      <x:c r="B293" s="195" t="n">
        <x:v>2.49</x:v>
      </x:c>
      <x:c r="C293" s="195" t="n">
        <x:v>0.45</x:v>
      </x:c>
      <x:c r="D293" s="195" t="n">
        <x:f>IFERROR(B293-C293,"")</x:f>
        <x:v>2.04</x:v>
      </x:c>
    </x:row>
    <x:row r="294">
      <x:c r="A294" s="187" t="n">
        <x:v>42800</x:v>
      </x:c>
      <x:c r="B294" s="195" t="n">
        <x:v>2.49</x:v>
      </x:c>
      <x:c r="C294" s="195" t="n">
        <x:v>0.48</x:v>
      </x:c>
      <x:c r="D294" s="195" t="n">
        <x:f>IFERROR(B294-C294,"")</x:f>
        <x:v>2.0100000000000002</x:v>
      </x:c>
    </x:row>
    <x:row r="295">
      <x:c r="A295" s="187" t="n">
        <x:v>42801</x:v>
      </x:c>
      <x:c r="B295" s="195" t="n">
        <x:v>2.52</x:v>
      </x:c>
      <x:c r="C295" s="195" t="n">
        <x:v>0.49</x:v>
      </x:c>
      <x:c r="D295" s="195" t="n">
        <x:f>IFERROR(B295-C295,"")</x:f>
        <x:v>2.0300000000000002</x:v>
      </x:c>
    </x:row>
    <x:row r="296">
      <x:c r="A296" s="187" t="n">
        <x:v>42802</x:v>
      </x:c>
      <x:c r="B296" s="195" t="n">
        <x:v>2.57</x:v>
      </x:c>
      <x:c r="C296" s="195" t="n">
        <x:v>0.56</x:v>
      </x:c>
      <x:c r="D296" s="195" t="n">
        <x:f>IFERROR(B296-C296,"")</x:f>
        <x:v>2.01</x:v>
      </x:c>
    </x:row>
    <x:row r="297">
      <x:c r="A297" s="187" t="n">
        <x:v>42803</x:v>
      </x:c>
      <x:c r="B297" s="195" t="n">
        <x:v>2.6</x:v>
      </x:c>
      <x:c r="C297" s="195" t="n">
        <x:v>0.6</x:v>
      </x:c>
      <x:c r="D297" s="195" t="n">
        <x:f>IFERROR(B297-C297,"")</x:f>
        <x:v>2</x:v>
      </x:c>
    </x:row>
    <x:row r="298">
      <x:c r="A298" s="187" t="n">
        <x:v>42804</x:v>
      </x:c>
      <x:c r="B298" s="195" t="n">
        <x:v>2.58</x:v>
      </x:c>
      <x:c r="C298" s="195" t="n">
        <x:v>0.57</x:v>
      </x:c>
      <x:c r="D298" s="195" t="n">
        <x:f>IFERROR(B298-C298,"")</x:f>
        <x:v>2.0100000000000002</x:v>
      </x:c>
    </x:row>
    <x:row r="299">
      <x:c r="A299" s="187" t="n">
        <x:v>42807</x:v>
      </x:c>
      <x:c r="B299" s="195" t="n">
        <x:v>2.62</x:v>
      </x:c>
      <x:c r="C299" s="195" t="n">
        <x:v>0.61</x:v>
      </x:c>
      <x:c r="D299" s="195" t="n">
        <x:f>IFERROR(B299-C299,"")</x:f>
        <x:v>2.0100000000000002</x:v>
      </x:c>
    </x:row>
    <x:row r="300">
      <x:c r="A300" s="187" t="n">
        <x:v>42808</x:v>
      </x:c>
      <x:c r="B300" s="195" t="n">
        <x:v>2.6</x:v>
      </x:c>
      <x:c r="C300" s="195" t="n">
        <x:v>0.61</x:v>
      </x:c>
      <x:c r="D300" s="195" t="n">
        <x:f>IFERROR(B300-C300,"")</x:f>
        <x:v>1.9900000000000002</x:v>
      </x:c>
    </x:row>
    <x:row r="301">
      <x:c r="A301" s="187" t="n">
        <x:v>42809</x:v>
      </x:c>
      <x:c r="B301" s="195" t="n">
        <x:v>2.51</x:v>
      </x:c>
      <x:c r="C301" s="195" t="n">
        <x:v>0.5</x:v>
      </x:c>
      <x:c r="D301" s="195" t="n">
        <x:f>IFERROR(B301-C301,"")</x:f>
        <x:v>2.01</x:v>
      </x:c>
    </x:row>
    <x:row r="302">
      <x:c r="A302" s="187" t="n">
        <x:v>42810</x:v>
      </x:c>
      <x:c r="B302" s="195" t="n">
        <x:v>2.53</x:v>
      </x:c>
      <x:c r="C302" s="195" t="n">
        <x:v>0.51</x:v>
      </x:c>
      <x:c r="D302" s="195" t="n">
        <x:f>IFERROR(B302-C302,"")</x:f>
        <x:v>2.0199999999999996</x:v>
      </x:c>
    </x:row>
    <x:row r="303">
      <x:c r="A303" s="187" t="n">
        <x:v>42811</x:v>
      </x:c>
      <x:c r="B303" s="195" t="n">
        <x:v>2.5</x:v>
      </x:c>
      <x:c r="C303" s="195" t="n">
        <x:v>0.49</x:v>
      </x:c>
      <x:c r="D303" s="195" t="n">
        <x:f>IFERROR(B303-C303,"")</x:f>
        <x:v>2.01</x:v>
      </x:c>
    </x:row>
    <x:row r="304">
      <x:c r="A304" s="187" t="n">
        <x:v>42814</x:v>
      </x:c>
      <x:c r="B304" s="195" t="n">
        <x:v>2.47</x:v>
      </x:c>
      <x:c r="C304" s="195" t="n">
        <x:v>0.47</x:v>
      </x:c>
      <x:c r="D304" s="195" t="n">
        <x:f>IFERROR(B304-C304,"")</x:f>
        <x:v>2</x:v>
      </x:c>
    </x:row>
    <x:row r="305">
      <x:c r="A305" s="187" t="n">
        <x:v>42815</x:v>
      </x:c>
      <x:c r="B305" s="195" t="n">
        <x:v>2.43</x:v>
      </x:c>
      <x:c r="C305" s="195" t="n">
        <x:v>0.45</x:v>
      </x:c>
      <x:c r="D305" s="195" t="n">
        <x:f>IFERROR(B305-C305,"")</x:f>
        <x:v>1.9800000000000002</x:v>
      </x:c>
    </x:row>
    <x:row r="306">
      <x:c r="A306" s="187" t="n">
        <x:v>42816</x:v>
      </x:c>
      <x:c r="B306" s="195" t="n">
        <x:v>2.4</x:v>
      </x:c>
      <x:c r="C306" s="195" t="n">
        <x:v>0.43</x:v>
      </x:c>
      <x:c r="D306" s="195" t="n">
        <x:f>IFERROR(B306-C306,"")</x:f>
        <x:v>1.97</x:v>
      </x:c>
    </x:row>
    <x:row r="307">
      <x:c r="A307" s="187" t="n">
        <x:v>42817</x:v>
      </x:c>
      <x:c r="B307" s="195" t="n">
        <x:v>2.41</x:v>
      </x:c>
      <x:c r="C307" s="195" t="n">
        <x:v>0.46</x:v>
      </x:c>
      <x:c r="D307" s="195" t="n">
        <x:f>IFERROR(B307-C307,"")</x:f>
        <x:v>1.9500000000000002</x:v>
      </x:c>
    </x:row>
    <x:row r="308">
      <x:c r="A308" s="187" t="n">
        <x:v>42818</x:v>
      </x:c>
      <x:c r="B308" s="195" t="n">
        <x:v>2.4</x:v>
      </x:c>
      <x:c r="C308" s="195" t="n">
        <x:v>0.42</x:v>
      </x:c>
      <x:c r="D308" s="195" t="n">
        <x:f>IFERROR(B308-C308,"")</x:f>
        <x:v>1.98</x:v>
      </x:c>
    </x:row>
    <x:row r="309">
      <x:c r="A309" s="187" t="n">
        <x:v>42821</x:v>
      </x:c>
      <x:c r="B309" s="195" t="n">
        <x:v>2.38</x:v>
      </x:c>
      <x:c r="C309" s="195" t="n">
        <x:v>0.41</x:v>
      </x:c>
      <x:c r="D309" s="195" t="n">
        <x:f>IFERROR(B309-C309,"")</x:f>
        <x:v>1.97</x:v>
      </x:c>
    </x:row>
    <x:row r="310">
      <x:c r="A310" s="187" t="n">
        <x:v>42822</x:v>
      </x:c>
      <x:c r="B310" s="195" t="n">
        <x:v>2.42</x:v>
      </x:c>
      <x:c r="C310" s="195" t="n">
        <x:v>0.45</x:v>
      </x:c>
      <x:c r="D310" s="195" t="n">
        <x:f>IFERROR(B310-C310,"")</x:f>
        <x:v>1.97</x:v>
      </x:c>
    </x:row>
    <x:row r="311">
      <x:c r="A311" s="187" t="n">
        <x:v>42823</x:v>
      </x:c>
      <x:c r="B311" s="195" t="n">
        <x:v>2.39</x:v>
      </x:c>
      <x:c r="C311" s="195" t="n">
        <x:v>0.41</x:v>
      </x:c>
      <x:c r="D311" s="195" t="n">
        <x:f>IFERROR(B311-C311,"")</x:f>
        <x:v>1.9800000000000002</x:v>
      </x:c>
    </x:row>
    <x:row r="312">
      <x:c r="A312" s="187" t="n">
        <x:v>42824</x:v>
      </x:c>
      <x:c r="B312" s="195" t="n">
        <x:v>2.42</x:v>
      </x:c>
      <x:c r="C312" s="195" t="n">
        <x:v>0.46</x:v>
      </x:c>
      <x:c r="D312" s="195" t="n">
        <x:f>IFERROR(B312-C312,"")</x:f>
        <x:v>1.96</x:v>
      </x:c>
    </x:row>
    <x:row r="313">
      <x:c r="A313" s="187" t="n">
        <x:v>42825</x:v>
      </x:c>
      <x:c r="B313" s="195" t="n">
        <x:v>2.4</x:v>
      </x:c>
      <x:c r="C313" s="195" t="n">
        <x:v>0.43</x:v>
      </x:c>
      <x:c r="D313" s="195" t="n">
        <x:f>IFERROR(B313-C313,"")</x:f>
        <x:v>1.97</x:v>
      </x:c>
    </x:row>
    <x:row r="314">
      <x:c r="A314" s="187" t="n">
        <x:v>42828</x:v>
      </x:c>
      <x:c r="B314" s="195" t="n">
        <x:v>2.35</x:v>
      </x:c>
      <x:c r="C314" s="195" t="n">
        <x:v>0.39</x:v>
      </x:c>
      <x:c r="D314" s="195" t="n">
        <x:f>IFERROR(B314-C314,"")</x:f>
        <x:v>1.96</x:v>
      </x:c>
    </x:row>
    <x:row r="315">
      <x:c r="A315" s="187" t="n">
        <x:v>42829</x:v>
      </x:c>
      <x:c r="B315" s="195" t="n">
        <x:v>2.36</x:v>
      </x:c>
      <x:c r="C315" s="195" t="n">
        <x:v>0.4</x:v>
      </x:c>
      <x:c r="D315" s="195" t="n">
        <x:f>IFERROR(B315-C315,"")</x:f>
        <x:v>1.96</x:v>
      </x:c>
    </x:row>
    <x:row r="316">
      <x:c r="A316" s="187" t="n">
        <x:v>42830</x:v>
      </x:c>
      <x:c r="B316" s="195" t="n">
        <x:v>2.34</x:v>
      </x:c>
      <x:c r="C316" s="195" t="n">
        <x:v>0.37</x:v>
      </x:c>
      <x:c r="D316" s="195" t="n">
        <x:f>IFERROR(B316-C316,"")</x:f>
        <x:v>1.9699999999999998</x:v>
      </x:c>
    </x:row>
    <x:row r="317">
      <x:c r="A317" s="187" t="n">
        <x:v>42831</x:v>
      </x:c>
      <x:c r="B317" s="195" t="n">
        <x:v>2.34</x:v>
      </x:c>
      <x:c r="C317" s="195" t="n">
        <x:v>0.39</x:v>
      </x:c>
      <x:c r="D317" s="195" t="n">
        <x:f>IFERROR(B317-C317,"")</x:f>
        <x:v>1.9499999999999997</x:v>
      </x:c>
    </x:row>
    <x:row r="318">
      <x:c r="A318" s="187" t="n">
        <x:v>42832</x:v>
      </x:c>
      <x:c r="B318" s="195" t="n">
        <x:v>2.38</x:v>
      </x:c>
      <x:c r="C318" s="195" t="n">
        <x:v>0.44</x:v>
      </x:c>
      <x:c r="D318" s="195" t="n">
        <x:f>IFERROR(B318-C318,"")</x:f>
        <x:v>1.94</x:v>
      </x:c>
    </x:row>
    <x:row r="319">
      <x:c r="A319" s="187" t="n">
        <x:v>42835</x:v>
      </x:c>
      <x:c r="B319" s="195" t="n">
        <x:v>2.37</x:v>
      </x:c>
      <x:c r="C319" s="195" t="n">
        <x:v>0.44</x:v>
      </x:c>
      <x:c r="D319" s="195" t="n">
        <x:f>IFERROR(B319-C319,"")</x:f>
        <x:v>1.9300000000000002</x:v>
      </x:c>
    </x:row>
    <x:row r="320">
      <x:c r="A320" s="187" t="n">
        <x:v>42836</x:v>
      </x:c>
      <x:c r="B320" s="195" t="n">
        <x:v>2.32</x:v>
      </x:c>
      <x:c r="C320" s="195" t="n">
        <x:v>0.41</x:v>
      </x:c>
      <x:c r="D320" s="195" t="n">
        <x:f>IFERROR(B320-C320,"")</x:f>
        <x:v>1.91</x:v>
      </x:c>
    </x:row>
    <x:row r="321">
      <x:c r="A321" s="187" t="n">
        <x:v>42837</x:v>
      </x:c>
      <x:c r="B321" s="195" t="n">
        <x:v>2.28</x:v>
      </x:c>
      <x:c r="C321" s="195" t="n">
        <x:v>0.38</x:v>
      </x:c>
      <x:c r="D321" s="195" t="n">
        <x:f>IFERROR(B321-C321,"")</x:f>
        <x:v>1.9</x:v>
      </x:c>
    </x:row>
    <x:row r="322">
      <x:c r="A322" s="187" t="n">
        <x:v>42838</x:v>
      </x:c>
      <x:c r="B322" s="195" t="n">
        <x:v>2.24</x:v>
      </x:c>
      <x:c r="C322" s="195" t="n">
        <x:v>0.32</x:v>
      </x:c>
      <x:c r="D322" s="195" t="n">
        <x:f>IFERROR(B322-C322,"")</x:f>
        <x:v>1.9200000000000002</x:v>
      </x:c>
    </x:row>
    <x:row r="323">
      <x:c r="A323" s="187" t="n">
        <x:v>42842</x:v>
      </x:c>
      <x:c r="B323" s="195" t="n">
        <x:v>2.26</x:v>
      </x:c>
      <x:c r="C323" s="195" t="n">
        <x:v>0.38</x:v>
      </x:c>
      <x:c r="D323" s="195" t="n">
        <x:f>IFERROR(B323-C323,"")</x:f>
        <x:v>1.88</x:v>
      </x:c>
    </x:row>
    <x:row r="324">
      <x:c r="A324" s="187" t="n">
        <x:v>42843</x:v>
      </x:c>
      <x:c r="B324" s="195" t="n">
        <x:v>2.18</x:v>
      </x:c>
      <x:c r="C324" s="195" t="n">
        <x:v>0.33</x:v>
      </x:c>
      <x:c r="D324" s="195" t="n">
        <x:f>IFERROR(B324-C324,"")</x:f>
        <x:v>1.85</x:v>
      </x:c>
    </x:row>
    <x:row r="325">
      <x:c r="A325" s="187" t="n">
        <x:v>42844</x:v>
      </x:c>
      <x:c r="B325" s="195" t="n">
        <x:v>2.21</x:v>
      </x:c>
      <x:c r="C325" s="195" t="n">
        <x:v>0.36</x:v>
      </x:c>
      <x:c r="D325" s="195" t="n">
        <x:f>IFERROR(B325-C325,"")</x:f>
        <x:v>1.85</x:v>
      </x:c>
    </x:row>
    <x:row r="326">
      <x:c r="A326" s="187" t="n">
        <x:v>42845</x:v>
      </x:c>
      <x:c r="B326" s="195" t="n">
        <x:v>2.24</x:v>
      </x:c>
      <x:c r="C326" s="195" t="n">
        <x:v>0.39</x:v>
      </x:c>
      <x:c r="D326" s="195" t="n">
        <x:f>IFERROR(B326-C326,"")</x:f>
        <x:v>1.85</x:v>
      </x:c>
    </x:row>
    <x:row r="327">
      <x:c r="A327" s="187" t="n">
        <x:v>42846</x:v>
      </x:c>
      <x:c r="B327" s="195" t="n">
        <x:v>2.24</x:v>
      </x:c>
      <x:c r="C327" s="195" t="n">
        <x:v>0.4</x:v>
      </x:c>
      <x:c r="D327" s="195" t="n">
        <x:f>IFERROR(B327-C327,"")</x:f>
        <x:v>1.8400000000000003</x:v>
      </x:c>
    </x:row>
    <x:row r="328">
      <x:c r="A328" s="187" t="n">
        <x:v>42849</x:v>
      </x:c>
      <x:c r="B328" s="195" t="n">
        <x:v>2.28</x:v>
      </x:c>
      <x:c r="C328" s="195" t="n">
        <x:v>0.41</x:v>
      </x:c>
      <x:c r="D328" s="195" t="n">
        <x:f>IFERROR(B328-C328,"")</x:f>
        <x:v>1.8699999999999999</x:v>
      </x:c>
    </x:row>
    <x:row r="329">
      <x:c r="A329" s="187" t="n">
        <x:v>42850</x:v>
      </x:c>
      <x:c r="B329" s="195" t="n">
        <x:v>2.35</x:v>
      </x:c>
      <x:c r="C329" s="195" t="n">
        <x:v>0.44</x:v>
      </x:c>
      <x:c r="D329" s="195" t="n">
        <x:f>IFERROR(B329-C329,"")</x:f>
        <x:v>1.9100000000000001</x:v>
      </x:c>
    </x:row>
    <x:row r="330">
      <x:c r="A330" s="187" t="n">
        <x:v>42851</x:v>
      </x:c>
      <x:c r="B330" s="195" t="n">
        <x:v>2.32</x:v>
      </x:c>
      <x:c r="C330" s="195" t="n">
        <x:v>0.42</x:v>
      </x:c>
      <x:c r="D330" s="195" t="n">
        <x:f>IFERROR(B330-C330,"")</x:f>
        <x:v>1.9</x:v>
      </x:c>
    </x:row>
    <x:row r="331">
      <x:c r="A331" s="187" t="n">
        <x:v>42852</x:v>
      </x:c>
      <x:c r="B331" s="195" t="n">
        <x:v>2.3</x:v>
      </x:c>
      <x:c r="C331" s="195" t="n">
        <x:v>0.39</x:v>
      </x:c>
      <x:c r="D331" s="195" t="n">
        <x:f>IFERROR(B331-C331,"")</x:f>
        <x:v>1.9099999999999997</x:v>
      </x:c>
    </x:row>
    <x:row r="332">
      <x:c r="A332" s="187" t="n">
        <x:v>42853</x:v>
      </x:c>
      <x:c r="B332" s="195" t="n">
        <x:v>2.29</x:v>
      </x:c>
      <x:c r="C332" s="195" t="n">
        <x:v>0.37</x:v>
      </x:c>
      <x:c r="D332" s="195" t="n">
        <x:f>IFERROR(B332-C332,"")</x:f>
        <x:v>1.92</x:v>
      </x:c>
    </x:row>
    <x:row r="333">
      <x:c r="A333" s="187" t="n">
        <x:v>42856</x:v>
      </x:c>
      <x:c r="B333" s="195" t="n">
        <x:v>2.33</x:v>
      </x:c>
      <x:c r="C333" s="195" t="n">
        <x:v>0.41</x:v>
      </x:c>
      <x:c r="D333" s="195" t="n">
        <x:f>IFERROR(B333-C333,"")</x:f>
        <x:v>1.9200000000000002</x:v>
      </x:c>
    </x:row>
    <x:row r="334">
      <x:c r="A334" s="187" t="n">
        <x:v>42857</x:v>
      </x:c>
      <x:c r="B334" s="195" t="n">
        <x:v>2.29</x:v>
      </x:c>
      <x:c r="C334" s="195" t="n">
        <x:v>0.41</x:v>
      </x:c>
      <x:c r="D334" s="195" t="n">
        <x:f>IFERROR(B334-C334,"")</x:f>
        <x:v>1.8800000000000001</x:v>
      </x:c>
    </x:row>
    <x:row r="335">
      <x:c r="A335" s="187" t="n">
        <x:v>42858</x:v>
      </x:c>
      <x:c r="B335" s="195" t="n">
        <x:v>2.33</x:v>
      </x:c>
      <x:c r="C335" s="195" t="n">
        <x:v>0.46</x:v>
      </x:c>
      <x:c r="D335" s="195" t="n">
        <x:f>IFERROR(B335-C335,"")</x:f>
        <x:v>1.87</x:v>
      </x:c>
    </x:row>
    <x:row r="336">
      <x:c r="A336" s="187" t="n">
        <x:v>42859</x:v>
      </x:c>
      <x:c r="B336" s="195" t="n">
        <x:v>2.36</x:v>
      </x:c>
      <x:c r="C336" s="195" t="n">
        <x:v>0.5</x:v>
      </x:c>
      <x:c r="D336" s="195" t="n">
        <x:f>IFERROR(B336-C336,"")</x:f>
        <x:v>1.8599999999999999</x:v>
      </x:c>
    </x:row>
    <x:row r="337">
      <x:c r="A337" s="187" t="n">
        <x:v>42860</x:v>
      </x:c>
      <x:c r="B337" s="195" t="n">
        <x:v>2.36</x:v>
      </x:c>
      <x:c r="C337" s="195" t="n">
        <x:v>0.5</x:v>
      </x:c>
      <x:c r="D337" s="195" t="n">
        <x:f>IFERROR(B337-C337,"")</x:f>
        <x:v>1.8599999999999999</x:v>
      </x:c>
    </x:row>
    <x:row r="338">
      <x:c r="A338" s="187" t="n">
        <x:v>42863</x:v>
      </x:c>
      <x:c r="B338" s="195" t="n">
        <x:v>2.39</x:v>
      </x:c>
      <x:c r="C338" s="195" t="n">
        <x:v>0.53</x:v>
      </x:c>
      <x:c r="D338" s="195" t="n">
        <x:f>IFERROR(B338-C338,"")</x:f>
        <x:v>1.86</x:v>
      </x:c>
    </x:row>
    <x:row r="339">
      <x:c r="A339" s="187" t="n">
        <x:v>42864</x:v>
      </x:c>
      <x:c r="B339" s="195" t="n">
        <x:v>2.42</x:v>
      </x:c>
      <x:c r="C339" s="195" t="n">
        <x:v>0.56</x:v>
      </x:c>
      <x:c r="D339" s="195" t="n">
        <x:f>IFERROR(B339-C339,"")</x:f>
        <x:v>1.8599999999999999</x:v>
      </x:c>
    </x:row>
    <x:row r="340">
      <x:c r="A340" s="187" t="n">
        <x:v>42865</x:v>
      </x:c>
      <x:c r="B340" s="195" t="n">
        <x:v>2.41</x:v>
      </x:c>
      <x:c r="C340" s="195" t="n">
        <x:v>0.56</x:v>
      </x:c>
      <x:c r="D340" s="195" t="n">
        <x:f>IFERROR(B340-C340,"")</x:f>
        <x:v>1.85</x:v>
      </x:c>
    </x:row>
    <x:row r="341">
      <x:c r="A341" s="187" t="n">
        <x:v>42866</x:v>
      </x:c>
      <x:c r="B341" s="195" t="n">
        <x:v>2.39</x:v>
      </x:c>
      <x:c r="C341" s="195" t="n">
        <x:v>0.51</x:v>
      </x:c>
      <x:c r="D341" s="195" t="n">
        <x:f>IFERROR(B341-C341,"")</x:f>
        <x:v>1.8800000000000001</x:v>
      </x:c>
    </x:row>
    <x:row r="342">
      <x:c r="A342" s="187" t="n">
        <x:v>42867</x:v>
      </x:c>
      <x:c r="B342" s="195" t="n">
        <x:v>2.33</x:v>
      </x:c>
      <x:c r="C342" s="195" t="n">
        <x:v>0.49</x:v>
      </x:c>
      <x:c r="D342" s="195" t="n">
        <x:f>IFERROR(B342-C342,"")</x:f>
        <x:v>1.84</x:v>
      </x:c>
    </x:row>
    <x:row r="343">
      <x:c r="A343" s="187" t="n">
        <x:v>42870</x:v>
      </x:c>
      <x:c r="B343" s="195" t="n">
        <x:v>2.34</x:v>
      </x:c>
      <x:c r="C343" s="195" t="n">
        <x:v>0.52</x:v>
      </x:c>
      <x:c r="D343" s="195" t="n">
        <x:f>IFERROR(B343-C343,"")</x:f>
        <x:v>1.8199999999999998</x:v>
      </x:c>
    </x:row>
    <x:row r="344">
      <x:c r="A344" s="187" t="n">
        <x:v>42871</x:v>
      </x:c>
      <x:c r="B344" s="195" t="n">
        <x:v>2.33</x:v>
      </x:c>
      <x:c r="C344" s="195" t="n">
        <x:v>0.51</x:v>
      </x:c>
      <x:c r="D344" s="195" t="n">
        <x:f>IFERROR(B344-C344,"")</x:f>
        <x:v>1.82</x:v>
      </x:c>
    </x:row>
    <x:row r="345">
      <x:c r="A345" s="187" t="n">
        <x:v>42872</x:v>
      </x:c>
      <x:c r="B345" s="195" t="n">
        <x:v>2.22</x:v>
      </x:c>
      <x:c r="C345" s="195" t="n">
        <x:v>0.44</x:v>
      </x:c>
      <x:c r="D345" s="195" t="n">
        <x:f>IFERROR(B345-C345,"")</x:f>
        <x:v>1.7800000000000002</x:v>
      </x:c>
    </x:row>
    <x:row r="346">
      <x:c r="A346" s="187" t="n">
        <x:v>42873</x:v>
      </x:c>
      <x:c r="B346" s="195" t="n">
        <x:v>2.23</x:v>
      </x:c>
      <x:c r="C346" s="195" t="n">
        <x:v>0.43</x:v>
      </x:c>
      <x:c r="D346" s="195" t="n">
        <x:f>IFERROR(B346-C346,"")</x:f>
        <x:v>1.8</x:v>
      </x:c>
    </x:row>
    <x:row r="347">
      <x:c r="A347" s="187" t="n">
        <x:v>42874</x:v>
      </x:c>
      <x:c r="B347" s="195" t="n">
        <x:v>2.23</x:v>
      </x:c>
      <x:c r="C347" s="195" t="n">
        <x:v>0.41</x:v>
      </x:c>
      <x:c r="D347" s="195" t="n">
        <x:f>IFERROR(B347-C347,"")</x:f>
        <x:v>1.82</x:v>
      </x:c>
    </x:row>
    <x:row r="348">
      <x:c r="A348" s="187" t="n">
        <x:v>42877</x:v>
      </x:c>
      <x:c r="B348" s="195" t="n">
        <x:v>2.25</x:v>
      </x:c>
      <x:c r="C348" s="195" t="n">
        <x:v>0.43</x:v>
      </x:c>
      <x:c r="D348" s="195" t="n">
        <x:f>IFERROR(B348-C348,"")</x:f>
        <x:v>1.82</x:v>
      </x:c>
    </x:row>
    <x:row r="349">
      <x:c r="A349" s="187" t="n">
        <x:v>42878</x:v>
      </x:c>
      <x:c r="B349" s="195" t="n">
        <x:v>2.29</x:v>
      </x:c>
      <x:c r="C349" s="195" t="n">
        <x:v>0.46</x:v>
      </x:c>
      <x:c r="D349" s="195" t="n">
        <x:f>IFERROR(B349-C349,"")</x:f>
        <x:v>1.83</x:v>
      </x:c>
    </x:row>
    <x:row r="350">
      <x:c r="A350" s="187" t="n">
        <x:v>42879</x:v>
      </x:c>
      <x:c r="B350" s="195" t="n">
        <x:v>2.26</x:v>
      </x:c>
      <x:c r="C350" s="195" t="n">
        <x:v>0.45</x:v>
      </x:c>
      <x:c r="D350" s="195" t="n">
        <x:f>IFERROR(B350-C350,"")</x:f>
        <x:v>1.8099999999999998</x:v>
      </x:c>
    </x:row>
    <x:row r="351">
      <x:c r="A351" s="187" t="n">
        <x:v>42880</x:v>
      </x:c>
      <x:c r="B351" s="195" t="n">
        <x:v>2.25</x:v>
      </x:c>
      <x:c r="C351" s="195" t="n">
        <x:v>0.45</x:v>
      </x:c>
      <x:c r="D351" s="195" t="n">
        <x:f>IFERROR(B351-C351,"")</x:f>
        <x:v>1.8</x:v>
      </x:c>
    </x:row>
    <x:row r="352">
      <x:c r="A352" s="187" t="n">
        <x:v>42881</x:v>
      </x:c>
      <x:c r="B352" s="195" t="n">
        <x:v>2.25</x:v>
      </x:c>
      <x:c r="C352" s="195" t="n">
        <x:v>0.44</x:v>
      </x:c>
      <x:c r="D352" s="195" t="n">
        <x:f>IFERROR(B352-C352,"")</x:f>
        <x:v>1.81</x:v>
      </x:c>
    </x:row>
    <x:row r="353">
      <x:c r="A353" s="187" t="n">
        <x:v>42885</x:v>
      </x:c>
      <x:c r="B353" s="195" t="n">
        <x:v>2.21</x:v>
      </x:c>
      <x:c r="C353" s="195" t="n">
        <x:v>0.4</x:v>
      </x:c>
      <x:c r="D353" s="195" t="n">
        <x:f>IFERROR(B353-C353,"")</x:f>
        <x:v>1.81</x:v>
      </x:c>
    </x:row>
    <x:row r="354">
      <x:c r="A354" s="187" t="n">
        <x:v>42886</x:v>
      </x:c>
      <x:c r="B354" s="195" t="n">
        <x:v>2.21</x:v>
      </x:c>
      <x:c r="C354" s="195" t="n">
        <x:v>0.4</x:v>
      </x:c>
      <x:c r="D354" s="195" t="n">
        <x:f>IFERROR(B354-C354,"")</x:f>
        <x:v>1.81</x:v>
      </x:c>
    </x:row>
    <x:row r="355">
      <x:c r="A355" s="187" t="n">
        <x:v>42887</x:v>
      </x:c>
      <x:c r="B355" s="195" t="n">
        <x:v>2.21</x:v>
      </x:c>
      <x:c r="C355" s="195" t="n">
        <x:v>0.4</x:v>
      </x:c>
      <x:c r="D355" s="195" t="n">
        <x:f>IFERROR(B355-C355,"")</x:f>
        <x:v>1.81</x:v>
      </x:c>
    </x:row>
    <x:row r="356">
      <x:c r="A356" s="187" t="n">
        <x:v>42888</x:v>
      </x:c>
      <x:c r="B356" s="195" t="n">
        <x:v>2.15</x:v>
      </x:c>
      <x:c r="C356" s="195" t="n">
        <x:v>0.36</x:v>
      </x:c>
      <x:c r="D356" s="195" t="n">
        <x:f>IFERROR(B356-C356,"")</x:f>
        <x:v>1.79</x:v>
      </x:c>
    </x:row>
    <x:row r="357">
      <x:c r="A357" s="187" t="n">
        <x:v>42891</x:v>
      </x:c>
      <x:c r="B357" s="195" t="n">
        <x:v>2.18</x:v>
      </x:c>
      <x:c r="C357" s="195" t="n">
        <x:v>0.39</x:v>
      </x:c>
      <x:c r="D357" s="195" t="n">
        <x:f>IFERROR(B357-C357,"")</x:f>
        <x:v>1.79</x:v>
      </x:c>
    </x:row>
    <x:row r="358">
      <x:c r="A358" s="187" t="n">
        <x:v>42892</x:v>
      </x:c>
      <x:c r="B358" s="195" t="n">
        <x:v>2.14</x:v>
      </x:c>
      <x:c r="C358" s="195" t="n">
        <x:v>0.37</x:v>
      </x:c>
      <x:c r="D358" s="195" t="n">
        <x:f>IFERROR(B358-C358,"")</x:f>
        <x:v>1.77</x:v>
      </x:c>
    </x:row>
    <x:row r="359">
      <x:c r="A359" s="187" t="n">
        <x:v>42893</x:v>
      </x:c>
      <x:c r="B359" s="195" t="n">
        <x:v>2.18</x:v>
      </x:c>
      <x:c r="C359" s="195" t="n">
        <x:v>0.4</x:v>
      </x:c>
      <x:c r="D359" s="195" t="n">
        <x:f>IFERROR(B359-C359,"")</x:f>
        <x:v>1.7800000000000002</x:v>
      </x:c>
    </x:row>
    <x:row r="360">
      <x:c r="A360" s="187" t="n">
        <x:v>42894</x:v>
      </x:c>
      <x:c r="B360" s="195" t="n">
        <x:v>2.19</x:v>
      </x:c>
      <x:c r="C360" s="195" t="n">
        <x:v>0.41</x:v>
      </x:c>
      <x:c r="D360" s="195" t="n">
        <x:f>IFERROR(B360-C360,"")</x:f>
        <x:v>1.78</x:v>
      </x:c>
    </x:row>
    <x:row r="361">
      <x:c r="A361" s="187" t="n">
        <x:v>42895</x:v>
      </x:c>
      <x:c r="B361" s="195" t="n">
        <x:v>2.21</x:v>
      </x:c>
      <x:c r="C361" s="195" t="n">
        <x:v>0.43</x:v>
      </x:c>
      <x:c r="D361" s="195" t="n">
        <x:f>IFERROR(B361-C361,"")</x:f>
        <x:v>1.78</x:v>
      </x:c>
    </x:row>
    <x:row r="362">
      <x:c r="A362" s="187" t="n">
        <x:v>42898</x:v>
      </x:c>
      <x:c r="B362" s="195" t="n">
        <x:v>2.21</x:v>
      </x:c>
      <x:c r="C362" s="195" t="n">
        <x:v>0.46</x:v>
      </x:c>
      <x:c r="D362" s="195" t="n">
        <x:f>IFERROR(B362-C362,"")</x:f>
        <x:v>1.75</x:v>
      </x:c>
    </x:row>
    <x:row r="363">
      <x:c r="A363" s="187" t="n">
        <x:v>42899</x:v>
      </x:c>
      <x:c r="B363" s="195" t="n">
        <x:v>2.21</x:v>
      </x:c>
      <x:c r="C363" s="195" t="n">
        <x:v>0.46</x:v>
      </x:c>
      <x:c r="D363" s="195" t="n">
        <x:f>IFERROR(B363-C363,"")</x:f>
        <x:v>1.75</x:v>
      </x:c>
    </x:row>
    <x:row r="364">
      <x:c r="A364" s="187" t="n">
        <x:v>42900</x:v>
      </x:c>
      <x:c r="B364" s="195" t="n">
        <x:v>2.15</x:v>
      </x:c>
      <x:c r="C364" s="195" t="n">
        <x:v>0.44</x:v>
      </x:c>
      <x:c r="D364" s="195" t="n">
        <x:f>IFERROR(B364-C364,"")</x:f>
        <x:v>1.71</x:v>
      </x:c>
    </x:row>
    <x:row r="365">
      <x:c r="A365" s="187" t="n">
        <x:v>42901</x:v>
      </x:c>
      <x:c r="B365" s="195" t="n">
        <x:v>2.16</x:v>
      </x:c>
      <x:c r="C365" s="195" t="n">
        <x:v>0.49</x:v>
      </x:c>
      <x:c r="D365" s="195" t="n">
        <x:f>IFERROR(B365-C365,"")</x:f>
        <x:v>1.6700000000000002</x:v>
      </x:c>
    </x:row>
    <x:row r="366">
      <x:c r="A366" s="187" t="n">
        <x:v>42902</x:v>
      </x:c>
      <x:c r="B366" s="195" t="n">
        <x:v>2.16</x:v>
      </x:c>
      <x:c r="C366" s="195" t="n">
        <x:v>0.49</x:v>
      </x:c>
      <x:c r="D366" s="195" t="n">
        <x:f>IFERROR(B366-C366,"")</x:f>
        <x:v>1.6700000000000002</x:v>
      </x:c>
    </x:row>
    <x:row r="367">
      <x:c r="A367" s="187" t="n">
        <x:v>42905</x:v>
      </x:c>
      <x:c r="B367" s="195" t="n">
        <x:v>2.19</x:v>
      </x:c>
      <x:c r="C367" s="195" t="n">
        <x:v>0.52</x:v>
      </x:c>
      <x:c r="D367" s="195" t="n">
        <x:f>IFERROR(B367-C367,"")</x:f>
        <x:v>1.67</x:v>
      </x:c>
    </x:row>
    <x:row r="368">
      <x:c r="A368" s="187" t="n">
        <x:v>42906</x:v>
      </x:c>
      <x:c r="B368" s="195" t="n">
        <x:v>2.16</x:v>
      </x:c>
      <x:c r="C368" s="195" t="n">
        <x:v>0.5</x:v>
      </x:c>
      <x:c r="D368" s="195" t="n">
        <x:f>IFERROR(B368-C368,"")</x:f>
        <x:v>1.6600000000000001</x:v>
      </x:c>
    </x:row>
    <x:row r="369">
      <x:c r="A369" s="187" t="n">
        <x:v>42907</x:v>
      </x:c>
      <x:c r="B369" s="195" t="n">
        <x:v>2.16</x:v>
      </x:c>
      <x:c r="C369" s="195" t="n">
        <x:v>0.5</x:v>
      </x:c>
      <x:c r="D369" s="195" t="n">
        <x:f>IFERROR(B369-C369,"")</x:f>
        <x:v>1.6600000000000001</x:v>
      </x:c>
    </x:row>
    <x:row r="370">
      <x:c r="A370" s="187" t="n">
        <x:v>42908</x:v>
      </x:c>
      <x:c r="B370" s="195" t="n">
        <x:v>2.15</x:v>
      </x:c>
      <x:c r="C370" s="195" t="n">
        <x:v>0.46</x:v>
      </x:c>
      <x:c r="D370" s="195" t="n">
        <x:f>IFERROR(B370-C370,"")</x:f>
        <x:v>1.69</x:v>
      </x:c>
    </x:row>
    <x:row r="371">
      <x:c r="A371" s="187" t="n">
        <x:v>42909</x:v>
      </x:c>
      <x:c r="B371" s="195" t="n">
        <x:v>2.15</x:v>
      </x:c>
      <x:c r="C371" s="195" t="n">
        <x:v>0.45</x:v>
      </x:c>
      <x:c r="D371" s="195" t="n">
        <x:f>IFERROR(B371-C371,"")</x:f>
        <x:v>1.7</x:v>
      </x:c>
    </x:row>
    <x:row r="372">
      <x:c r="A372" s="187" t="n">
        <x:v>42912</x:v>
      </x:c>
      <x:c r="B372" s="195" t="n">
        <x:v>2.14</x:v>
      </x:c>
      <x:c r="C372" s="195" t="n">
        <x:v>0.43</x:v>
      </x:c>
      <x:c r="D372" s="195" t="n">
        <x:f>IFERROR(B372-C372,"")</x:f>
        <x:v>1.7100000000000002</x:v>
      </x:c>
    </x:row>
    <x:row r="373">
      <x:c r="A373" s="187" t="n">
        <x:v>42913</x:v>
      </x:c>
      <x:c r="B373" s="195" t="n">
        <x:v>2.21</x:v>
      </x:c>
      <x:c r="C373" s="195" t="n">
        <x:v>0.5</x:v>
      </x:c>
      <x:c r="D373" s="195" t="n">
        <x:f>IFERROR(B373-C373,"")</x:f>
        <x:v>1.71</x:v>
      </x:c>
    </x:row>
    <x:row r="374">
      <x:c r="A374" s="187" t="n">
        <x:v>42914</x:v>
      </x:c>
      <x:c r="B374" s="195" t="n">
        <x:v>2.22</x:v>
      </x:c>
      <x:c r="C374" s="195" t="n">
        <x:v>0.49</x:v>
      </x:c>
      <x:c r="D374" s="195" t="n">
        <x:f>IFERROR(B374-C374,"")</x:f>
        <x:v>1.7300000000000002</x:v>
      </x:c>
    </x:row>
    <x:row r="375">
      <x:c r="A375" s="187" t="n">
        <x:v>42915</x:v>
      </x:c>
      <x:c r="B375" s="195" t="n">
        <x:v>2.27</x:v>
      </x:c>
      <x:c r="C375" s="195" t="n">
        <x:v>0.55</x:v>
      </x:c>
      <x:c r="D375" s="195" t="n">
        <x:f>IFERROR(B375-C375,"")</x:f>
        <x:v>1.72</x:v>
      </x:c>
    </x:row>
    <x:row r="376">
      <x:c r="A376" s="187" t="n">
        <x:v>42916</x:v>
      </x:c>
      <x:c r="B376" s="195" t="n">
        <x:v>2.31</x:v>
      </x:c>
      <x:c r="C376" s="195" t="n">
        <x:v>0.58</x:v>
      </x:c>
      <x:c r="D376" s="195" t="n">
        <x:f>IFERROR(B376-C376,"")</x:f>
        <x:v>1.73</x:v>
      </x:c>
    </x:row>
    <x:row r="377">
      <x:c r="A377" s="187" t="n">
        <x:v>42919</x:v>
      </x:c>
      <x:c r="B377" s="195" t="n">
        <x:v>2.35</x:v>
      </x:c>
      <x:c r="C377" s="195" t="n">
        <x:v>0.6</x:v>
      </x:c>
      <x:c r="D377" s="195" t="n">
        <x:f>IFERROR(B377-C377,"")</x:f>
        <x:v>1.75</x:v>
      </x:c>
    </x:row>
    <x:row r="378">
      <x:c r="A378" s="187" t="n">
        <x:v>42921</x:v>
      </x:c>
      <x:c r="B378" s="195" t="n">
        <x:v>2.33</x:v>
      </x:c>
      <x:c r="C378" s="195" t="n">
        <x:v>0.58</x:v>
      </x:c>
      <x:c r="D378" s="195" t="n">
        <x:f>IFERROR(B378-C378,"")</x:f>
        <x:v>1.75</x:v>
      </x:c>
    </x:row>
    <x:row r="379">
      <x:c r="A379" s="187" t="n">
        <x:v>42922</x:v>
      </x:c>
      <x:c r="B379" s="195" t="n">
        <x:v>2.37</x:v>
      </x:c>
      <x:c r="C379" s="195" t="n">
        <x:v>0.61</x:v>
      </x:c>
      <x:c r="D379" s="195" t="n">
        <x:f>IFERROR(B379-C379,"")</x:f>
        <x:v>1.7600000000000002</x:v>
      </x:c>
    </x:row>
    <x:row r="380">
      <x:c r="A380" s="187" t="n">
        <x:v>42923</x:v>
      </x:c>
      <x:c r="B380" s="195" t="n">
        <x:v>2.39</x:v>
      </x:c>
      <x:c r="C380" s="195" t="n">
        <x:v>0.66</x:v>
      </x:c>
      <x:c r="D380" s="195" t="n">
        <x:f>IFERROR(B380-C380,"")</x:f>
        <x:v>1.73</x:v>
      </x:c>
    </x:row>
    <x:row r="381">
      <x:c r="A381" s="187" t="n">
        <x:v>42926</x:v>
      </x:c>
      <x:c r="B381" s="195" t="n">
        <x:v>2.38</x:v>
      </x:c>
      <x:c r="C381" s="195" t="n">
        <x:v>0.66</x:v>
      </x:c>
      <x:c r="D381" s="195" t="n">
        <x:f>IFERROR(B381-C381,"")</x:f>
        <x:v>1.7199999999999998</x:v>
      </x:c>
    </x:row>
    <x:row r="382">
      <x:c r="A382" s="187" t="n">
        <x:v>42927</x:v>
      </x:c>
      <x:c r="B382" s="195" t="n">
        <x:v>2.37</x:v>
      </x:c>
      <x:c r="C382" s="195" t="n">
        <x:v>0.62</x:v>
      </x:c>
      <x:c r="D382" s="195" t="n">
        <x:f>IFERROR(B382-C382,"")</x:f>
        <x:v>1.75</x:v>
      </x:c>
    </x:row>
    <x:row r="383">
      <x:c r="A383" s="187" t="n">
        <x:v>42928</x:v>
      </x:c>
      <x:c r="B383" s="195" t="n">
        <x:v>2.33</x:v>
      </x:c>
      <x:c r="C383" s="195" t="n">
        <x:v>0.57</x:v>
      </x:c>
      <x:c r="D383" s="195" t="n">
        <x:f>IFERROR(B383-C383,"")</x:f>
        <x:v>1.7600000000000002</x:v>
      </x:c>
    </x:row>
    <x:row r="384">
      <x:c r="A384" s="187" t="n">
        <x:v>42929</x:v>
      </x:c>
      <x:c r="B384" s="195" t="n">
        <x:v>2.35</x:v>
      </x:c>
      <x:c r="C384" s="195" t="n">
        <x:v>0.58</x:v>
      </x:c>
      <x:c r="D384" s="195" t="n">
        <x:f>IFERROR(B384-C384,"")</x:f>
        <x:v>1.77</x:v>
      </x:c>
    </x:row>
    <x:row r="385">
      <x:c r="A385" s="187" t="n">
        <x:v>42930</x:v>
      </x:c>
      <x:c r="B385" s="195" t="n">
        <x:v>2.33</x:v>
      </x:c>
      <x:c r="C385" s="195" t="n">
        <x:v>0.57</x:v>
      </x:c>
      <x:c r="D385" s="195" t="n">
        <x:f>IFERROR(B385-C385,"")</x:f>
        <x:v>1.7600000000000002</x:v>
      </x:c>
    </x:row>
    <x:row r="386">
      <x:c r="A386" s="187" t="n">
        <x:v>42933</x:v>
      </x:c>
      <x:c r="B386" s="195" t="n">
        <x:v>2.31</x:v>
      </x:c>
      <x:c r="C386" s="195" t="n">
        <x:v>0.54</x:v>
      </x:c>
      <x:c r="D386" s="195" t="n">
        <x:f>IFERROR(B386-C386,"")</x:f>
        <x:v>1.77</x:v>
      </x:c>
    </x:row>
    <x:row r="387">
      <x:c r="A387" s="187" t="n">
        <x:v>42934</x:v>
      </x:c>
      <x:c r="B387" s="195" t="n">
        <x:v>2.27</x:v>
      </x:c>
      <x:c r="C387" s="195" t="n">
        <x:v>0.51</x:v>
      </x:c>
      <x:c r="D387" s="195" t="n">
        <x:f>IFERROR(B387-C387,"")</x:f>
        <x:v>1.76</x:v>
      </x:c>
    </x:row>
    <x:row r="388">
      <x:c r="A388" s="187" t="n">
        <x:v>42935</x:v>
      </x:c>
      <x:c r="B388" s="195" t="n">
        <x:v>2.27</x:v>
      </x:c>
      <x:c r="C388" s="195" t="n">
        <x:v>0.51</x:v>
      </x:c>
      <x:c r="D388" s="195" t="n">
        <x:f>IFERROR(B388-C388,"")</x:f>
        <x:v>1.76</x:v>
      </x:c>
    </x:row>
    <x:row r="389">
      <x:c r="A389" s="187" t="n">
        <x:v>42936</x:v>
      </x:c>
      <x:c r="B389" s="195" t="n">
        <x:v>2.27</x:v>
      </x:c>
      <x:c r="C389" s="195" t="n">
        <x:v>0.5</x:v>
      </x:c>
      <x:c r="D389" s="195" t="n">
        <x:f>IFERROR(B389-C389,"")</x:f>
        <x:v>1.77</x:v>
      </x:c>
    </x:row>
    <x:row r="390">
      <x:c r="A390" s="187" t="n">
        <x:v>42937</x:v>
      </x:c>
      <x:c r="B390" s="195" t="n">
        <x:v>2.24</x:v>
      </x:c>
      <x:c r="C390" s="195" t="n">
        <x:v>0.48</x:v>
      </x:c>
      <x:c r="D390" s="195" t="n">
        <x:f>IFERROR(B390-C390,"")</x:f>
        <x:v>1.7600000000000002</x:v>
      </x:c>
    </x:row>
    <x:row r="391">
      <x:c r="A391" s="187" t="n">
        <x:v>42940</x:v>
      </x:c>
      <x:c r="B391" s="195" t="n">
        <x:v>2.26</x:v>
      </x:c>
      <x:c r="C391" s="195" t="n">
        <x:v>0.48</x:v>
      </x:c>
      <x:c r="D391" s="195" t="n">
        <x:f>IFERROR(B391-C391,"")</x:f>
        <x:v>1.7799999999999998</x:v>
      </x:c>
    </x:row>
    <x:row r="392">
      <x:c r="A392" s="187" t="n">
        <x:v>42941</x:v>
      </x:c>
      <x:c r="B392" s="195" t="n">
        <x:v>2.33</x:v>
      </x:c>
      <x:c r="C392" s="195" t="n">
        <x:v>0.52</x:v>
      </x:c>
      <x:c r="D392" s="195" t="n">
        <x:f>IFERROR(B392-C392,"")</x:f>
        <x:v>1.81</x:v>
      </x:c>
    </x:row>
    <x:row r="393">
      <x:c r="A393" s="187" t="n">
        <x:v>42942</x:v>
      </x:c>
      <x:c r="B393" s="195" t="n">
        <x:v>2.29</x:v>
      </x:c>
      <x:c r="C393" s="195" t="n">
        <x:v>0.49</x:v>
      </x:c>
      <x:c r="D393" s="195" t="n">
        <x:f>IFERROR(B393-C393,"")</x:f>
        <x:v>1.8</x:v>
      </x:c>
    </x:row>
    <x:row r="394">
      <x:c r="A394" s="187" t="n">
        <x:v>42943</x:v>
      </x:c>
      <x:c r="B394" s="195" t="n">
        <x:v>2.32</x:v>
      </x:c>
      <x:c r="C394" s="195" t="n">
        <x:v>0.49</x:v>
      </x:c>
      <x:c r="D394" s="195" t="n">
        <x:f>IFERROR(B394-C394,"")</x:f>
        <x:v>1.8299999999999998</x:v>
      </x:c>
    </x:row>
    <x:row r="395">
      <x:c r="A395" s="187" t="n">
        <x:v>42944</x:v>
      </x:c>
      <x:c r="B395" s="195" t="n">
        <x:v>2.3</x:v>
      </x:c>
      <x:c r="C395" s="195" t="n">
        <x:v>0.47</x:v>
      </x:c>
      <x:c r="D395" s="195" t="n">
        <x:f>IFERROR(B395-C395,"")</x:f>
        <x:v>1.8299999999999998</x:v>
      </x:c>
    </x:row>
    <x:row r="396">
      <x:c r="A396" s="187" t="n">
        <x:v>42947</x:v>
      </x:c>
      <x:c r="B396" s="195" t="n">
        <x:v>2.3</x:v>
      </x:c>
      <x:c r="C396" s="195" t="n">
        <x:v>0.48</x:v>
      </x:c>
      <x:c r="D396" s="195" t="n">
        <x:f>IFERROR(B396-C396,"")</x:f>
        <x:v>1.8199999999999998</x:v>
      </x:c>
    </x:row>
    <x:row r="397">
      <x:c r="A397" s="187" t="n">
        <x:v>42948</x:v>
      </x:c>
      <x:c r="B397" s="195" t="n">
        <x:v>2.26</x:v>
      </x:c>
      <x:c r="C397" s="195" t="n">
        <x:v>0.47</x:v>
      </x:c>
      <x:c r="D397" s="195" t="n">
        <x:f>IFERROR(B397-C397,"")</x:f>
        <x:v>1.7899999999999998</x:v>
      </x:c>
    </x:row>
    <x:row r="398">
      <x:c r="A398" s="187" t="n">
        <x:v>42949</x:v>
      </x:c>
      <x:c r="B398" s="195" t="n">
        <x:v>2.27</x:v>
      </x:c>
      <x:c r="C398" s="195" t="n">
        <x:v>0.48</x:v>
      </x:c>
      <x:c r="D398" s="195" t="n">
        <x:f>IFERROR(B398-C398,"")</x:f>
        <x:v>1.79</x:v>
      </x:c>
    </x:row>
    <x:row r="399">
      <x:c r="A399" s="187" t="n">
        <x:v>42950</x:v>
      </x:c>
      <x:c r="B399" s="195" t="n">
        <x:v>2.24</x:v>
      </x:c>
      <x:c r="C399" s="195" t="n">
        <x:v>0.46</x:v>
      </x:c>
      <x:c r="D399" s="195" t="n">
        <x:f>IFERROR(B399-C399,"")</x:f>
        <x:v>1.7800000000000002</x:v>
      </x:c>
    </x:row>
    <x:row r="400">
      <x:c r="A400" s="187" t="n">
        <x:v>42951</x:v>
      </x:c>
      <x:c r="B400" s="195" t="n">
        <x:v>2.27</x:v>
      </x:c>
      <x:c r="C400" s="195" t="n">
        <x:v>0.47</x:v>
      </x:c>
      <x:c r="D400" s="195" t="n">
        <x:f>IFERROR(B400-C400,"")</x:f>
        <x:v>1.8</x:v>
      </x:c>
    </x:row>
    <x:row r="401">
      <x:c r="A401" s="187" t="n">
        <x:v>42954</x:v>
      </x:c>
      <x:c r="B401" s="195" t="n">
        <x:v>2.26</x:v>
      </x:c>
      <x:c r="C401" s="195" t="n">
        <x:v>0.46</x:v>
      </x:c>
      <x:c r="D401" s="195" t="n">
        <x:f>IFERROR(B401-C401,"")</x:f>
        <x:v>1.7999999999999998</x:v>
      </x:c>
    </x:row>
    <x:row r="402">
      <x:c r="A402" s="187" t="n">
        <x:v>42955</x:v>
      </x:c>
      <x:c r="B402" s="195" t="n">
        <x:v>2.29</x:v>
      </x:c>
      <x:c r="C402" s="195" t="n">
        <x:v>0.46</x:v>
      </x:c>
      <x:c r="D402" s="195" t="n">
        <x:f>IFERROR(B402-C402,"")</x:f>
        <x:v>1.83</x:v>
      </x:c>
    </x:row>
    <x:row r="403">
      <x:c r="A403" s="187" t="n">
        <x:v>42956</x:v>
      </x:c>
      <x:c r="B403" s="195" t="n">
        <x:v>2.24</x:v>
      </x:c>
      <x:c r="C403" s="195" t="n">
        <x:v>0.42</x:v>
      </x:c>
      <x:c r="D403" s="195" t="n">
        <x:f>IFERROR(B403-C403,"")</x:f>
        <x:v>1.8200000000000003</x:v>
      </x:c>
    </x:row>
    <x:row r="404">
      <x:c r="A404" s="187" t="n">
        <x:v>42957</x:v>
      </x:c>
      <x:c r="B404" s="195" t="n">
        <x:v>2.2</x:v>
      </x:c>
      <x:c r="C404" s="195" t="n">
        <x:v>0.4</x:v>
      </x:c>
      <x:c r="D404" s="195" t="n">
        <x:f>IFERROR(B404-C404,"")</x:f>
        <x:v>1.8000000000000003</x:v>
      </x:c>
    </x:row>
    <x:row r="405">
      <x:c r="A405" s="187" t="n">
        <x:v>42958</x:v>
      </x:c>
      <x:c r="B405" s="195" t="n">
        <x:v>2.19</x:v>
      </x:c>
      <x:c r="C405" s="195" t="n">
        <x:v>0.4</x:v>
      </x:c>
      <x:c r="D405" s="195" t="n">
        <x:f>IFERROR(B405-C405,"")</x:f>
        <x:v>1.79</x:v>
      </x:c>
    </x:row>
    <x:row r="406">
      <x:c r="A406" s="187" t="n">
        <x:v>42961</x:v>
      </x:c>
      <x:c r="B406" s="195" t="n">
        <x:v>2.22</x:v>
      </x:c>
      <x:c r="C406" s="195" t="n">
        <x:v>0.45</x:v>
      </x:c>
      <x:c r="D406" s="195" t="n">
        <x:f>IFERROR(B406-C406,"")</x:f>
        <x:v>1.7700000000000002</x:v>
      </x:c>
    </x:row>
    <x:row r="407">
      <x:c r="A407" s="187" t="n">
        <x:v>42962</x:v>
      </x:c>
      <x:c r="B407" s="195" t="n">
        <x:v>2.27</x:v>
      </x:c>
      <x:c r="C407" s="195" t="n">
        <x:v>0.49</x:v>
      </x:c>
      <x:c r="D407" s="195" t="n">
        <x:f>IFERROR(B407-C407,"")</x:f>
        <x:v>1.78</x:v>
      </x:c>
    </x:row>
    <x:row r="408">
      <x:c r="A408" s="187" t="n">
        <x:v>42963</x:v>
      </x:c>
      <x:c r="B408" s="195" t="n">
        <x:v>2.23</x:v>
      </x:c>
      <x:c r="C408" s="195" t="n">
        <x:v>0.45</x:v>
      </x:c>
      <x:c r="D408" s="195" t="n">
        <x:f>IFERROR(B408-C408,"")</x:f>
        <x:v>1.78</x:v>
      </x:c>
    </x:row>
    <x:row r="409">
      <x:c r="A409" s="187" t="n">
        <x:v>42964</x:v>
      </x:c>
      <x:c r="B409" s="195" t="n">
        <x:v>2.19</x:v>
      </x:c>
      <x:c r="C409" s="195" t="n">
        <x:v>0.42</x:v>
      </x:c>
      <x:c r="D409" s="195" t="n">
        <x:f>IFERROR(B409-C409,"")</x:f>
        <x:v>1.77</x:v>
      </x:c>
    </x:row>
    <x:row r="410">
      <x:c r="A410" s="187" t="n">
        <x:v>42965</x:v>
      </x:c>
      <x:c r="B410" s="195" t="n">
        <x:v>2.19</x:v>
      </x:c>
      <x:c r="C410" s="195" t="n">
        <x:v>0.43</x:v>
      </x:c>
      <x:c r="D410" s="195" t="n">
        <x:f>IFERROR(B410-C410,"")</x:f>
        <x:v>1.76</x:v>
      </x:c>
    </x:row>
    <x:row r="411">
      <x:c r="A411" s="187" t="n">
        <x:v>42968</x:v>
      </x:c>
      <x:c r="B411" s="195" t="n">
        <x:v>2.18</x:v>
      </x:c>
      <x:c r="C411" s="195" t="n">
        <x:v>0.43</x:v>
      </x:c>
      <x:c r="D411" s="195" t="n">
        <x:f>IFERROR(B411-C411,"")</x:f>
        <x:v>1.7500000000000002</x:v>
      </x:c>
    </x:row>
    <x:row r="412">
      <x:c r="A412" s="187" t="n">
        <x:v>42969</x:v>
      </x:c>
      <x:c r="B412" s="195" t="n">
        <x:v>2.22</x:v>
      </x:c>
      <x:c r="C412" s="195" t="n">
        <x:v>0.45</x:v>
      </x:c>
      <x:c r="D412" s="195" t="n">
        <x:f>IFERROR(B412-C412,"")</x:f>
        <x:v>1.7700000000000002</x:v>
      </x:c>
    </x:row>
    <x:row r="413">
      <x:c r="A413" s="187" t="n">
        <x:v>42970</x:v>
      </x:c>
      <x:c r="B413" s="195" t="n">
        <x:v>2.17</x:v>
      </x:c>
      <x:c r="C413" s="195" t="n">
        <x:v>0.42</x:v>
      </x:c>
      <x:c r="D413" s="195" t="n">
        <x:f>IFERROR(B413-C413,"")</x:f>
        <x:v>1.75</x:v>
      </x:c>
    </x:row>
    <x:row r="414">
      <x:c r="A414" s="187" t="n">
        <x:v>42971</x:v>
      </x:c>
      <x:c r="B414" s="195" t="n">
        <x:v>2.19</x:v>
      </x:c>
      <x:c r="C414" s="195" t="n">
        <x:v>0.44</x:v>
      </x:c>
      <x:c r="D414" s="195" t="n">
        <x:f>IFERROR(B414-C414,"")</x:f>
        <x:v>1.75</x:v>
      </x:c>
    </x:row>
    <x:row r="415">
      <x:c r="A415" s="187" t="n">
        <x:v>42972</x:v>
      </x:c>
      <x:c r="B415" s="195" t="n">
        <x:v>2.17</x:v>
      </x:c>
      <x:c r="C415" s="195" t="n">
        <x:v>0.42</x:v>
      </x:c>
      <x:c r="D415" s="195" t="n">
        <x:f>IFERROR(B415-C415,"")</x:f>
        <x:v>1.75</x:v>
      </x:c>
    </x:row>
    <x:row r="416">
      <x:c r="A416" s="187" t="n">
        <x:v>42975</x:v>
      </x:c>
      <x:c r="B416" s="195" t="n">
        <x:v>2.16</x:v>
      </x:c>
      <x:c r="C416" s="195" t="n">
        <x:v>0.41</x:v>
      </x:c>
      <x:c r="D416" s="195" t="n">
        <x:f>IFERROR(B416-C416,"")</x:f>
        <x:v>1.7500000000000002</x:v>
      </x:c>
    </x:row>
    <x:row r="417">
      <x:c r="A417" s="187" t="n">
        <x:v>42976</x:v>
      </x:c>
      <x:c r="B417" s="195" t="n">
        <x:v>2.13</x:v>
      </x:c>
      <x:c r="C417" s="195" t="n">
        <x:v>0.39</x:v>
      </x:c>
      <x:c r="D417" s="195" t="n">
        <x:f>IFERROR(B417-C417,"")</x:f>
        <x:v>1.7399999999999998</x:v>
      </x:c>
    </x:row>
    <x:row r="418">
      <x:c r="A418" s="187" t="n">
        <x:v>42977</x:v>
      </x:c>
      <x:c r="B418" s="195" t="n">
        <x:v>2.15</x:v>
      </x:c>
      <x:c r="C418" s="195" t="n">
        <x:v>0.39</x:v>
      </x:c>
      <x:c r="D418" s="195" t="n">
        <x:f>IFERROR(B418-C418,"")</x:f>
        <x:v>1.7599999999999998</x:v>
      </x:c>
    </x:row>
    <x:row r="419">
      <x:c r="A419" s="187" t="n">
        <x:v>42978</x:v>
      </x:c>
      <x:c r="B419" s="195" t="n">
        <x:v>2.12</x:v>
      </x:c>
      <x:c r="C419" s="195" t="n">
        <x:v>0.36</x:v>
      </x:c>
      <x:c r="D419" s="195" t="n">
        <x:f>IFERROR(B419-C419,"")</x:f>
        <x:v>1.7600000000000002</x:v>
      </x:c>
    </x:row>
    <x:row r="420">
      <x:c r="A420" s="187" t="n">
        <x:v>42979</x:v>
      </x:c>
      <x:c r="B420" s="195" t="n">
        <x:v>2.16</x:v>
      </x:c>
      <x:c r="C420" s="195" t="n">
        <x:v>0.37</x:v>
      </x:c>
      <x:c r="D420" s="195" t="n">
        <x:f>IFERROR(B420-C420,"")</x:f>
        <x:v>1.79</x:v>
      </x:c>
    </x:row>
    <x:row r="421">
      <x:c r="A421" s="187" t="n">
        <x:v>42983</x:v>
      </x:c>
      <x:c r="B421" s="195" t="n">
        <x:v>2.07</x:v>
      </x:c>
      <x:c r="C421" s="195" t="n">
        <x:v>0.3</x:v>
      </x:c>
      <x:c r="D421" s="195" t="n">
        <x:f>IFERROR(B421-C421,"")</x:f>
        <x:v>1.7699999999999998</x:v>
      </x:c>
    </x:row>
    <x:row r="422">
      <x:c r="A422" s="187" t="n">
        <x:v>42984</x:v>
      </x:c>
      <x:c r="B422" s="195" t="n">
        <x:v>2.1</x:v>
      </x:c>
      <x:c r="C422" s="195" t="n">
        <x:v>0.32</x:v>
      </x:c>
      <x:c r="D422" s="195" t="n">
        <x:f>IFERROR(B422-C422,"")</x:f>
        <x:v>1.78</x:v>
      </x:c>
    </x:row>
    <x:row r="423">
      <x:c r="A423" s="187" t="n">
        <x:v>42985</x:v>
      </x:c>
      <x:c r="B423" s="195" t="n">
        <x:v>2.05</x:v>
      </x:c>
      <x:c r="C423" s="195" t="n">
        <x:v>0.26</x:v>
      </x:c>
      <x:c r="D423" s="195" t="n">
        <x:f>IFERROR(B423-C423,"")</x:f>
        <x:v>1.7899999999999998</x:v>
      </x:c>
    </x:row>
    <x:row r="424">
      <x:c r="A424" s="187" t="n">
        <x:v>42986</x:v>
      </x:c>
      <x:c r="B424" s="195" t="n">
        <x:v>2.06</x:v>
      </x:c>
      <x:c r="C424" s="195" t="n">
        <x:v>0.25</x:v>
      </x:c>
      <x:c r="D424" s="195" t="n">
        <x:f>IFERROR(B424-C424,"")</x:f>
        <x:v>1.81</x:v>
      </x:c>
    </x:row>
    <x:row r="425">
      <x:c r="A425" s="187" t="n">
        <x:v>42989</x:v>
      </x:c>
      <x:c r="B425" s="195" t="n">
        <x:v>2.14</x:v>
      </x:c>
      <x:c r="C425" s="195" t="n">
        <x:v>0.31</x:v>
      </x:c>
      <x:c r="D425" s="195" t="n">
        <x:f>IFERROR(B425-C425,"")</x:f>
        <x:v>1.83</x:v>
      </x:c>
    </x:row>
    <x:row r="426">
      <x:c r="A426" s="187" t="n">
        <x:v>42990</x:v>
      </x:c>
      <x:c r="B426" s="195" t="n">
        <x:v>2.17</x:v>
      </x:c>
      <x:c r="C426" s="195" t="n">
        <x:v>0.33</x:v>
      </x:c>
      <x:c r="D426" s="195" t="n">
        <x:f>IFERROR(B426-C426,"")</x:f>
        <x:v>1.8399999999999999</x:v>
      </x:c>
    </x:row>
    <x:row r="427">
      <x:c r="A427" s="187" t="n">
        <x:v>42991</x:v>
      </x:c>
      <x:c r="B427" s="195" t="n">
        <x:v>2.2</x:v>
      </x:c>
      <x:c r="C427" s="195" t="n">
        <x:v>0.35</x:v>
      </x:c>
      <x:c r="D427" s="195" t="n">
        <x:f>IFERROR(B427-C427,"")</x:f>
        <x:v>1.85</x:v>
      </x:c>
    </x:row>
    <x:row r="428">
      <x:c r="A428" s="187" t="n">
        <x:v>42992</x:v>
      </x:c>
      <x:c r="B428" s="195" t="n">
        <x:v>2.2</x:v>
      </x:c>
      <x:c r="C428" s="195" t="n">
        <x:v>0.35</x:v>
      </x:c>
      <x:c r="D428" s="195" t="n">
        <x:f>IFERROR(B428-C428,"")</x:f>
        <x:v>1.85</x:v>
      </x:c>
    </x:row>
    <x:row r="429">
      <x:c r="A429" s="187" t="n">
        <x:v>42993</x:v>
      </x:c>
      <x:c r="B429" s="195" t="n">
        <x:v>2.2</x:v>
      </x:c>
      <x:c r="C429" s="195" t="n">
        <x:v>0.35</x:v>
      </x:c>
      <x:c r="D429" s="195" t="n">
        <x:f>IFERROR(B429-C429,"")</x:f>
        <x:v>1.85</x:v>
      </x:c>
    </x:row>
    <x:row r="430">
      <x:c r="A430" s="187" t="n">
        <x:v>42996</x:v>
      </x:c>
      <x:c r="B430" s="195" t="n">
        <x:v>2.23</x:v>
      </x:c>
      <x:c r="C430" s="195" t="n">
        <x:v>0.36</x:v>
      </x:c>
      <x:c r="D430" s="195" t="n">
        <x:f>IFERROR(B430-C430,"")</x:f>
        <x:v>1.87</x:v>
      </x:c>
    </x:row>
    <x:row r="431">
      <x:c r="A431" s="187" t="n">
        <x:v>42997</x:v>
      </x:c>
      <x:c r="B431" s="195" t="n">
        <x:v>2.24</x:v>
      </x:c>
      <x:c r="C431" s="195" t="n">
        <x:v>0.37</x:v>
      </x:c>
      <x:c r="D431" s="195" t="n">
        <x:f>IFERROR(B431-C431,"")</x:f>
        <x:v>1.87</x:v>
      </x:c>
    </x:row>
    <x:row r="432">
      <x:c r="A432" s="187" t="n">
        <x:v>42998</x:v>
      </x:c>
      <x:c r="B432" s="195" t="n">
        <x:v>2.28</x:v>
      </x:c>
      <x:c r="C432" s="195" t="n">
        <x:v>0.43</x:v>
      </x:c>
      <x:c r="D432" s="195" t="n">
        <x:f>IFERROR(B432-C432,"")</x:f>
        <x:v>1.8499999999999999</x:v>
      </x:c>
    </x:row>
    <x:row r="433">
      <x:c r="A433" s="187" t="n">
        <x:v>42999</x:v>
      </x:c>
      <x:c r="B433" s="195" t="n">
        <x:v>2.27</x:v>
      </x:c>
      <x:c r="C433" s="195" t="n">
        <x:v>0.44</x:v>
      </x:c>
      <x:c r="D433" s="195" t="n">
        <x:f>IFERROR(B433-C433,"")</x:f>
        <x:v>1.83</x:v>
      </x:c>
    </x:row>
    <x:row r="434">
      <x:c r="A434" s="187" t="n">
        <x:v>43000</x:v>
      </x:c>
      <x:c r="B434" s="195" t="n">
        <x:v>2.26</x:v>
      </x:c>
      <x:c r="C434" s="195" t="n">
        <x:v>0.42</x:v>
      </x:c>
      <x:c r="D434" s="195" t="n">
        <x:f>IFERROR(B434-C434,"")</x:f>
        <x:v>1.8399999999999999</x:v>
      </x:c>
    </x:row>
    <x:row r="435">
      <x:c r="A435" s="187" t="n">
        <x:v>43003</x:v>
      </x:c>
      <x:c r="B435" s="195" t="n">
        <x:v>2.22</x:v>
      </x:c>
      <x:c r="C435" s="195" t="n">
        <x:v>0.38</x:v>
      </x:c>
      <x:c r="D435" s="195" t="n">
        <x:f>IFERROR(B435-C435,"")</x:f>
        <x:v>1.8400000000000003</x:v>
      </x:c>
    </x:row>
    <x:row r="436">
      <x:c r="A436" s="187" t="n">
        <x:v>43004</x:v>
      </x:c>
      <x:c r="B436" s="195" t="n">
        <x:v>2.24</x:v>
      </x:c>
      <x:c r="C436" s="195" t="n">
        <x:v>0.4</x:v>
      </x:c>
      <x:c r="D436" s="195" t="n">
        <x:f>IFERROR(B436-C436,"")</x:f>
        <x:v>1.8400000000000003</x:v>
      </x:c>
    </x:row>
    <x:row r="437">
      <x:c r="A437" s="187" t="n">
        <x:v>43005</x:v>
      </x:c>
      <x:c r="B437" s="195" t="n">
        <x:v>2.31</x:v>
      </x:c>
      <x:c r="C437" s="195" t="n">
        <x:v>0.44</x:v>
      </x:c>
      <x:c r="D437" s="195" t="n">
        <x:f>IFERROR(B437-C437,"")</x:f>
        <x:v>1.87</x:v>
      </x:c>
    </x:row>
    <x:row r="438">
      <x:c r="A438" s="187" t="n">
        <x:v>43006</x:v>
      </x:c>
      <x:c r="B438" s="195" t="n">
        <x:v>2.31</x:v>
      </x:c>
      <x:c r="C438" s="195" t="n">
        <x:v>0.44</x:v>
      </x:c>
      <x:c r="D438" s="195" t="n">
        <x:f>IFERROR(B438-C438,"")</x:f>
        <x:v>1.87</x:v>
      </x:c>
    </x:row>
    <x:row r="439">
      <x:c r="A439" s="187" t="n">
        <x:v>43007</x:v>
      </x:c>
      <x:c r="B439" s="195" t="n">
        <x:v>2.33</x:v>
      </x:c>
      <x:c r="C439" s="195" t="n">
        <x:v>0.49</x:v>
      </x:c>
      <x:c r="D439" s="195" t="n">
        <x:f>IFERROR(B439-C439,"")</x:f>
        <x:v>1.84</x:v>
      </x:c>
    </x:row>
    <x:row r="440">
      <x:c r="A440" s="187" t="n">
        <x:v>43010</x:v>
      </x:c>
      <x:c r="B440" s="195" t="n">
        <x:v>2.34</x:v>
      </x:c>
      <x:c r="C440" s="195" t="n">
        <x:v>0.51</x:v>
      </x:c>
      <x:c r="D440" s="195" t="n">
        <x:f>IFERROR(B440-C440,"")</x:f>
        <x:v>1.8299999999999998</x:v>
      </x:c>
    </x:row>
    <x:row r="441">
      <x:c r="A441" s="187" t="n">
        <x:v>43011</x:v>
      </x:c>
      <x:c r="B441" s="195" t="n">
        <x:v>2.33</x:v>
      </x:c>
      <x:c r="C441" s="195" t="n">
        <x:v>0.49</x:v>
      </x:c>
      <x:c r="D441" s="195" t="n">
        <x:f>IFERROR(B441-C441,"")</x:f>
        <x:v>1.84</x:v>
      </x:c>
    </x:row>
    <x:row r="442">
      <x:c r="A442" s="187" t="n">
        <x:v>43012</x:v>
      </x:c>
      <x:c r="B442" s="195" t="n">
        <x:v>2.33</x:v>
      </x:c>
      <x:c r="C442" s="195" t="n">
        <x:v>0.48</x:v>
      </x:c>
      <x:c r="D442" s="195" t="n">
        <x:f>IFERROR(B442-C442,"")</x:f>
        <x:v>1.85</x:v>
      </x:c>
    </x:row>
    <x:row r="443">
      <x:c r="A443" s="187" t="n">
        <x:v>43013</x:v>
      </x:c>
      <x:c r="B443" s="195" t="n">
        <x:v>2.35</x:v>
      </x:c>
      <x:c r="C443" s="195" t="n">
        <x:v>0.49</x:v>
      </x:c>
      <x:c r="D443" s="195" t="n">
        <x:f>IFERROR(B443-C443,"")</x:f>
        <x:v>1.86</x:v>
      </x:c>
    </x:row>
    <x:row r="444">
      <x:c r="A444" s="187" t="n">
        <x:v>43014</x:v>
      </x:c>
      <x:c r="B444" s="195" t="n">
        <x:v>2.37</x:v>
      </x:c>
      <x:c r="C444" s="195" t="n">
        <x:v>0.5</x:v>
      </x:c>
      <x:c r="D444" s="195" t="n">
        <x:f>IFERROR(B444-C444,"")</x:f>
        <x:v>1.87</x:v>
      </x:c>
    </x:row>
    <x:row r="445">
      <x:c r="A445" s="187" t="n">
        <x:v>43018</x:v>
      </x:c>
      <x:c r="B445" s="195" t="n">
        <x:v>2.35</x:v>
      </x:c>
      <x:c r="C445" s="195" t="n">
        <x:v>0.47</x:v>
      </x:c>
      <x:c r="D445" s="195" t="n">
        <x:f>IFERROR(B445-C445,"")</x:f>
        <x:v>1.8800000000000001</x:v>
      </x:c>
    </x:row>
    <x:row r="446">
      <x:c r="A446" s="187" t="n">
        <x:v>43019</x:v>
      </x:c>
      <x:c r="B446" s="195" t="n">
        <x:v>2.35</x:v>
      </x:c>
      <x:c r="C446" s="195" t="n">
        <x:v>0.46</x:v>
      </x:c>
      <x:c r="D446" s="195" t="n">
        <x:f>IFERROR(B446-C446,"")</x:f>
        <x:v>1.8900000000000001</x:v>
      </x:c>
    </x:row>
    <x:row r="447">
      <x:c r="A447" s="187" t="n">
        <x:v>43020</x:v>
      </x:c>
      <x:c r="B447" s="195" t="n">
        <x:v>2.33</x:v>
      </x:c>
      <x:c r="C447" s="195" t="n">
        <x:v>0.44</x:v>
      </x:c>
      <x:c r="D447" s="195" t="n">
        <x:f>IFERROR(B447-C447,"")</x:f>
        <x:v>1.8900000000000001</x:v>
      </x:c>
    </x:row>
    <x:row r="448">
      <x:c r="A448" s="187" t="n">
        <x:v>43021</x:v>
      </x:c>
      <x:c r="B448" s="195" t="n">
        <x:v>2.28</x:v>
      </x:c>
      <x:c r="C448" s="195" t="n">
        <x:v>0.43</x:v>
      </x:c>
      <x:c r="D448" s="195" t="n">
        <x:f>IFERROR(B448-C448,"")</x:f>
        <x:v>1.8499999999999999</x:v>
      </x:c>
    </x:row>
    <x:row r="449">
      <x:c r="A449" s="187" t="n">
        <x:v>43024</x:v>
      </x:c>
      <x:c r="B449" s="195" t="n">
        <x:v>2.3</x:v>
      </x:c>
      <x:c r="C449" s="195" t="n">
        <x:v>0.46</x:v>
      </x:c>
      <x:c r="D449" s="195" t="n">
        <x:f>IFERROR(B449-C449,"")</x:f>
        <x:v>1.8399999999999999</x:v>
      </x:c>
    </x:row>
    <x:row r="450">
      <x:c r="A450" s="187" t="n">
        <x:v>43025</x:v>
      </x:c>
      <x:c r="B450" s="195" t="n">
        <x:v>2.3</x:v>
      </x:c>
      <x:c r="C450" s="195" t="n">
        <x:v>0.48</x:v>
      </x:c>
      <x:c r="D450" s="195" t="n">
        <x:f>IFERROR(B450-C450,"")</x:f>
        <x:v>1.8199999999999998</x:v>
      </x:c>
    </x:row>
    <x:row r="451">
      <x:c r="A451" s="187" t="n">
        <x:v>43026</x:v>
      </x:c>
      <x:c r="B451" s="195" t="n">
        <x:v>2.34</x:v>
      </x:c>
      <x:c r="C451" s="195" t="n">
        <x:v>0.5</x:v>
      </x:c>
      <x:c r="D451" s="195" t="n">
        <x:f>IFERROR(B451-C451,"")</x:f>
        <x:v>1.8399999999999999</x:v>
      </x:c>
    </x:row>
    <x:row r="452">
      <x:c r="A452" s="187" t="n">
        <x:v>43027</x:v>
      </x:c>
      <x:c r="B452" s="195" t="n">
        <x:v>2.33</x:v>
      </x:c>
      <x:c r="C452" s="195" t="n">
        <x:v>0.49</x:v>
      </x:c>
      <x:c r="D452" s="195" t="n">
        <x:f>IFERROR(B452-C452,"")</x:f>
        <x:v>1.84</x:v>
      </x:c>
    </x:row>
    <x:row r="453">
      <x:c r="A453" s="187" t="n">
        <x:v>43028</x:v>
      </x:c>
      <x:c r="B453" s="195" t="n">
        <x:v>2.39</x:v>
      </x:c>
      <x:c r="C453" s="195" t="n">
        <x:v>0.52</x:v>
      </x:c>
      <x:c r="D453" s="195" t="n">
        <x:f>IFERROR(B453-C453,"")</x:f>
        <x:v>1.87</x:v>
      </x:c>
    </x:row>
    <x:row r="454">
      <x:c r="A454" s="187" t="n">
        <x:v>43031</x:v>
      </x:c>
      <x:c r="B454" s="195" t="n">
        <x:v>2.38</x:v>
      </x:c>
      <x:c r="C454" s="195" t="n">
        <x:v>0.52</x:v>
      </x:c>
      <x:c r="D454" s="195" t="n">
        <x:f>IFERROR(B454-C454,"")</x:f>
        <x:v>1.8599999999999999</x:v>
      </x:c>
    </x:row>
    <x:row r="455">
      <x:c r="A455" s="187" t="n">
        <x:v>43032</x:v>
      </x:c>
      <x:c r="B455" s="195" t="n">
        <x:v>2.42</x:v>
      </x:c>
      <x:c r="C455" s="195" t="n">
        <x:v>0.55</x:v>
      </x:c>
      <x:c r="D455" s="195" t="n">
        <x:f>IFERROR(B455-C455,"")</x:f>
        <x:v>1.8699999999999999</x:v>
      </x:c>
    </x:row>
    <x:row r="456">
      <x:c r="A456" s="187" t="n">
        <x:v>43033</x:v>
      </x:c>
      <x:c r="B456" s="195" t="n">
        <x:v>2.44</x:v>
      </x:c>
      <x:c r="C456" s="195" t="n">
        <x:v>0.56</x:v>
      </x:c>
      <x:c r="D456" s="195" t="n">
        <x:f>IFERROR(B456-C456,"")</x:f>
        <x:v>1.88</x:v>
      </x:c>
    </x:row>
    <x:row r="457">
      <x:c r="A457" s="187" t="n">
        <x:v>43034</x:v>
      </x:c>
      <x:c r="B457" s="195" t="n">
        <x:v>2.46</x:v>
      </x:c>
      <x:c r="C457" s="195" t="n">
        <x:v>0.57</x:v>
      </x:c>
      <x:c r="D457" s="195" t="n">
        <x:f>IFERROR(B457-C457,"")</x:f>
        <x:v>1.8900000000000001</x:v>
      </x:c>
    </x:row>
    <x:row r="458">
      <x:c r="A458" s="187" t="n">
        <x:v>43035</x:v>
      </x:c>
      <x:c r="B458" s="195" t="n">
        <x:v>2.42</x:v>
      </x:c>
      <x:c r="C458" s="195" t="n">
        <x:v>0.54</x:v>
      </x:c>
      <x:c r="D458" s="195" t="n">
        <x:f>IFERROR(B458-C458,"")</x:f>
        <x:v>1.88</x:v>
      </x:c>
    </x:row>
    <x:row r="459">
      <x:c r="A459" s="187" t="n">
        <x:v>43038</x:v>
      </x:c>
      <x:c r="B459" s="195" t="n">
        <x:v>2.37</x:v>
      </x:c>
      <x:c r="C459" s="195" t="n">
        <x:v>0.5</x:v>
      </x:c>
      <x:c r="D459" s="195" t="n">
        <x:f>IFERROR(B459-C459,"")</x:f>
        <x:v>1.87</x:v>
      </x:c>
    </x:row>
    <x:row r="460">
      <x:c r="A460" s="187" t="n">
        <x:v>43039</x:v>
      </x:c>
      <x:c r="B460" s="195" t="n">
        <x:v>2.38</x:v>
      </x:c>
      <x:c r="C460" s="195" t="n">
        <x:v>0.5</x:v>
      </x:c>
      <x:c r="D460" s="195" t="n">
        <x:f>IFERROR(B460-C460,"")</x:f>
        <x:v>1.88</x:v>
      </x:c>
    </x:row>
    <x:row r="461">
      <x:c r="A461" s="187" t="n">
        <x:v>43040</x:v>
      </x:c>
      <x:c r="B461" s="195" t="n">
        <x:v>2.37</x:v>
      </x:c>
      <x:c r="C461" s="195" t="n">
        <x:v>0.49</x:v>
      </x:c>
      <x:c r="D461" s="195" t="n">
        <x:f>IFERROR(B461-C461,"")</x:f>
        <x:v>1.8800000000000001</x:v>
      </x:c>
    </x:row>
    <x:row r="462">
      <x:c r="A462" s="187" t="n">
        <x:v>43041</x:v>
      </x:c>
      <x:c r="B462" s="195" t="n">
        <x:v>2.35</x:v>
      </x:c>
      <x:c r="C462" s="195" t="n">
        <x:v>0.48</x:v>
      </x:c>
      <x:c r="D462" s="195" t="n">
        <x:f>IFERROR(B462-C462,"")</x:f>
        <x:v>1.87</x:v>
      </x:c>
    </x:row>
    <x:row r="463">
      <x:c r="A463" s="187" t="n">
        <x:v>43042</x:v>
      </x:c>
      <x:c r="B463" s="195" t="n">
        <x:v>2.34</x:v>
      </x:c>
      <x:c r="C463" s="195" t="n">
        <x:v>0.48</x:v>
      </x:c>
      <x:c r="D463" s="195" t="n">
        <x:f>IFERROR(B463-C463,"")</x:f>
        <x:v>1.8599999999999999</x:v>
      </x:c>
    </x:row>
    <x:row r="464">
      <x:c r="A464" s="187" t="n">
        <x:v>43045</x:v>
      </x:c>
      <x:c r="B464" s="195" t="n">
        <x:v>2.32</x:v>
      </x:c>
      <x:c r="C464" s="195" t="n">
        <x:v>0.46</x:v>
      </x:c>
      <x:c r="D464" s="195" t="n">
        <x:f>IFERROR(B464-C464,"")</x:f>
        <x:v>1.8599999999999999</x:v>
      </x:c>
    </x:row>
    <x:row r="465">
      <x:c r="A465" s="187" t="n">
        <x:v>43046</x:v>
      </x:c>
      <x:c r="B465" s="195" t="n">
        <x:v>2.32</x:v>
      </x:c>
      <x:c r="C465" s="195" t="n">
        <x:v>0.44</x:v>
      </x:c>
      <x:c r="D465" s="195" t="n">
        <x:f>IFERROR(B465-C465,"")</x:f>
        <x:v>1.88</x:v>
      </x:c>
    </x:row>
    <x:row r="466">
      <x:c r="A466" s="187" t="n">
        <x:v>43047</x:v>
      </x:c>
      <x:c r="B466" s="195" t="n">
        <x:v>2.32</x:v>
      </x:c>
      <x:c r="C466" s="195" t="n">
        <x:v>0.45</x:v>
      </x:c>
      <x:c r="D466" s="195" t="n">
        <x:f>IFERROR(B466-C466,"")</x:f>
        <x:v>1.8699999999999999</x:v>
      </x:c>
    </x:row>
    <x:row r="467">
      <x:c r="A467" s="187" t="n">
        <x:v>43048</x:v>
      </x:c>
      <x:c r="B467" s="195" t="n">
        <x:v>2.33</x:v>
      </x:c>
      <x:c r="C467" s="195" t="n">
        <x:v>0.46</x:v>
      </x:c>
      <x:c r="D467" s="195" t="n">
        <x:f>IFERROR(B467-C467,"")</x:f>
        <x:v>1.87</x:v>
      </x:c>
    </x:row>
    <x:row r="468">
      <x:c r="A468" s="187" t="n">
        <x:v>43049</x:v>
      </x:c>
      <x:c r="B468" s="195" t="n">
        <x:v>2.4</x:v>
      </x:c>
      <x:c r="C468" s="195" t="n">
        <x:v>0.52</x:v>
      </x:c>
      <x:c r="D468" s="195" t="n">
        <x:f>IFERROR(B468-C468,"")</x:f>
        <x:v>1.88</x:v>
      </x:c>
    </x:row>
    <x:row r="469">
      <x:c r="A469" s="187" t="n">
        <x:v>43052</x:v>
      </x:c>
      <x:c r="B469" s="195" t="n">
        <x:v>2.4</x:v>
      </x:c>
      <x:c r="C469" s="195" t="n">
        <x:v>0.52</x:v>
      </x:c>
      <x:c r="D469" s="195" t="n">
        <x:f>IFERROR(B469-C469,"")</x:f>
        <x:v>1.88</x:v>
      </x:c>
    </x:row>
    <x:row r="470">
      <x:c r="A470" s="187" t="n">
        <x:v>43053</x:v>
      </x:c>
      <x:c r="B470" s="195" t="n">
        <x:v>2.38</x:v>
      </x:c>
      <x:c r="C470" s="195" t="n">
        <x:v>0.51</x:v>
      </x:c>
      <x:c r="D470" s="195" t="n">
        <x:f>IFERROR(B470-C470,"")</x:f>
        <x:v>1.8699999999999999</x:v>
      </x:c>
    </x:row>
    <x:row r="471">
      <x:c r="A471" s="187" t="n">
        <x:v>43054</x:v>
      </x:c>
      <x:c r="B471" s="195" t="n">
        <x:v>2.33</x:v>
      </x:c>
      <x:c r="C471" s="195" t="n">
        <x:v>0.48</x:v>
      </x:c>
      <x:c r="D471" s="195" t="n">
        <x:f>IFERROR(B471-C471,"")</x:f>
        <x:v>1.85</x:v>
      </x:c>
    </x:row>
    <x:row r="472">
      <x:c r="A472" s="187" t="n">
        <x:v>43055</x:v>
      </x:c>
      <x:c r="B472" s="195" t="n">
        <x:v>2.37</x:v>
      </x:c>
      <x:c r="C472" s="195" t="n">
        <x:v>0.53</x:v>
      </x:c>
      <x:c r="D472" s="195" t="n">
        <x:f>IFERROR(B472-C472,"")</x:f>
        <x:v>1.84</x:v>
      </x:c>
    </x:row>
    <x:row r="473">
      <x:c r="A473" s="187" t="n">
        <x:v>43056</x:v>
      </x:c>
      <x:c r="B473" s="195" t="n">
        <x:v>2.35</x:v>
      </x:c>
      <x:c r="C473" s="195" t="n">
        <x:v>0.49</x:v>
      </x:c>
      <x:c r="D473" s="195" t="n">
        <x:f>IFERROR(B473-C473,"")</x:f>
        <x:v>1.86</x:v>
      </x:c>
    </x:row>
    <x:row r="474">
      <x:c r="A474" s="187" t="n">
        <x:v>43059</x:v>
      </x:c>
      <x:c r="B474" s="195" t="n">
        <x:v>2.37</x:v>
      </x:c>
      <x:c r="C474" s="195" t="n">
        <x:v>0.52</x:v>
      </x:c>
      <x:c r="D474" s="195" t="n">
        <x:f>IFERROR(B474-C474,"")</x:f>
        <x:v>1.85</x:v>
      </x:c>
    </x:row>
    <x:row r="475">
      <x:c r="A475" s="187" t="n">
        <x:v>43060</x:v>
      </x:c>
      <x:c r="B475" s="195" t="n">
        <x:v>2.36</x:v>
      </x:c>
      <x:c r="C475" s="195" t="n">
        <x:v>0.52</x:v>
      </x:c>
      <x:c r="D475" s="195" t="n">
        <x:f>IFERROR(B475-C475,"")</x:f>
        <x:v>1.8399999999999999</x:v>
      </x:c>
    </x:row>
    <x:row r="476">
      <x:c r="A476" s="187" t="n">
        <x:v>43061</x:v>
      </x:c>
      <x:c r="B476" s="195" t="n">
        <x:v>2.32</x:v>
      </x:c>
      <x:c r="C476" s="195" t="n">
        <x:v>0.48</x:v>
      </x:c>
      <x:c r="D476" s="195" t="n">
        <x:f>IFERROR(B476-C476,"")</x:f>
        <x:v>1.8399999999999999</x:v>
      </x:c>
    </x:row>
    <x:row r="477">
      <x:c r="A477" s="187" t="n">
        <x:v>43063</x:v>
      </x:c>
      <x:c r="B477" s="195" t="n">
        <x:v>2.34</x:v>
      </x:c>
      <x:c r="C477" s="195" t="n">
        <x:v>0.5</x:v>
      </x:c>
      <x:c r="D477" s="195" t="n">
        <x:f>IFERROR(B477-C477,"")</x:f>
        <x:v>1.8399999999999999</x:v>
      </x:c>
    </x:row>
    <x:row r="478">
      <x:c r="A478" s="187" t="n">
        <x:v>43066</x:v>
      </x:c>
      <x:c r="B478" s="195" t="n">
        <x:v>2.32</x:v>
      </x:c>
      <x:c r="C478" s="195" t="n">
        <x:v>0.49</x:v>
      </x:c>
      <x:c r="D478" s="195" t="n">
        <x:f>IFERROR(B478-C478,"")</x:f>
        <x:v>1.8299999999999998</x:v>
      </x:c>
    </x:row>
    <x:row r="479">
      <x:c r="A479" s="187" t="n">
        <x:v>43067</x:v>
      </x:c>
      <x:c r="B479" s="195" t="n">
        <x:v>2.34</x:v>
      </x:c>
      <x:c r="C479" s="195" t="n">
        <x:v>0.5</x:v>
      </x:c>
      <x:c r="D479" s="195" t="n">
        <x:f>IFERROR(B479-C479,"")</x:f>
        <x:v>1.8399999999999999</x:v>
      </x:c>
    </x:row>
    <x:row r="480">
      <x:c r="A480" s="187" t="n">
        <x:v>43068</x:v>
      </x:c>
      <x:c r="B480" s="195" t="n">
        <x:v>2.37</x:v>
      </x:c>
      <x:c r="C480" s="195" t="n">
        <x:v>0.53</x:v>
      </x:c>
      <x:c r="D480" s="195" t="n">
        <x:f>IFERROR(B480-C480,"")</x:f>
        <x:v>1.84</x:v>
      </x:c>
    </x:row>
    <x:row r="481">
      <x:c r="A481" s="187" t="n">
        <x:v>43069</x:v>
      </x:c>
      <x:c r="B481" s="195" t="n">
        <x:v>2.42</x:v>
      </x:c>
      <x:c r="C481" s="195" t="n">
        <x:v>0.56</x:v>
      </x:c>
      <x:c r="D481" s="195" t="n">
        <x:f>IFERROR(B481-C481,"")</x:f>
        <x:v>1.8599999999999999</x:v>
      </x:c>
    </x:row>
    <x:row r="482">
      <x:c r="A482" s="187" t="n">
        <x:v>43070</x:v>
      </x:c>
      <x:c r="B482" s="195" t="n">
        <x:v>2.37</x:v>
      </x:c>
      <x:c r="C482" s="195" t="n">
        <x:v>0.51</x:v>
      </x:c>
      <x:c r="D482" s="195" t="n">
        <x:f>IFERROR(B482-C482,"")</x:f>
        <x:v>1.86</x:v>
      </x:c>
    </x:row>
    <x:row r="483">
      <x:c r="A483" s="187" t="n">
        <x:v>43073</x:v>
      </x:c>
      <x:c r="B483" s="195" t="n">
        <x:v>2.37</x:v>
      </x:c>
      <x:c r="C483" s="195" t="n">
        <x:v>0.5</x:v>
      </x:c>
      <x:c r="D483" s="195" t="n">
        <x:f>IFERROR(B483-C483,"")</x:f>
        <x:v>1.87</x:v>
      </x:c>
    </x:row>
    <x:row r="484">
      <x:c r="A484" s="187" t="n">
        <x:v>43074</x:v>
      </x:c>
      <x:c r="B484" s="195" t="n">
        <x:v>2.36</x:v>
      </x:c>
      <x:c r="C484" s="195" t="n">
        <x:v>0.5</x:v>
      </x:c>
      <x:c r="D484" s="195" t="n">
        <x:f>IFERROR(B484-C484,"")</x:f>
        <x:v>1.8599999999999999</x:v>
      </x:c>
    </x:row>
    <x:row r="485">
      <x:c r="A485" s="187" t="n">
        <x:v>43075</x:v>
      </x:c>
      <x:c r="B485" s="195" t="n">
        <x:v>2.33</x:v>
      </x:c>
      <x:c r="C485" s="195" t="n">
        <x:v>0.47</x:v>
      </x:c>
      <x:c r="D485" s="195" t="n">
        <x:f>IFERROR(B485-C485,"")</x:f>
        <x:v>1.86</x:v>
      </x:c>
    </x:row>
    <x:row r="486">
      <x:c r="A486" s="187" t="n">
        <x:v>43076</x:v>
      </x:c>
      <x:c r="B486" s="195" t="n">
        <x:v>2.37</x:v>
      </x:c>
      <x:c r="C486" s="195" t="n">
        <x:v>0.5</x:v>
      </x:c>
      <x:c r="D486" s="195" t="n">
        <x:f>IFERROR(B486-C486,"")</x:f>
        <x:v>1.87</x:v>
      </x:c>
    </x:row>
    <x:row r="487">
      <x:c r="A487" s="187" t="n">
        <x:v>43077</x:v>
      </x:c>
      <x:c r="B487" s="195" t="n">
        <x:v>2.38</x:v>
      </x:c>
      <x:c r="C487" s="195" t="n">
        <x:v>0.5</x:v>
      </x:c>
      <x:c r="D487" s="195" t="n">
        <x:f>IFERROR(B487-C487,"")</x:f>
        <x:v>1.88</x:v>
      </x:c>
    </x:row>
    <x:row r="488">
      <x:c r="A488" s="187" t="n">
        <x:v>43080</x:v>
      </x:c>
      <x:c r="B488" s="195" t="n">
        <x:v>2.39</x:v>
      </x:c>
      <x:c r="C488" s="195" t="n">
        <x:v>0.51</x:v>
      </x:c>
      <x:c r="D488" s="195" t="n">
        <x:f>IFERROR(B488-C488,"")</x:f>
        <x:v>1.8800000000000001</x:v>
      </x:c>
    </x:row>
    <x:row r="489">
      <x:c r="A489" s="187" t="n">
        <x:v>43081</x:v>
      </x:c>
      <x:c r="B489" s="195" t="n">
        <x:v>2.4</x:v>
      </x:c>
      <x:c r="C489" s="195" t="n">
        <x:v>0.51</x:v>
      </x:c>
      <x:c r="D489" s="195" t="n">
        <x:f>IFERROR(B489-C489,"")</x:f>
        <x:v>1.89</x:v>
      </x:c>
    </x:row>
    <x:row r="490">
      <x:c r="A490" s="187" t="n">
        <x:v>43082</x:v>
      </x:c>
      <x:c r="B490" s="195" t="n">
        <x:v>2.36</x:v>
      </x:c>
      <x:c r="C490" s="195" t="n">
        <x:v>0.48</x:v>
      </x:c>
      <x:c r="D490" s="195" t="n">
        <x:f>IFERROR(B490-C490,"")</x:f>
        <x:v>1.88</x:v>
      </x:c>
    </x:row>
    <x:row r="491">
      <x:c r="A491" s="187" t="n">
        <x:v>43083</x:v>
      </x:c>
      <x:c r="B491" s="195" t="n">
        <x:v>2.35</x:v>
      </x:c>
      <x:c r="C491" s="195" t="n">
        <x:v>0.48</x:v>
      </x:c>
      <x:c r="D491" s="195" t="n">
        <x:f>IFERROR(B491-C491,"")</x:f>
        <x:v>1.87</x:v>
      </x:c>
    </x:row>
    <x:row r="492">
      <x:c r="A492" s="187" t="n">
        <x:v>43084</x:v>
      </x:c>
      <x:c r="B492" s="195" t="n">
        <x:v>2.35</x:v>
      </x:c>
      <x:c r="C492" s="195" t="n">
        <x:v>0.47</x:v>
      </x:c>
      <x:c r="D492" s="195" t="n">
        <x:f>IFERROR(B492-C492,"")</x:f>
        <x:v>1.8800000000000001</x:v>
      </x:c>
    </x:row>
    <x:row r="493">
      <x:c r="A493" s="187" t="n">
        <x:v>43087</x:v>
      </x:c>
      <x:c r="B493" s="195" t="n">
        <x:v>2.39</x:v>
      </x:c>
      <x:c r="C493" s="195" t="n">
        <x:v>0.5</x:v>
      </x:c>
      <x:c r="D493" s="195" t="n">
        <x:f>IFERROR(B493-C493,"")</x:f>
        <x:v>1.8900000000000001</x:v>
      </x:c>
    </x:row>
    <x:row r="494">
      <x:c r="A494" s="187" t="n">
        <x:v>43088</x:v>
      </x:c>
      <x:c r="B494" s="195" t="n">
        <x:v>2.46</x:v>
      </x:c>
      <x:c r="C494" s="195" t="n">
        <x:v>0.55</x:v>
      </x:c>
      <x:c r="D494" s="195" t="n">
        <x:f>IFERROR(B494-C494,"")</x:f>
        <x:v>1.91</x:v>
      </x:c>
    </x:row>
    <x:row r="495">
      <x:c r="A495" s="187" t="n">
        <x:v>43089</x:v>
      </x:c>
      <x:c r="B495" s="195" t="n">
        <x:v>2.49</x:v>
      </x:c>
      <x:c r="C495" s="195" t="n">
        <x:v>0.57</x:v>
      </x:c>
      <x:c r="D495" s="195" t="n">
        <x:f>IFERROR(B495-C495,"")</x:f>
        <x:v>1.9200000000000004</x:v>
      </x:c>
    </x:row>
    <x:row r="496">
      <x:c r="A496" s="187" t="n">
        <x:v>43090</x:v>
      </x:c>
      <x:c r="B496" s="195" t="n">
        <x:v>2.48</x:v>
      </x:c>
      <x:c r="C496" s="195" t="n">
        <x:v>0.55</x:v>
      </x:c>
      <x:c r="D496" s="195" t="n">
        <x:f>IFERROR(B496-C496,"")</x:f>
        <x:v>1.93</x:v>
      </x:c>
    </x:row>
    <x:row r="497">
      <x:c r="A497" s="187" t="n">
        <x:v>43091</x:v>
      </x:c>
      <x:c r="B497" s="195" t="n">
        <x:v>2.48</x:v>
      </x:c>
      <x:c r="C497" s="195" t="n">
        <x:v>0.54</x:v>
      </x:c>
      <x:c r="D497" s="195" t="n">
        <x:f>IFERROR(B497-C497,"")</x:f>
        <x:v>1.94</x:v>
      </x:c>
    </x:row>
    <x:row r="498">
      <x:c r="A498" s="187" t="n">
        <x:v>43095</x:v>
      </x:c>
      <x:c r="B498" s="195" t="n">
        <x:v>2.47</x:v>
      </x:c>
      <x:c r="C498" s="195" t="n">
        <x:v>0.53</x:v>
      </x:c>
      <x:c r="D498" s="195" t="n">
        <x:f>IFERROR(B498-C498,"")</x:f>
        <x:v>1.9400000000000002</x:v>
      </x:c>
    </x:row>
    <x:row r="499">
      <x:c r="A499" s="187" t="n">
        <x:v>43096</x:v>
      </x:c>
      <x:c r="B499" s="195" t="n">
        <x:v>2.42</x:v>
      </x:c>
      <x:c r="C499" s="195" t="n">
        <x:v>0.48</x:v>
      </x:c>
      <x:c r="D499" s="195" t="n">
        <x:f>IFERROR(B499-C499,"")</x:f>
        <x:v>1.94</x:v>
      </x:c>
    </x:row>
    <x:row r="500">
      <x:c r="A500" s="187" t="n">
        <x:v>43097</x:v>
      </x:c>
      <x:c r="B500" s="195" t="n">
        <x:v>2.43</x:v>
      </x:c>
      <x:c r="C500" s="195" t="n">
        <x:v>0.47</x:v>
      </x:c>
      <x:c r="D500" s="195" t="n">
        <x:f>IFERROR(B500-C500,"")</x:f>
        <x:v>1.9600000000000002</x:v>
      </x:c>
    </x:row>
    <x:row r="501">
      <x:c r="A501" s="187" t="n">
        <x:v>43098</x:v>
      </x:c>
      <x:c r="B501" s="195" t="n">
        <x:v>2.4</x:v>
      </x:c>
      <x:c r="C501" s="195" t="n">
        <x:v>0.44</x:v>
      </x:c>
      <x:c r="D501" s="195" t="n">
        <x:f>IFERROR(B501-C501,"")</x:f>
        <x:v>1.96</x:v>
      </x:c>
    </x:row>
    <x:row r="502">
      <x:c r="A502" s="187" t="n">
        <x:v>43102</x:v>
      </x:c>
      <x:c r="B502" s="195" t="n">
        <x:v>2.46</x:v>
      </x:c>
      <x:c r="C502" s="195" t="n">
        <x:v>0.46</x:v>
      </x:c>
      <x:c r="D502" s="195" t="n">
        <x:f>IFERROR(B502-C502,"")</x:f>
        <x:v>2</x:v>
      </x:c>
    </x:row>
    <x:row r="503">
      <x:c r="A503" s="187" t="n">
        <x:v>43103</x:v>
      </x:c>
      <x:c r="B503" s="195" t="n">
        <x:v>2.44</x:v>
      </x:c>
      <x:c r="C503" s="195" t="n">
        <x:v>0.46</x:v>
      </x:c>
      <x:c r="D503" s="195" t="n">
        <x:f>IFERROR(B503-C503,"")</x:f>
        <x:v>1.98</x:v>
      </x:c>
    </x:row>
    <x:row r="504">
      <x:c r="A504" s="187" t="n">
        <x:v>43104</x:v>
      </x:c>
      <x:c r="B504" s="195" t="n">
        <x:v>2.46</x:v>
      </x:c>
      <x:c r="C504" s="195" t="n">
        <x:v>0.45</x:v>
      </x:c>
      <x:c r="D504" s="195" t="n">
        <x:f>IFERROR(B504-C504,"")</x:f>
        <x:v>2.01</x:v>
      </x:c>
    </x:row>
    <x:row r="505">
      <x:c r="A505" s="187" t="n">
        <x:v>43105</x:v>
      </x:c>
      <x:c r="B505" s="195" t="n">
        <x:v>2.47</x:v>
      </x:c>
      <x:c r="C505" s="195" t="n">
        <x:v>0.46</x:v>
      </x:c>
      <x:c r="D505" s="195" t="n">
        <x:f>IFERROR(B505-C505,"")</x:f>
        <x:v>2.0100000000000002</x:v>
      </x:c>
    </x:row>
    <x:row r="506">
      <x:c r="A506" s="187" t="n">
        <x:v>43108</x:v>
      </x:c>
      <x:c r="B506" s="195" t="n">
        <x:v>2.49</x:v>
      </x:c>
      <x:c r="C506" s="195" t="n">
        <x:v>0.47</x:v>
      </x:c>
      <x:c r="D506" s="195" t="n">
        <x:f>IFERROR(B506-C506,"")</x:f>
        <x:v>2.0200000000000005</x:v>
      </x:c>
    </x:row>
    <x:row r="507">
      <x:c r="A507" s="187" t="n">
        <x:v>43109</x:v>
      </x:c>
      <x:c r="B507" s="195" t="n">
        <x:v>2.55</x:v>
      </x:c>
      <x:c r="C507" s="195" t="n">
        <x:v>0.52</x:v>
      </x:c>
      <x:c r="D507" s="195" t="n">
        <x:f>IFERROR(B507-C507,"")</x:f>
        <x:v>2.03</x:v>
      </x:c>
    </x:row>
    <x:row r="508">
      <x:c r="A508" s="187" t="n">
        <x:v>43110</x:v>
      </x:c>
      <x:c r="B508" s="195" t="n">
        <x:v>2.55</x:v>
      </x:c>
      <x:c r="C508" s="195" t="n">
        <x:v>0.52</x:v>
      </x:c>
      <x:c r="D508" s="195" t="n">
        <x:f>IFERROR(B508-C508,"")</x:f>
        <x:v>2.03</x:v>
      </x:c>
    </x:row>
    <x:row r="509">
      <x:c r="A509" s="187" t="n">
        <x:v>43111</x:v>
      </x:c>
      <x:c r="B509" s="195" t="n">
        <x:v>2.54</x:v>
      </x:c>
      <x:c r="C509" s="195" t="n">
        <x:v>0.54</x:v>
      </x:c>
      <x:c r="D509" s="195" t="n">
        <x:f>IFERROR(B509-C509,"")</x:f>
        <x:v>2</x:v>
      </x:c>
    </x:row>
    <x:row r="510">
      <x:c r="A510" s="187" t="n">
        <x:v>43112</x:v>
      </x:c>
      <x:c r="B510" s="195" t="n">
        <x:v>2.55</x:v>
      </x:c>
      <x:c r="C510" s="195" t="n">
        <x:v>0.54</x:v>
      </x:c>
      <x:c r="D510" s="195" t="n">
        <x:f>IFERROR(B510-C510,"")</x:f>
        <x:v>2.01</x:v>
      </x:c>
    </x:row>
    <x:row r="511">
      <x:c r="A511" s="187" t="n">
        <x:v>43116</x:v>
      </x:c>
      <x:c r="B511" s="195" t="n">
        <x:v>2.54</x:v>
      </x:c>
      <x:c r="C511" s="195" t="n">
        <x:v>0.51</x:v>
      </x:c>
      <x:c r="D511" s="195" t="n">
        <x:f>IFERROR(B511-C511,"")</x:f>
        <x:v>2.0300000000000002</x:v>
      </x:c>
    </x:row>
    <x:row r="512">
      <x:c r="A512" s="187" t="n">
        <x:v>43117</x:v>
      </x:c>
      <x:c r="B512" s="195" t="n">
        <x:v>2.57</x:v>
      </x:c>
      <x:c r="C512" s="195" t="n">
        <x:v>0.53</x:v>
      </x:c>
      <x:c r="D512" s="195" t="n">
        <x:f>IFERROR(B512-C512,"")</x:f>
        <x:v>2.04</x:v>
      </x:c>
    </x:row>
    <x:row r="513">
      <x:c r="A513" s="187" t="n">
        <x:v>43118</x:v>
      </x:c>
      <x:c r="B513" s="195" t="n">
        <x:v>2.62</x:v>
      </x:c>
      <x:c r="C513" s="195" t="n">
        <x:v>0.57</x:v>
      </x:c>
      <x:c r="D513" s="195" t="n">
        <x:f>IFERROR(B513-C513,"")</x:f>
        <x:v>2.0500000000000003</x:v>
      </x:c>
    </x:row>
    <x:row r="514">
      <x:c r="A514" s="187" t="n">
        <x:v>43119</x:v>
      </x:c>
      <x:c r="B514" s="195" t="n">
        <x:v>2.64</x:v>
      </x:c>
      <x:c r="C514" s="195" t="n">
        <x:v>0.58</x:v>
      </x:c>
      <x:c r="D514" s="195" t="n">
        <x:f>IFERROR(B514-C514,"")</x:f>
        <x:v>2.06</x:v>
      </x:c>
    </x:row>
    <x:row r="515">
      <x:c r="A515" s="187" t="n">
        <x:v>43122</x:v>
      </x:c>
      <x:c r="B515" s="195" t="n">
        <x:v>2.66</x:v>
      </x:c>
      <x:c r="C515" s="195" t="n">
        <x:v>0.6</x:v>
      </x:c>
      <x:c r="D515" s="195" t="n">
        <x:f>IFERROR(B515-C515,"")</x:f>
        <x:v>2.06</x:v>
      </x:c>
    </x:row>
    <x:row r="516">
      <x:c r="A516" s="187" t="n">
        <x:v>43123</x:v>
      </x:c>
      <x:c r="B516" s="195" t="n">
        <x:v>2.63</x:v>
      </x:c>
      <x:c r="C516" s="195" t="n">
        <x:v>0.57</x:v>
      </x:c>
      <x:c r="D516" s="195" t="n">
        <x:f>IFERROR(B516-C516,"")</x:f>
        <x:v>2.06</x:v>
      </x:c>
    </x:row>
    <x:row r="517">
      <x:c r="A517" s="187" t="n">
        <x:v>43124</x:v>
      </x:c>
      <x:c r="B517" s="195" t="n">
        <x:v>2.65</x:v>
      </x:c>
      <x:c r="C517" s="195" t="n">
        <x:v>0.58</x:v>
      </x:c>
      <x:c r="D517" s="195" t="n">
        <x:f>IFERROR(B517-C517,"")</x:f>
        <x:v>2.07</x:v>
      </x:c>
    </x:row>
    <x:row r="518">
      <x:c r="A518" s="187" t="n">
        <x:v>43125</x:v>
      </x:c>
      <x:c r="B518" s="195" t="n">
        <x:v>2.63</x:v>
      </x:c>
      <x:c r="C518" s="195" t="n">
        <x:v>0.56</x:v>
      </x:c>
      <x:c r="D518" s="195" t="n">
        <x:f>IFERROR(B518-C518,"")</x:f>
        <x:v>2.07</x:v>
      </x:c>
    </x:row>
    <x:row r="519">
      <x:c r="A519" s="187" t="n">
        <x:v>43126</x:v>
      </x:c>
      <x:c r="B519" s="195" t="n">
        <x:v>2.66</x:v>
      </x:c>
      <x:c r="C519" s="195" t="n">
        <x:v>0.57</x:v>
      </x:c>
      <x:c r="D519" s="195" t="n">
        <x:f>IFERROR(B519-C519,"")</x:f>
        <x:v>2.0900000000000003</x:v>
      </x:c>
    </x:row>
    <x:row r="520">
      <x:c r="A520" s="187" t="n">
        <x:v>43129</x:v>
      </x:c>
      <x:c r="B520" s="195" t="n">
        <x:v>2.7</x:v>
      </x:c>
      <x:c r="C520" s="195" t="n">
        <x:v>0.61</x:v>
      </x:c>
      <x:c r="D520" s="195" t="n">
        <x:f>IFERROR(B520-C520,"")</x:f>
        <x:v>2.0900000000000003</x:v>
      </x:c>
    </x:row>
    <x:row r="521">
      <x:c r="A521" s="187" t="n">
        <x:v>43130</x:v>
      </x:c>
      <x:c r="B521" s="195" t="n">
        <x:v>2.73</x:v>
      </x:c>
      <x:c r="C521" s="195" t="n">
        <x:v>0.63</x:v>
      </x:c>
      <x:c r="D521" s="195" t="n">
        <x:f>IFERROR(B521-C521,"")</x:f>
        <x:v>2.1</x:v>
      </x:c>
    </x:row>
    <x:row r="522">
      <x:c r="A522" s="187" t="n">
        <x:v>43131</x:v>
      </x:c>
      <x:c r="B522" s="195" t="n">
        <x:v>2.72</x:v>
      </x:c>
      <x:c r="C522" s="195" t="n">
        <x:v>0.61</x:v>
      </x:c>
      <x:c r="D522" s="195" t="n">
        <x:f>IFERROR(B522-C522,"")</x:f>
        <x:v>2.1100000000000003</x:v>
      </x:c>
    </x:row>
    <x:row r="523">
      <x:c r="A523" s="187" t="n">
        <x:v>43132</x:v>
      </x:c>
      <x:c r="B523" s="195" t="n">
        <x:v>2.78</x:v>
      </x:c>
      <x:c r="C523" s="195" t="n">
        <x:v>0.67</x:v>
      </x:c>
      <x:c r="D523" s="195" t="n">
        <x:f>IFERROR(B523-C523,"")</x:f>
        <x:v>2.11</x:v>
      </x:c>
    </x:row>
    <x:row r="524">
      <x:c r="A524" s="187" t="n">
        <x:v>43133</x:v>
      </x:c>
      <x:c r="B524" s="195" t="n">
        <x:v>2.84</x:v>
      </x:c>
      <x:c r="C524" s="195" t="n">
        <x:v>0.7</x:v>
      </x:c>
      <x:c r="D524" s="195" t="n">
        <x:f>IFERROR(B524-C524,"")</x:f>
        <x:v>2.1399999999999997</x:v>
      </x:c>
    </x:row>
    <x:row r="525">
      <x:c r="A525" s="187" t="n">
        <x:v>43136</x:v>
      </x:c>
      <x:c r="B525" s="195" t="n">
        <x:v>2.77</x:v>
      </x:c>
      <x:c r="C525" s="195" t="n">
        <x:v>0.67</x:v>
      </x:c>
      <x:c r="D525" s="195" t="n">
        <x:f>IFERROR(B525-C525,"")</x:f>
        <x:v>2.1</x:v>
      </x:c>
    </x:row>
    <x:row r="526">
      <x:c r="A526" s="187" t="n">
        <x:v>43137</x:v>
      </x:c>
      <x:c r="B526" s="195" t="n">
        <x:v>2.79</x:v>
      </x:c>
      <x:c r="C526" s="195" t="n">
        <x:v>0.69</x:v>
      </x:c>
      <x:c r="D526" s="195" t="n">
        <x:f>IFERROR(B526-C526,"")</x:f>
        <x:v>2.1</x:v>
      </x:c>
    </x:row>
    <x:row r="527">
      <x:c r="A527" s="187" t="n">
        <x:v>43138</x:v>
      </x:c>
      <x:c r="B527" s="195" t="n">
        <x:v>2.84</x:v>
      </x:c>
      <x:c r="C527" s="195" t="n">
        <x:v>0.74</x:v>
      </x:c>
      <x:c r="D527" s="195" t="n">
        <x:f>IFERROR(B527-C527,"")</x:f>
        <x:v>2.0999999999999996</x:v>
      </x:c>
    </x:row>
    <x:row r="528">
      <x:c r="A528" s="187" t="n">
        <x:v>43139</x:v>
      </x:c>
      <x:c r="B528" s="195" t="n">
        <x:v>2.85</x:v>
      </x:c>
      <x:c r="C528" s="195" t="n">
        <x:v>0.76</x:v>
      </x:c>
      <x:c r="D528" s="195" t="n">
        <x:f>IFERROR(B528-C528,"")</x:f>
        <x:v>2.09</x:v>
      </x:c>
    </x:row>
    <x:row r="529">
      <x:c r="A529" s="187" t="n">
        <x:v>43140</x:v>
      </x:c>
      <x:c r="B529" s="195" t="n">
        <x:v>2.83</x:v>
      </x:c>
      <x:c r="C529" s="195" t="n">
        <x:v>0.78</x:v>
      </x:c>
      <x:c r="D529" s="195" t="n">
        <x:f>IFERROR(B529-C529,"")</x:f>
        <x:v>2.05</x:v>
      </x:c>
    </x:row>
    <x:row r="530">
      <x:c r="A530" s="187" t="n">
        <x:v>43143</x:v>
      </x:c>
      <x:c r="B530" s="195" t="n">
        <x:v>2.86</x:v>
      </x:c>
      <x:c r="C530" s="195" t="n">
        <x:v>0.79</x:v>
      </x:c>
      <x:c r="D530" s="195" t="n">
        <x:f>IFERROR(B530-C530,"")</x:f>
        <x:v>2.07</x:v>
      </x:c>
    </x:row>
    <x:row r="531">
      <x:c r="A531" s="187" t="n">
        <x:v>43144</x:v>
      </x:c>
      <x:c r="B531" s="195" t="n">
        <x:v>2.83</x:v>
      </x:c>
      <x:c r="C531" s="195" t="n">
        <x:v>0.78</x:v>
      </x:c>
      <x:c r="D531" s="195" t="n">
        <x:f>IFERROR(B531-C531,"")</x:f>
        <x:v>2.05</x:v>
      </x:c>
    </x:row>
    <x:row r="532">
      <x:c r="A532" s="187" t="n">
        <x:v>43145</x:v>
      </x:c>
      <x:c r="B532" s="195" t="n">
        <x:v>2.91</x:v>
      </x:c>
      <x:c r="C532" s="195" t="n">
        <x:v>0.82</x:v>
      </x:c>
      <x:c r="D532" s="195" t="n">
        <x:f>IFERROR(B532-C532,"")</x:f>
        <x:v>2.0900000000000003</x:v>
      </x:c>
    </x:row>
    <x:row r="533">
      <x:c r="A533" s="187" t="n">
        <x:v>43146</x:v>
      </x:c>
      <x:c r="B533" s="195" t="n">
        <x:v>2.9</x:v>
      </x:c>
      <x:c r="C533" s="195" t="n">
        <x:v>0.79</x:v>
      </x:c>
      <x:c r="D533" s="195" t="n">
        <x:f>IFERROR(B533-C533,"")</x:f>
        <x:v>2.11</x:v>
      </x:c>
    </x:row>
    <x:row r="534">
      <x:c r="A534" s="187" t="n">
        <x:v>43147</x:v>
      </x:c>
      <x:c r="B534" s="195" t="n">
        <x:v>2.87</x:v>
      </x:c>
      <x:c r="C534" s="195" t="n">
        <x:v>0.78</x:v>
      </x:c>
      <x:c r="D534" s="195" t="n">
        <x:f>IFERROR(B534-C534,"")</x:f>
        <x:v>2.09</x:v>
      </x:c>
    </x:row>
    <x:row r="535">
      <x:c r="A535" s="187" t="n">
        <x:v>43151</x:v>
      </x:c>
      <x:c r="B535" s="195" t="n">
        <x:v>2.88</x:v>
      </x:c>
      <x:c r="C535" s="195" t="n">
        <x:v>0.78</x:v>
      </x:c>
      <x:c r="D535" s="195" t="n">
        <x:f>IFERROR(B535-C535,"")</x:f>
        <x:v>2.0999999999999996</x:v>
      </x:c>
    </x:row>
    <x:row r="536">
      <x:c r="A536" s="187" t="n">
        <x:v>43152</x:v>
      </x:c>
      <x:c r="B536" s="195" t="n">
        <x:v>2.94</x:v>
      </x:c>
      <x:c r="C536" s="195" t="n">
        <x:v>0.82</x:v>
      </x:c>
      <x:c r="D536" s="195" t="n">
        <x:f>IFERROR(B536-C536,"")</x:f>
        <x:v>2.12</x:v>
      </x:c>
    </x:row>
    <x:row r="537">
      <x:c r="A537" s="187" t="n">
        <x:v>43153</x:v>
      </x:c>
      <x:c r="B537" s="195" t="n">
        <x:v>2.92</x:v>
      </x:c>
      <x:c r="C537" s="195" t="n">
        <x:v>0.81</x:v>
      </x:c>
      <x:c r="D537" s="195" t="n">
        <x:f>IFERROR(B537-C537,"")</x:f>
        <x:v>2.11</x:v>
      </x:c>
    </x:row>
    <x:row r="538">
      <x:c r="A538" s="187" t="n">
        <x:v>43154</x:v>
      </x:c>
      <x:c r="B538" s="195" t="n">
        <x:v>2.88</x:v>
      </x:c>
      <x:c r="C538" s="195" t="n">
        <x:v>0.76</x:v>
      </x:c>
      <x:c r="D538" s="195" t="n">
        <x:f>IFERROR(B538-C538,"")</x:f>
        <x:v>2.12</x:v>
      </x:c>
    </x:row>
    <x:row r="539">
      <x:c r="A539" s="187" t="n">
        <x:v>43157</x:v>
      </x:c>
      <x:c r="B539" s="195" t="n">
        <x:v>2.86</x:v>
      </x:c>
      <x:c r="C539" s="195" t="n">
        <x:v>0.73</x:v>
      </x:c>
      <x:c r="D539" s="195" t="n">
        <x:f>IFERROR(B539-C539,"")</x:f>
        <x:v>2.13</x:v>
      </x:c>
    </x:row>
    <x:row r="540">
      <x:c r="A540" s="187" t="n">
        <x:v>43158</x:v>
      </x:c>
      <x:c r="B540" s="195" t="n">
        <x:v>2.9</x:v>
      </x:c>
      <x:c r="C540" s="195" t="n">
        <x:v>0.77</x:v>
      </x:c>
      <x:c r="D540" s="195" t="n">
        <x:f>IFERROR(B540-C540,"")</x:f>
        <x:v>2.13</x:v>
      </x:c>
    </x:row>
    <x:row r="541">
      <x:c r="A541" s="187" t="n">
        <x:v>43159</x:v>
      </x:c>
      <x:c r="B541" s="195" t="n">
        <x:v>2.87</x:v>
      </x:c>
      <x:c r="C541" s="195" t="n">
        <x:v>0.75</x:v>
      </x:c>
      <x:c r="D541" s="195" t="n">
        <x:f>IFERROR(B541-C541,"")</x:f>
        <x:v>2.12</x:v>
      </x:c>
    </x:row>
    <x:row r="542">
      <x:c r="A542" s="187" t="n">
        <x:v>43160</x:v>
      </x:c>
      <x:c r="B542" s="195" t="n">
        <x:v>2.81</x:v>
      </x:c>
      <x:c r="C542" s="195" t="n">
        <x:v>0.71</x:v>
      </x:c>
      <x:c r="D542" s="195" t="n">
        <x:f>IFERROR(B542-C542,"")</x:f>
        <x:v>2.1</x:v>
      </x:c>
    </x:row>
    <x:row r="543">
      <x:c r="A543" s="187" t="n">
        <x:v>43161</x:v>
      </x:c>
      <x:c r="B543" s="195" t="n">
        <x:v>2.86</x:v>
      </x:c>
      <x:c r="C543" s="195" t="n">
        <x:v>0.74</x:v>
      </x:c>
      <x:c r="D543" s="195" t="n">
        <x:f>IFERROR(B543-C543,"")</x:f>
        <x:v>2.12</x:v>
      </x:c>
    </x:row>
    <x:row r="544">
      <x:c r="A544" s="187" t="n">
        <x:v>43164</x:v>
      </x:c>
      <x:c r="B544" s="195" t="n">
        <x:v>2.88</x:v>
      </x:c>
      <x:c r="C544" s="195" t="n">
        <x:v>0.75</x:v>
      </x:c>
      <x:c r="D544" s="195" t="n">
        <x:f>IFERROR(B544-C544,"")</x:f>
        <x:v>2.13</x:v>
      </x:c>
    </x:row>
    <x:row r="545">
      <x:c r="A545" s="187" t="n">
        <x:v>43165</x:v>
      </x:c>
      <x:c r="B545" s="195" t="n">
        <x:v>2.88</x:v>
      </x:c>
      <x:c r="C545" s="195" t="n">
        <x:v>0.76</x:v>
      </x:c>
      <x:c r="D545" s="195" t="n">
        <x:f>IFERROR(B545-C545,"")</x:f>
        <x:v>2.12</x:v>
      </x:c>
    </x:row>
    <x:row r="546">
      <x:c r="A546" s="187" t="n">
        <x:v>43166</x:v>
      </x:c>
      <x:c r="B546" s="195" t="n">
        <x:v>2.89</x:v>
      </x:c>
      <x:c r="C546" s="195" t="n">
        <x:v>0.76</x:v>
      </x:c>
      <x:c r="D546" s="195" t="n">
        <x:f>IFERROR(B546-C546,"")</x:f>
        <x:v>2.13</x:v>
      </x:c>
    </x:row>
    <x:row r="547">
      <x:c r="A547" s="187" t="n">
        <x:v>43167</x:v>
      </x:c>
      <x:c r="B547" s="195" t="n">
        <x:v>2.86</x:v>
      </x:c>
      <x:c r="C547" s="195" t="n">
        <x:v>0.75</x:v>
      </x:c>
      <x:c r="D547" s="195" t="n">
        <x:f>IFERROR(B547-C547,"")</x:f>
        <x:v>2.11</x:v>
      </x:c>
    </x:row>
    <x:row r="548">
      <x:c r="A548" s="187" t="n">
        <x:v>43168</x:v>
      </x:c>
      <x:c r="B548" s="195" t="n">
        <x:v>2.9</x:v>
      </x:c>
      <x:c r="C548" s="195" t="n">
        <x:v>0.78</x:v>
      </x:c>
      <x:c r="D548" s="195" t="n">
        <x:f>IFERROR(B548-C548,"")</x:f>
        <x:v>2.12</x:v>
      </x:c>
    </x:row>
    <x:row r="549">
      <x:c r="A549" s="187" t="n">
        <x:v>43171</x:v>
      </x:c>
      <x:c r="B549" s="195" t="n">
        <x:v>2.87</x:v>
      </x:c>
      <x:c r="C549" s="195" t="n">
        <x:v>0.77</x:v>
      </x:c>
      <x:c r="D549" s="195" t="n">
        <x:f>IFERROR(B549-C549,"")</x:f>
        <x:v>2.1</x:v>
      </x:c>
    </x:row>
    <x:row r="550">
      <x:c r="A550" s="187" t="n">
        <x:v>43172</x:v>
      </x:c>
      <x:c r="B550" s="195" t="n">
        <x:v>2.84</x:v>
      </x:c>
      <x:c r="C550" s="195" t="n">
        <x:v>0.75</x:v>
      </x:c>
      <x:c r="D550" s="195" t="n">
        <x:f>IFERROR(B550-C550,"")</x:f>
        <x:v>2.09</x:v>
      </x:c>
    </x:row>
    <x:row r="551">
      <x:c r="A551" s="187" t="n">
        <x:v>43173</x:v>
      </x:c>
      <x:c r="B551" s="195" t="n">
        <x:v>2.81</x:v>
      </x:c>
      <x:c r="C551" s="195" t="n">
        <x:v>0.74</x:v>
      </x:c>
      <x:c r="D551" s="195" t="n">
        <x:f>IFERROR(B551-C551,"")</x:f>
        <x:v>2.0700000000000003</x:v>
      </x:c>
    </x:row>
    <x:row r="552">
      <x:c r="A552" s="187" t="n">
        <x:v>43174</x:v>
      </x:c>
      <x:c r="B552" s="195" t="n">
        <x:v>2.82</x:v>
      </x:c>
      <x:c r="C552" s="195" t="n">
        <x:v>0.74</x:v>
      </x:c>
      <x:c r="D552" s="195" t="n">
        <x:f>IFERROR(B552-C552,"")</x:f>
        <x:v>2.08</x:v>
      </x:c>
    </x:row>
    <x:row r="553">
      <x:c r="A553" s="187" t="n">
        <x:v>43175</x:v>
      </x:c>
      <x:c r="B553" s="195" t="n">
        <x:v>2.85</x:v>
      </x:c>
      <x:c r="C553" s="195" t="n">
        <x:v>0.77</x:v>
      </x:c>
      <x:c r="D553" s="195" t="n">
        <x:f>IFERROR(B553-C553,"")</x:f>
        <x:v>2.08</x:v>
      </x:c>
    </x:row>
    <x:row r="554">
      <x:c r="A554" s="187" t="n">
        <x:v>43178</x:v>
      </x:c>
      <x:c r="B554" s="195" t="n">
        <x:v>2.85</x:v>
      </x:c>
      <x:c r="C554" s="195" t="n">
        <x:v>0.77</x:v>
      </x:c>
      <x:c r="D554" s="195" t="n">
        <x:f>IFERROR(B554-C554,"")</x:f>
        <x:v>2.08</x:v>
      </x:c>
    </x:row>
    <x:row r="555">
      <x:c r="A555" s="187" t="n">
        <x:v>43179</x:v>
      </x:c>
      <x:c r="B555" s="195" t="n">
        <x:v>2.89</x:v>
      </x:c>
      <x:c r="C555" s="195" t="n">
        <x:v>0.81</x:v>
      </x:c>
      <x:c r="D555" s="195" t="n">
        <x:f>IFERROR(B555-C555,"")</x:f>
        <x:v>2.08</x:v>
      </x:c>
    </x:row>
    <x:row r="556">
      <x:c r="A556" s="187" t="n">
        <x:v>43180</x:v>
      </x:c>
      <x:c r="B556" s="195" t="n">
        <x:v>2.89</x:v>
      </x:c>
      <x:c r="C556" s="195" t="n">
        <x:v>0.8</x:v>
      </x:c>
      <x:c r="D556" s="195" t="n">
        <x:f>IFERROR(B556-C556,"")</x:f>
        <x:v>2.09</x:v>
      </x:c>
    </x:row>
    <x:row r="557">
      <x:c r="A557" s="187" t="n">
        <x:v>43181</x:v>
      </x:c>
      <x:c r="B557" s="195" t="n">
        <x:v>2.83</x:v>
      </x:c>
      <x:c r="C557" s="195" t="n">
        <x:v>0.75</x:v>
      </x:c>
      <x:c r="D557" s="195" t="n">
        <x:f>IFERROR(B557-C557,"")</x:f>
        <x:v>2.08</x:v>
      </x:c>
    </x:row>
    <x:row r="558">
      <x:c r="A558" s="187" t="n">
        <x:v>43182</x:v>
      </x:c>
      <x:c r="B558" s="195" t="n">
        <x:v>2.82</x:v>
      </x:c>
      <x:c r="C558" s="195" t="n">
        <x:v>0.75</x:v>
      </x:c>
      <x:c r="D558" s="195" t="n">
        <x:f>IFERROR(B558-C558,"")</x:f>
        <x:v>2.07</x:v>
      </x:c>
    </x:row>
    <x:row r="559">
      <x:c r="A559" s="187" t="n">
        <x:v>43185</x:v>
      </x:c>
      <x:c r="B559" s="195" t="n">
        <x:v>2.85</x:v>
      </x:c>
      <x:c r="C559" s="195" t="n">
        <x:v>0.77</x:v>
      </x:c>
      <x:c r="D559" s="195" t="n">
        <x:f>IFERROR(B559-C559,"")</x:f>
        <x:v>2.08</x:v>
      </x:c>
    </x:row>
    <x:row r="560">
      <x:c r="A560" s="187" t="n">
        <x:v>43186</x:v>
      </x:c>
      <x:c r="B560" s="195" t="n">
        <x:v>2.78</x:v>
      </x:c>
      <x:c r="C560" s="195" t="n">
        <x:v>0.71</x:v>
      </x:c>
      <x:c r="D560" s="195" t="n">
        <x:f>IFERROR(B560-C560,"")</x:f>
        <x:v>2.07</x:v>
      </x:c>
    </x:row>
    <x:row r="561">
      <x:c r="A561" s="187" t="n">
        <x:v>43187</x:v>
      </x:c>
      <x:c r="B561" s="195" t="n">
        <x:v>2.77</x:v>
      </x:c>
      <x:c r="C561" s="195" t="n">
        <x:v>0.72</x:v>
      </x:c>
      <x:c r="D561" s="195" t="n">
        <x:f>IFERROR(B561-C561,"")</x:f>
        <x:v>2.05</x:v>
      </x:c>
    </x:row>
    <x:row r="562">
      <x:c r="A562" s="187" t="n">
        <x:v>43188</x:v>
      </x:c>
      <x:c r="B562" s="195" t="n">
        <x:v>2.74</x:v>
      </x:c>
      <x:c r="C562" s="195" t="n">
        <x:v>0.69</x:v>
      </x:c>
      <x:c r="D562" s="195" t="n">
        <x:f>IFERROR(B562-C562,"")</x:f>
        <x:v>2.0500000000000003</x:v>
      </x:c>
    </x:row>
    <x:row r="563">
      <x:c r="A563" s="187" t="n">
        <x:v>43192</x:v>
      </x:c>
      <x:c r="B563" s="195" t="n">
        <x:v>2.73</x:v>
      </x:c>
      <x:c r="C563" s="195" t="n">
        <x:v>0.68</x:v>
      </x:c>
      <x:c r="D563" s="195" t="n">
        <x:f>IFERROR(B563-C563,"")</x:f>
        <x:v>2.05</x:v>
      </x:c>
    </x:row>
    <x:row r="564">
      <x:c r="A564" s="187" t="n">
        <x:v>43193</x:v>
      </x:c>
      <x:c r="B564" s="195" t="n">
        <x:v>2.79</x:v>
      </x:c>
      <x:c r="C564" s="195" t="n">
        <x:v>0.71</x:v>
      </x:c>
      <x:c r="D564" s="195" t="n">
        <x:f>IFERROR(B564-C564,"")</x:f>
        <x:v>2.08</x:v>
      </x:c>
    </x:row>
    <x:row r="565">
      <x:c r="A565" s="187" t="n">
        <x:v>43194</x:v>
      </x:c>
      <x:c r="B565" s="195" t="n">
        <x:v>2.79</x:v>
      </x:c>
      <x:c r="C565" s="195" t="n">
        <x:v>0.71</x:v>
      </x:c>
      <x:c r="D565" s="195" t="n">
        <x:f>IFERROR(B565-C565,"")</x:f>
        <x:v>2.08</x:v>
      </x:c>
    </x:row>
    <x:row r="566">
      <x:c r="A566" s="187" t="n">
        <x:v>43195</x:v>
      </x:c>
      <x:c r="B566" s="195" t="n">
        <x:v>2.83</x:v>
      </x:c>
      <x:c r="C566" s="195" t="n">
        <x:v>0.75</x:v>
      </x:c>
      <x:c r="D566" s="195" t="n">
        <x:f>IFERROR(B566-C566,"")</x:f>
        <x:v>2.08</x:v>
      </x:c>
    </x:row>
    <x:row r="567">
      <x:c r="A567" s="187" t="n">
        <x:v>43196</x:v>
      </x:c>
      <x:c r="B567" s="195" t="n">
        <x:v>2.77</x:v>
      </x:c>
      <x:c r="C567" s="195" t="n">
        <x:v>0.7</x:v>
      </x:c>
      <x:c r="D567" s="195" t="n">
        <x:f>IFERROR(B567-C567,"")</x:f>
        <x:v>2.0700000000000003</x:v>
      </x:c>
    </x:row>
    <x:row r="568">
      <x:c r="A568" s="187" t="n">
        <x:v>43199</x:v>
      </x:c>
      <x:c r="B568" s="195" t="n">
        <x:v>2.78</x:v>
      </x:c>
      <x:c r="C568" s="195" t="n">
        <x:v>0.71</x:v>
      </x:c>
      <x:c r="D568" s="195" t="n">
        <x:f>IFERROR(B568-C568,"")</x:f>
        <x:v>2.07</x:v>
      </x:c>
    </x:row>
    <x:row r="569">
      <x:c r="A569" s="187" t="n">
        <x:v>43200</x:v>
      </x:c>
      <x:c r="B569" s="195" t="n">
        <x:v>2.8</x:v>
      </x:c>
      <x:c r="C569" s="195" t="n">
        <x:v>0.72</x:v>
      </x:c>
      <x:c r="D569" s="195" t="n">
        <x:f>IFERROR(B569-C569,"")</x:f>
        <x:v>2.08</x:v>
      </x:c>
    </x:row>
    <x:row r="570">
      <x:c r="A570" s="187" t="n">
        <x:v>43201</x:v>
      </x:c>
      <x:c r="B570" s="195" t="n">
        <x:v>2.79</x:v>
      </x:c>
      <x:c r="C570" s="195" t="n">
        <x:v>0.68</x:v>
      </x:c>
      <x:c r="D570" s="195" t="n">
        <x:f>IFERROR(B570-C570,"")</x:f>
        <x:v>2.11</x:v>
      </x:c>
    </x:row>
    <x:row r="571">
      <x:c r="A571" s="187" t="n">
        <x:v>43202</x:v>
      </x:c>
      <x:c r="B571" s="195" t="n">
        <x:v>2.83</x:v>
      </x:c>
      <x:c r="C571" s="195" t="n">
        <x:v>0.7</x:v>
      </x:c>
      <x:c r="D571" s="195" t="n">
        <x:f>IFERROR(B571-C571,"")</x:f>
        <x:v>2.13</x:v>
      </x:c>
    </x:row>
    <x:row r="572">
      <x:c r="A572" s="187" t="n">
        <x:v>43203</x:v>
      </x:c>
      <x:c r="B572" s="195" t="n">
        <x:v>2.82</x:v>
      </x:c>
      <x:c r="C572" s="195" t="n">
        <x:v>0.69</x:v>
      </x:c>
      <x:c r="D572" s="195" t="n">
        <x:f>IFERROR(B572-C572,"")</x:f>
        <x:v>2.13</x:v>
      </x:c>
    </x:row>
    <x:row r="573">
      <x:c r="A573" s="187" t="n">
        <x:v>43206</x:v>
      </x:c>
      <x:c r="B573" s="195" t="n">
        <x:v>2.83</x:v>
      </x:c>
      <x:c r="C573" s="195" t="n">
        <x:v>0.71</x:v>
      </x:c>
      <x:c r="D573" s="195" t="n">
        <x:f>IFERROR(B573-C573,"")</x:f>
        <x:v>2.12</x:v>
      </x:c>
    </x:row>
    <x:row r="574">
      <x:c r="A574" s="187" t="n">
        <x:v>43207</x:v>
      </x:c>
      <x:c r="B574" s="195" t="n">
        <x:v>2.82</x:v>
      </x:c>
      <x:c r="C574" s="195" t="n">
        <x:v>0.68</x:v>
      </x:c>
      <x:c r="D574" s="195" t="n">
        <x:f>IFERROR(B574-C574,"")</x:f>
        <x:v>2.1399999999999997</x:v>
      </x:c>
    </x:row>
    <x:row r="575">
      <x:c r="A575" s="187" t="n">
        <x:v>43208</x:v>
      </x:c>
      <x:c r="B575" s="195" t="n">
        <x:v>2.87</x:v>
      </x:c>
      <x:c r="C575" s="195" t="n">
        <x:v>0.71</x:v>
      </x:c>
      <x:c r="D575" s="195" t="n">
        <x:f>IFERROR(B575-C575,"")</x:f>
        <x:v>2.16</x:v>
      </x:c>
    </x:row>
    <x:row r="576">
      <x:c r="A576" s="187" t="n">
        <x:v>43209</x:v>
      </x:c>
      <x:c r="B576" s="195" t="n">
        <x:v>2.92</x:v>
      </x:c>
      <x:c r="C576" s="195" t="n">
        <x:v>0.75</x:v>
      </x:c>
      <x:c r="D576" s="195" t="n">
        <x:f>IFERROR(B576-C576,"")</x:f>
        <x:v>2.17</x:v>
      </x:c>
    </x:row>
    <x:row r="577">
      <x:c r="A577" s="187" t="n">
        <x:v>43210</x:v>
      </x:c>
      <x:c r="B577" s="195" t="n">
        <x:v>2.96</x:v>
      </x:c>
      <x:c r="C577" s="195" t="n">
        <x:v>0.79</x:v>
      </x:c>
      <x:c r="D577" s="195" t="n">
        <x:f>IFERROR(B577-C577,"")</x:f>
        <x:v>2.17</x:v>
      </x:c>
    </x:row>
    <x:row r="578">
      <x:c r="A578" s="187" t="n">
        <x:v>43213</x:v>
      </x:c>
      <x:c r="B578" s="195" t="n">
        <x:v>2.98</x:v>
      </x:c>
      <x:c r="C578" s="195" t="n">
        <x:v>0.8</x:v>
      </x:c>
      <x:c r="D578" s="195" t="n">
        <x:f>IFERROR(B578-C578,"")</x:f>
        <x:v>2.1799999999999997</x:v>
      </x:c>
    </x:row>
    <x:row r="579">
      <x:c r="A579" s="187" t="n">
        <x:v>43214</x:v>
      </x:c>
      <x:c r="B579" s="195" t="n">
        <x:v>3</x:v>
      </x:c>
      <x:c r="C579" s="195" t="n">
        <x:v>0.83</x:v>
      </x:c>
      <x:c r="D579" s="195" t="n">
        <x:f>IFERROR(B579-C579,"")</x:f>
        <x:v>2.17</x:v>
      </x:c>
    </x:row>
    <x:row r="580">
      <x:c r="A580" s="187" t="n">
        <x:v>43215</x:v>
      </x:c>
      <x:c r="B580" s="195" t="n">
        <x:v>3.03</x:v>
      </x:c>
      <x:c r="C580" s="195" t="n">
        <x:v>0.86</x:v>
      </x:c>
      <x:c r="D580" s="195" t="n">
        <x:f>IFERROR(B580-C580,"")</x:f>
        <x:v>2.17</x:v>
      </x:c>
    </x:row>
    <x:row r="581">
      <x:c r="A581" s="187" t="n">
        <x:v>43216</x:v>
      </x:c>
      <x:c r="B581" s="195" t="n">
        <x:v>3</x:v>
      </x:c>
      <x:c r="C581" s="195" t="n">
        <x:v>0.82</x:v>
      </x:c>
      <x:c r="D581" s="195" t="n">
        <x:f>IFERROR(B581-C581,"")</x:f>
        <x:v>2.18</x:v>
      </x:c>
    </x:row>
    <x:row r="582">
      <x:c r="A582" s="187" t="n">
        <x:v>43217</x:v>
      </x:c>
      <x:c r="B582" s="195" t="n">
        <x:v>2.96</x:v>
      </x:c>
      <x:c r="C582" s="195" t="n">
        <x:v>0.79</x:v>
      </x:c>
      <x:c r="D582" s="195" t="n">
        <x:f>IFERROR(B582-C582,"")</x:f>
        <x:v>2.17</x:v>
      </x:c>
    </x:row>
    <x:row r="583">
      <x:c r="A583" s="187" t="n">
        <x:v>43220</x:v>
      </x:c>
      <x:c r="B583" s="195" t="n">
        <x:v>2.95</x:v>
      </x:c>
      <x:c r="C583" s="195" t="n">
        <x:v>0.78</x:v>
      </x:c>
      <x:c r="D583" s="195" t="n">
        <x:f>IFERROR(B583-C583,"")</x:f>
        <x:v>2.17</x:v>
      </x:c>
    </x:row>
    <x:row r="584">
      <x:c r="A584" s="187" t="n">
        <x:v>43221</x:v>
      </x:c>
      <x:c r="B584" s="195" t="n">
        <x:v>2.97</x:v>
      </x:c>
      <x:c r="C584" s="195" t="n">
        <x:v>0.81</x:v>
      </x:c>
      <x:c r="D584" s="195" t="n">
        <x:f>IFERROR(B584-C584,"")</x:f>
        <x:v>2.16</x:v>
      </x:c>
    </x:row>
    <x:row r="585">
      <x:c r="A585" s="187" t="n">
        <x:v>43222</x:v>
      </x:c>
      <x:c r="B585" s="195" t="n">
        <x:v>2.97</x:v>
      </x:c>
      <x:c r="C585" s="195" t="n">
        <x:v>0.8</x:v>
      </x:c>
      <x:c r="D585" s="195" t="n">
        <x:f>IFERROR(B585-C585,"")</x:f>
        <x:v>2.17</x:v>
      </x:c>
    </x:row>
    <x:row r="586">
      <x:c r="A586" s="187" t="n">
        <x:v>43223</x:v>
      </x:c>
      <x:c r="B586" s="195" t="n">
        <x:v>2.94</x:v>
      </x:c>
      <x:c r="C586" s="195" t="n">
        <x:v>0.78</x:v>
      </x:c>
      <x:c r="D586" s="195" t="n">
        <x:f>IFERROR(B586-C586,"")</x:f>
        <x:v>2.16</x:v>
      </x:c>
    </x:row>
    <x:row r="587">
      <x:c r="A587" s="187" t="n">
        <x:v>43224</x:v>
      </x:c>
      <x:c r="B587" s="195" t="n">
        <x:v>2.95</x:v>
      </x:c>
      <x:c r="C587" s="195" t="n">
        <x:v>0.79</x:v>
      </x:c>
      <x:c r="D587" s="195" t="n">
        <x:f>IFERROR(B587-C587,"")</x:f>
        <x:v>2.16</x:v>
      </x:c>
    </x:row>
    <x:row r="588">
      <x:c r="A588" s="187" t="n">
        <x:v>43227</x:v>
      </x:c>
      <x:c r="B588" s="195" t="n">
        <x:v>2.95</x:v>
      </x:c>
      <x:c r="C588" s="195" t="n">
        <x:v>0.78</x:v>
      </x:c>
      <x:c r="D588" s="195" t="n">
        <x:f>IFERROR(B588-C588,"")</x:f>
        <x:v>2.17</x:v>
      </x:c>
    </x:row>
    <x:row r="589">
      <x:c r="A589" s="187" t="n">
        <x:v>43228</x:v>
      </x:c>
      <x:c r="B589" s="195" t="n">
        <x:v>2.97</x:v>
      </x:c>
      <x:c r="C589" s="195" t="n">
        <x:v>0.81</x:v>
      </x:c>
      <x:c r="D589" s="195" t="n">
        <x:f>IFERROR(B589-C589,"")</x:f>
        <x:v>2.16</x:v>
      </x:c>
    </x:row>
    <x:row r="590">
      <x:c r="A590" s="187" t="n">
        <x:v>43229</x:v>
      </x:c>
      <x:c r="B590" s="195" t="n">
        <x:v>3</x:v>
      </x:c>
      <x:c r="C590" s="195" t="n">
        <x:v>0.82</x:v>
      </x:c>
      <x:c r="D590" s="195" t="n">
        <x:f>IFERROR(B590-C590,"")</x:f>
        <x:v>2.18</x:v>
      </x:c>
    </x:row>
    <x:row r="591">
      <x:c r="A591" s="187" t="n">
        <x:v>43230</x:v>
      </x:c>
      <x:c r="B591" s="195" t="n">
        <x:v>2.97</x:v>
      </x:c>
      <x:c r="C591" s="195" t="n">
        <x:v>0.8</x:v>
      </x:c>
      <x:c r="D591" s="195" t="n">
        <x:f>IFERROR(B591-C591,"")</x:f>
        <x:v>2.17</x:v>
      </x:c>
    </x:row>
    <x:row r="592">
      <x:c r="A592" s="187" t="n">
        <x:v>43231</x:v>
      </x:c>
      <x:c r="B592" s="195" t="n">
        <x:v>2.97</x:v>
      </x:c>
      <x:c r="C592" s="195" t="n">
        <x:v>0.82</x:v>
      </x:c>
      <x:c r="D592" s="195" t="n">
        <x:f>IFERROR(B592-C592,"")</x:f>
        <x:v>2.1500000000000004</x:v>
      </x:c>
    </x:row>
    <x:row r="593">
      <x:c r="A593" s="187" t="n">
        <x:v>43234</x:v>
      </x:c>
      <x:c r="B593" s="195" t="n">
        <x:v>3</x:v>
      </x:c>
      <x:c r="C593" s="195" t="n">
        <x:v>0.85</x:v>
      </x:c>
      <x:c r="D593" s="195" t="n">
        <x:f>IFERROR(B593-C593,"")</x:f>
        <x:v>2.15</x:v>
      </x:c>
    </x:row>
    <x:row r="594">
      <x:c r="A594" s="187" t="n">
        <x:v>43235</x:v>
      </x:c>
      <x:c r="B594" s="195" t="n">
        <x:v>3.08</x:v>
      </x:c>
      <x:c r="C594" s="195" t="n">
        <x:v>0.9</x:v>
      </x:c>
      <x:c r="D594" s="195" t="n">
        <x:f>IFERROR(B594-C594,"")</x:f>
        <x:v>2.18</x:v>
      </x:c>
    </x:row>
    <x:row r="595">
      <x:c r="A595" s="187" t="n">
        <x:v>43236</x:v>
      </x:c>
      <x:c r="B595" s="195" t="n">
        <x:v>3.09</x:v>
      </x:c>
      <x:c r="C595" s="195" t="n">
        <x:v>0.92</x:v>
      </x:c>
      <x:c r="D595" s="195" t="n">
        <x:f>IFERROR(B595-C595,"")</x:f>
        <x:v>2.17</x:v>
      </x:c>
    </x:row>
    <x:row r="596">
      <x:c r="A596" s="187" t="n">
        <x:v>43237</x:v>
      </x:c>
      <x:c r="B596" s="195" t="n">
        <x:v>3.11</x:v>
      </x:c>
      <x:c r="C596" s="195" t="n">
        <x:v>0.95</x:v>
      </x:c>
      <x:c r="D596" s="195" t="n">
        <x:f>IFERROR(B596-C596,"")</x:f>
        <x:v>2.16</x:v>
      </x:c>
    </x:row>
    <x:row r="597">
      <x:c r="A597" s="187" t="n">
        <x:v>43238</x:v>
      </x:c>
      <x:c r="B597" s="195" t="n">
        <x:v>3.06</x:v>
      </x:c>
      <x:c r="C597" s="195" t="n">
        <x:v>0.91</x:v>
      </x:c>
      <x:c r="D597" s="195" t="n">
        <x:f>IFERROR(B597-C597,"")</x:f>
        <x:v>2.15</x:v>
      </x:c>
    </x:row>
    <x:row r="598">
      <x:c r="A598" s="187" t="n">
        <x:v>43241</x:v>
      </x:c>
      <x:c r="B598" s="195" t="n">
        <x:v>3.06</x:v>
      </x:c>
      <x:c r="C598" s="195" t="n">
        <x:v>0.9</x:v>
      </x:c>
      <x:c r="D598" s="195" t="n">
        <x:f>IFERROR(B598-C598,"")</x:f>
        <x:v>2.16</x:v>
      </x:c>
    </x:row>
    <x:row r="599">
      <x:c r="A599" s="187" t="n">
        <x:v>43242</x:v>
      </x:c>
      <x:c r="B599" s="195" t="n">
        <x:v>3.06</x:v>
      </x:c>
      <x:c r="C599" s="195" t="n">
        <x:v>0.91</x:v>
      </x:c>
      <x:c r="D599" s="195" t="n">
        <x:f>IFERROR(B599-C599,"")</x:f>
        <x:v>2.15</x:v>
      </x:c>
    </x:row>
    <x:row r="600">
      <x:c r="A600" s="187" t="n">
        <x:v>43243</x:v>
      </x:c>
      <x:c r="B600" s="195" t="n">
        <x:v>3.01</x:v>
      </x:c>
      <x:c r="C600" s="195" t="n">
        <x:v>0.87</x:v>
      </x:c>
      <x:c r="D600" s="195" t="n">
        <x:f>IFERROR(B600-C600,"")</x:f>
        <x:v>2.1399999999999997</x:v>
      </x:c>
    </x:row>
    <x:row r="601">
      <x:c r="A601" s="187" t="n">
        <x:v>43244</x:v>
      </x:c>
      <x:c r="B601" s="195" t="n">
        <x:v>2.98</x:v>
      </x:c>
      <x:c r="C601" s="195" t="n">
        <x:v>0.86</x:v>
      </x:c>
      <x:c r="D601" s="195" t="n">
        <x:f>IFERROR(B601-C601,"")</x:f>
        <x:v>2.12</x:v>
      </x:c>
    </x:row>
    <x:row r="602">
      <x:c r="A602" s="187" t="n">
        <x:v>43245</x:v>
      </x:c>
      <x:c r="B602" s="195" t="n">
        <x:v>2.93</x:v>
      </x:c>
      <x:c r="C602" s="195" t="n">
        <x:v>0.84</x:v>
      </x:c>
      <x:c r="D602" s="195" t="n">
        <x:f>IFERROR(B602-C602,"")</x:f>
        <x:v>2.0900000000000003</x:v>
      </x:c>
    </x:row>
    <x:row r="603">
      <x:c r="A603" s="187" t="n">
        <x:v>43249</x:v>
      </x:c>
      <x:c r="B603" s="195" t="n">
        <x:v>2.77</x:v>
      </x:c>
      <x:c r="C603" s="195" t="n">
        <x:v>0.73</x:v>
      </x:c>
      <x:c r="D603" s="195" t="n">
        <x:f>IFERROR(B603-C603,"")</x:f>
        <x:v>2.04</x:v>
      </x:c>
    </x:row>
    <x:row r="604">
      <x:c r="A604" s="187" t="n">
        <x:v>43250</x:v>
      </x:c>
      <x:c r="B604" s="195" t="n">
        <x:v>2.84</x:v>
      </x:c>
      <x:c r="C604" s="195" t="n">
        <x:v>0.78</x:v>
      </x:c>
      <x:c r="D604" s="195" t="n">
        <x:f>IFERROR(B604-C604,"")</x:f>
        <x:v>2.0599999999999996</x:v>
      </x:c>
    </x:row>
    <x:row r="605">
      <x:c r="A605" s="187" t="n">
        <x:v>43251</x:v>
      </x:c>
      <x:c r="B605" s="195" t="n">
        <x:v>2.83</x:v>
      </x:c>
      <x:c r="C605" s="195" t="n">
        <x:v>0.76</x:v>
      </x:c>
      <x:c r="D605" s="195" t="n">
        <x:f>IFERROR(B605-C605,"")</x:f>
        <x:v>2.0700000000000003</x:v>
      </x:c>
    </x:row>
    <x:row r="606">
      <x:c r="A606" s="187" t="n">
        <x:v>43252</x:v>
      </x:c>
      <x:c r="B606" s="195" t="n">
        <x:v>2.89</x:v>
      </x:c>
      <x:c r="C606" s="195" t="n">
        <x:v>0.8</x:v>
      </x:c>
      <x:c r="D606" s="195" t="n">
        <x:f>IFERROR(B606-C606,"")</x:f>
        <x:v>2.09</x:v>
      </x:c>
    </x:row>
    <x:row r="607">
      <x:c r="A607" s="187" t="n">
        <x:v>43255</x:v>
      </x:c>
      <x:c r="B607" s="195" t="n">
        <x:v>2.94</x:v>
      </x:c>
      <x:c r="C607" s="195" t="n">
        <x:v>0.82</x:v>
      </x:c>
      <x:c r="D607" s="195" t="n">
        <x:f>IFERROR(B607-C607,"")</x:f>
        <x:v>2.12</x:v>
      </x:c>
    </x:row>
    <x:row r="608">
      <x:c r="A608" s="187" t="n">
        <x:v>43256</x:v>
      </x:c>
      <x:c r="B608" s="195" t="n">
        <x:v>2.92</x:v>
      </x:c>
      <x:c r="C608" s="195" t="n">
        <x:v>0.79</x:v>
      </x:c>
      <x:c r="D608" s="195" t="n">
        <x:f>IFERROR(B608-C608,"")</x:f>
        <x:v>2.13</x:v>
      </x:c>
    </x:row>
    <x:row r="609">
      <x:c r="A609" s="187" t="n">
        <x:v>43257</x:v>
      </x:c>
      <x:c r="B609" s="195" t="n">
        <x:v>2.97</x:v>
      </x:c>
      <x:c r="C609" s="195" t="n">
        <x:v>0.83</x:v>
      </x:c>
      <x:c r="D609" s="195" t="n">
        <x:f>IFERROR(B609-C609,"")</x:f>
        <x:v>2.14</x:v>
      </x:c>
    </x:row>
    <x:row r="610">
      <x:c r="A610" s="187" t="n">
        <x:v>43258</x:v>
      </x:c>
      <x:c r="B610" s="195" t="n">
        <x:v>2.93</x:v>
      </x:c>
      <x:c r="C610" s="195" t="n">
        <x:v>0.8</x:v>
      </x:c>
      <x:c r="D610" s="195" t="n">
        <x:f>IFERROR(B610-C610,"")</x:f>
        <x:v>2.13</x:v>
      </x:c>
    </x:row>
    <x:row r="611">
      <x:c r="A611" s="187" t="n">
        <x:v>43259</x:v>
      </x:c>
      <x:c r="B611" s="195" t="n">
        <x:v>2.93</x:v>
      </x:c>
      <x:c r="C611" s="195" t="n">
        <x:v>0.82</x:v>
      </x:c>
      <x:c r="D611" s="195" t="n">
        <x:f>IFERROR(B611-C611,"")</x:f>
        <x:v>2.1100000000000003</x:v>
      </x:c>
    </x:row>
    <x:row r="612">
      <x:c r="A612" s="187" t="n">
        <x:v>43262</x:v>
      </x:c>
      <x:c r="B612" s="195" t="n">
        <x:v>2.96</x:v>
      </x:c>
      <x:c r="C612" s="195" t="n">
        <x:v>0.83</x:v>
      </x:c>
      <x:c r="D612" s="195" t="n">
        <x:f>IFERROR(B612-C612,"")</x:f>
        <x:v>2.13</x:v>
      </x:c>
    </x:row>
    <x:row r="613">
      <x:c r="A613" s="187" t="n">
        <x:v>43263</x:v>
      </x:c>
      <x:c r="B613" s="195" t="n">
        <x:v>2.96</x:v>
      </x:c>
      <x:c r="C613" s="195" t="n">
        <x:v>0.83</x:v>
      </x:c>
      <x:c r="D613" s="195" t="n">
        <x:f>IFERROR(B613-C613,"")</x:f>
        <x:v>2.13</x:v>
      </x:c>
    </x:row>
    <x:row r="614">
      <x:c r="A614" s="187" t="n">
        <x:v>43264</x:v>
      </x:c>
      <x:c r="B614" s="195" t="n">
        <x:v>2.98</x:v>
      </x:c>
      <x:c r="C614" s="195" t="n">
        <x:v>0.86</x:v>
      </x:c>
      <x:c r="D614" s="195" t="n">
        <x:f>IFERROR(B614-C614,"")</x:f>
        <x:v>2.12</x:v>
      </x:c>
    </x:row>
    <x:row r="615">
      <x:c r="A615" s="187" t="n">
        <x:v>43265</x:v>
      </x:c>
      <x:c r="B615" s="195" t="n">
        <x:v>2.94</x:v>
      </x:c>
      <x:c r="C615" s="195" t="n">
        <x:v>0.82</x:v>
      </x:c>
      <x:c r="D615" s="195" t="n">
        <x:f>IFERROR(B615-C615,"")</x:f>
        <x:v>2.12</x:v>
      </x:c>
    </x:row>
    <x:row r="616">
      <x:c r="A616" s="187" t="n">
        <x:v>43266</x:v>
      </x:c>
      <x:c r="B616" s="195" t="n">
        <x:v>2.93</x:v>
      </x:c>
      <x:c r="C616" s="195" t="n">
        <x:v>0.81</x:v>
      </x:c>
      <x:c r="D616" s="195" t="n">
        <x:f>IFERROR(B616-C616,"")</x:f>
        <x:v>2.12</x:v>
      </x:c>
    </x:row>
    <x:row r="617">
      <x:c r="A617" s="187" t="n">
        <x:v>43269</x:v>
      </x:c>
      <x:c r="B617" s="195" t="n">
        <x:v>2.92</x:v>
      </x:c>
      <x:c r="C617" s="195" t="n">
        <x:v>0.8</x:v>
      </x:c>
      <x:c r="D617" s="195" t="n">
        <x:f>IFERROR(B617-C617,"")</x:f>
        <x:v>2.12</x:v>
      </x:c>
    </x:row>
    <x:row r="618">
      <x:c r="A618" s="187" t="n">
        <x:v>43270</x:v>
      </x:c>
      <x:c r="B618" s="195" t="n">
        <x:v>2.89</x:v>
      </x:c>
      <x:c r="C618" s="195" t="n">
        <x:v>0.77</x:v>
      </x:c>
      <x:c r="D618" s="195" t="n">
        <x:f>IFERROR(B618-C618,"")</x:f>
        <x:v>2.12</x:v>
      </x:c>
    </x:row>
    <x:row r="619">
      <x:c r="A619" s="187" t="n">
        <x:v>43271</x:v>
      </x:c>
      <x:c r="B619" s="195" t="n">
        <x:v>2.93</x:v>
      </x:c>
      <x:c r="C619" s="195" t="n">
        <x:v>0.81</x:v>
      </x:c>
      <x:c r="D619" s="195" t="n">
        <x:f>IFERROR(B619-C619,"")</x:f>
        <x:v>2.12</x:v>
      </x:c>
    </x:row>
    <x:row r="620">
      <x:c r="A620" s="187" t="n">
        <x:v>43272</x:v>
      </x:c>
      <x:c r="B620" s="195" t="n">
        <x:v>2.9</x:v>
      </x:c>
      <x:c r="C620" s="195" t="n">
        <x:v>0.79</x:v>
      </x:c>
      <x:c r="D620" s="195" t="n">
        <x:f>IFERROR(B620-C620,"")</x:f>
        <x:v>2.11</x:v>
      </x:c>
    </x:row>
    <x:row r="621">
      <x:c r="A621" s="187" t="n">
        <x:v>43273</x:v>
      </x:c>
      <x:c r="B621" s="195" t="n">
        <x:v>2.9</x:v>
      </x:c>
      <x:c r="C621" s="195" t="n">
        <x:v>0.78</x:v>
      </x:c>
      <x:c r="D621" s="195" t="n">
        <x:f>IFERROR(B621-C621,"")</x:f>
        <x:v>2.12</x:v>
      </x:c>
    </x:row>
    <x:row r="622">
      <x:c r="A622" s="187" t="n">
        <x:v>43276</x:v>
      </x:c>
      <x:c r="B622" s="195" t="n">
        <x:v>2.87</x:v>
      </x:c>
      <x:c r="C622" s="195" t="n">
        <x:v>0.77</x:v>
      </x:c>
      <x:c r="D622" s="195" t="n">
        <x:f>IFERROR(B622-C622,"")</x:f>
        <x:v>2.1</x:v>
      </x:c>
    </x:row>
    <x:row r="623">
      <x:c r="A623" s="187" t="n">
        <x:v>43277</x:v>
      </x:c>
      <x:c r="B623" s="195" t="n">
        <x:v>2.88</x:v>
      </x:c>
      <x:c r="C623" s="195" t="n">
        <x:v>0.76</x:v>
      </x:c>
      <x:c r="D623" s="195" t="n">
        <x:f>IFERROR(B623-C623,"")</x:f>
        <x:v>2.12</x:v>
      </x:c>
    </x:row>
    <x:row r="624">
      <x:c r="A624" s="187" t="n">
        <x:v>43278</x:v>
      </x:c>
      <x:c r="B624" s="195" t="n">
        <x:v>2.83</x:v>
      </x:c>
      <x:c r="C624" s="195" t="n">
        <x:v>0.72</x:v>
      </x:c>
      <x:c r="D624" s="195" t="n">
        <x:f>IFERROR(B624-C624,"")</x:f>
        <x:v>2.1100000000000003</x:v>
      </x:c>
    </x:row>
    <x:row r="625">
      <x:c r="A625" s="187" t="n">
        <x:v>43279</x:v>
      </x:c>
      <x:c r="B625" s="195" t="n">
        <x:v>2.84</x:v>
      </x:c>
      <x:c r="C625" s="195" t="n">
        <x:v>0.74</x:v>
      </x:c>
      <x:c r="D625" s="195" t="n">
        <x:f>IFERROR(B625-C625,"")</x:f>
        <x:v>2.0999999999999996</x:v>
      </x:c>
    </x:row>
    <x:row r="626">
      <x:c r="A626" s="187" t="n">
        <x:v>43280</x:v>
      </x:c>
      <x:c r="B626" s="195" t="n">
        <x:v>2.85</x:v>
      </x:c>
      <x:c r="C626" s="195" t="n">
        <x:v>0.74</x:v>
      </x:c>
      <x:c r="D626" s="195" t="n">
        <x:f>IFERROR(B626-C626,"")</x:f>
        <x:v>2.1100000000000003</x:v>
      </x:c>
    </x:row>
    <x:row r="627">
      <x:c r="A627" s="187" t="n">
        <x:v>43283</x:v>
      </x:c>
      <x:c r="B627" s="195" t="n">
        <x:v>2.87</x:v>
      </x:c>
      <x:c r="C627" s="195" t="n">
        <x:v>0.73</x:v>
      </x:c>
      <x:c r="D627" s="195" t="n">
        <x:f>IFERROR(B627-C627,"")</x:f>
        <x:v>2.14</x:v>
      </x:c>
    </x:row>
    <x:row r="628">
      <x:c r="A628" s="187" t="n">
        <x:v>43284</x:v>
      </x:c>
      <x:c r="B628" s="195" t="n">
        <x:v>2.83</x:v>
      </x:c>
      <x:c r="C628" s="195" t="n">
        <x:v>0.71</x:v>
      </x:c>
      <x:c r="D628" s="195" t="n">
        <x:f>IFERROR(B628-C628,"")</x:f>
        <x:v>2.12</x:v>
      </x:c>
    </x:row>
    <x:row r="629">
      <x:c r="A629" s="187" t="n">
        <x:v>43286</x:v>
      </x:c>
      <x:c r="B629" s="195" t="n">
        <x:v>2.84</x:v>
      </x:c>
      <x:c r="C629" s="195" t="n">
        <x:v>0.71</x:v>
      </x:c>
      <x:c r="D629" s="195" t="n">
        <x:f>IFERROR(B629-C629,"")</x:f>
        <x:v>2.13</x:v>
      </x:c>
    </x:row>
    <x:row r="630">
      <x:c r="A630" s="187" t="n">
        <x:v>43287</x:v>
      </x:c>
      <x:c r="B630" s="195" t="n">
        <x:v>2.82</x:v>
      </x:c>
      <x:c r="C630" s="195" t="n">
        <x:v>0.7</x:v>
      </x:c>
      <x:c r="D630" s="195" t="n">
        <x:f>IFERROR(B630-C630,"")</x:f>
        <x:v>2.12</x:v>
      </x:c>
    </x:row>
    <x:row r="631">
      <x:c r="A631" s="187" t="n">
        <x:v>43290</x:v>
      </x:c>
      <x:c r="B631" s="195" t="n">
        <x:v>2.86</x:v>
      </x:c>
      <x:c r="C631" s="195" t="n">
        <x:v>0.73</x:v>
      </x:c>
      <x:c r="D631" s="195" t="n">
        <x:f>IFERROR(B631-C631,"")</x:f>
        <x:v>2.13</x:v>
      </x:c>
    </x:row>
    <x:row r="632">
      <x:c r="A632" s="187" t="n">
        <x:v>43291</x:v>
      </x:c>
      <x:c r="B632" s="195" t="n">
        <x:v>2.87</x:v>
      </x:c>
      <x:c r="C632" s="195" t="n">
        <x:v>0.74</x:v>
      </x:c>
      <x:c r="D632" s="195" t="n">
        <x:f>IFERROR(B632-C632,"")</x:f>
        <x:v>2.13</x:v>
      </x:c>
    </x:row>
    <x:row r="633">
      <x:c r="A633" s="187" t="n">
        <x:v>43292</x:v>
      </x:c>
      <x:c r="B633" s="195" t="n">
        <x:v>2.85</x:v>
      </x:c>
      <x:c r="C633" s="195" t="n">
        <x:v>0.74</x:v>
      </x:c>
      <x:c r="D633" s="195" t="n">
        <x:f>IFERROR(B633-C633,"")</x:f>
        <x:v>2.1100000000000003</x:v>
      </x:c>
    </x:row>
    <x:row r="634">
      <x:c r="A634" s="187" t="n">
        <x:v>43293</x:v>
      </x:c>
      <x:c r="B634" s="195" t="n">
        <x:v>2.85</x:v>
      </x:c>
      <x:c r="C634" s="195" t="n">
        <x:v>0.75</x:v>
      </x:c>
      <x:c r="D634" s="195" t="n">
        <x:f>IFERROR(B634-C634,"")</x:f>
        <x:v>2.1</x:v>
      </x:c>
    </x:row>
    <x:row r="635">
      <x:c r="A635" s="187" t="n">
        <x:v>43294</x:v>
      </x:c>
      <x:c r="B635" s="195" t="n">
        <x:v>2.83</x:v>
      </x:c>
      <x:c r="C635" s="195" t="n">
        <x:v>0.72</x:v>
      </x:c>
      <x:c r="D635" s="195" t="n">
        <x:f>IFERROR(B635-C635,"")</x:f>
        <x:v>2.1100000000000003</x:v>
      </x:c>
    </x:row>
    <x:row r="636">
      <x:c r="A636" s="187" t="n">
        <x:v>43297</x:v>
      </x:c>
      <x:c r="B636" s="195" t="n">
        <x:v>2.85</x:v>
      </x:c>
      <x:c r="C636" s="195" t="n">
        <x:v>0.75</x:v>
      </x:c>
      <x:c r="D636" s="195" t="n">
        <x:f>IFERROR(B636-C636,"")</x:f>
        <x:v>2.1</x:v>
      </x:c>
    </x:row>
    <x:row r="637">
      <x:c r="A637" s="187" t="n">
        <x:v>43298</x:v>
      </x:c>
      <x:c r="B637" s="195" t="n">
        <x:v>2.86</x:v>
      </x:c>
      <x:c r="C637" s="195" t="n">
        <x:v>0.77</x:v>
      </x:c>
      <x:c r="D637" s="195" t="n">
        <x:f>IFERROR(B637-C637,"")</x:f>
        <x:v>2.09</x:v>
      </x:c>
    </x:row>
    <x:row r="638">
      <x:c r="A638" s="187" t="n">
        <x:v>43299</x:v>
      </x:c>
      <x:c r="B638" s="195" t="n">
        <x:v>2.88</x:v>
      </x:c>
      <x:c r="C638" s="195" t="n">
        <x:v>0.79</x:v>
      </x:c>
      <x:c r="D638" s="195" t="n">
        <x:f>IFERROR(B638-C638,"")</x:f>
        <x:v>2.09</x:v>
      </x:c>
    </x:row>
    <x:row r="639">
      <x:c r="A639" s="187" t="n">
        <x:v>43300</x:v>
      </x:c>
      <x:c r="B639" s="195" t="n">
        <x:v>2.84</x:v>
      </x:c>
      <x:c r="C639" s="195" t="n">
        <x:v>0.75</x:v>
      </x:c>
      <x:c r="D639" s="195" t="n">
        <x:f>IFERROR(B639-C639,"")</x:f>
        <x:v>2.09</x:v>
      </x:c>
    </x:row>
    <x:row r="640">
      <x:c r="A640" s="187" t="n">
        <x:v>43301</x:v>
      </x:c>
      <x:c r="B640" s="195" t="n">
        <x:v>2.89</x:v>
      </x:c>
      <x:c r="C640" s="195" t="n">
        <x:v>0.78</x:v>
      </x:c>
      <x:c r="D640" s="195" t="n">
        <x:f>IFERROR(B640-C640,"")</x:f>
        <x:v>2.1100000000000003</x:v>
      </x:c>
    </x:row>
    <x:row r="641">
      <x:c r="A641" s="187" t="n">
        <x:v>43304</x:v>
      </x:c>
      <x:c r="B641" s="195" t="n">
        <x:v>2.96</x:v>
      </x:c>
      <x:c r="C641" s="195" t="n">
        <x:v>0.85</x:v>
      </x:c>
      <x:c r="D641" s="195" t="n">
        <x:f>IFERROR(B641-C641,"")</x:f>
        <x:v>2.11</x:v>
      </x:c>
    </x:row>
    <x:row r="642">
      <x:c r="A642" s="187" t="n">
        <x:v>43305</x:v>
      </x:c>
      <x:c r="B642" s="195" t="n">
        <x:v>2.95</x:v>
      </x:c>
      <x:c r="C642" s="195" t="n">
        <x:v>0.84</x:v>
      </x:c>
      <x:c r="D642" s="195" t="n">
        <x:f>IFERROR(B642-C642,"")</x:f>
        <x:v>2.1100000000000003</x:v>
      </x:c>
    </x:row>
    <x:row r="643">
      <x:c r="A643" s="187" t="n">
        <x:v>43306</x:v>
      </x:c>
      <x:c r="B643" s="195" t="n">
        <x:v>2.94</x:v>
      </x:c>
      <x:c r="C643" s="195" t="n">
        <x:v>0.81</x:v>
      </x:c>
      <x:c r="D643" s="195" t="n">
        <x:f>IFERROR(B643-C643,"")</x:f>
        <x:v>2.13</x:v>
      </x:c>
    </x:row>
    <x:row r="644">
      <x:c r="A644" s="187" t="n">
        <x:v>43307</x:v>
      </x:c>
      <x:c r="B644" s="195" t="n">
        <x:v>2.98</x:v>
      </x:c>
      <x:c r="C644" s="195" t="n">
        <x:v>0.87</x:v>
      </x:c>
      <x:c r="D644" s="195" t="n">
        <x:f>IFERROR(B644-C644,"")</x:f>
        <x:v>2.11</x:v>
      </x:c>
    </x:row>
    <x:row r="645">
      <x:c r="A645" s="187" t="n">
        <x:v>43308</x:v>
      </x:c>
      <x:c r="B645" s="195" t="n">
        <x:v>2.96</x:v>
      </x:c>
      <x:c r="C645" s="195" t="n">
        <x:v>0.84</x:v>
      </x:c>
      <x:c r="D645" s="195" t="n">
        <x:f>IFERROR(B645-C645,"")</x:f>
        <x:v>2.12</x:v>
      </x:c>
    </x:row>
    <x:row r="646">
      <x:c r="A646" s="187" t="n">
        <x:v>43311</x:v>
      </x:c>
      <x:c r="B646" s="195" t="n">
        <x:v>2.98</x:v>
      </x:c>
      <x:c r="C646" s="195" t="n">
        <x:v>0.85</x:v>
      </x:c>
      <x:c r="D646" s="195" t="n">
        <x:f>IFERROR(B646-C646,"")</x:f>
        <x:v>2.13</x:v>
      </x:c>
    </x:row>
    <x:row r="647">
      <x:c r="A647" s="187" t="n">
        <x:v>43312</x:v>
      </x:c>
      <x:c r="B647" s="195" t="n">
        <x:v>2.96</x:v>
      </x:c>
      <x:c r="C647" s="195" t="n">
        <x:v>0.84</x:v>
      </x:c>
      <x:c r="D647" s="195" t="n">
        <x:f>IFERROR(B647-C647,"")</x:f>
        <x:v>2.12</x:v>
      </x:c>
    </x:row>
    <x:row r="648">
      <x:c r="A648" s="187" t="n">
        <x:v>43313</x:v>
      </x:c>
      <x:c r="B648" s="195" t="n">
        <x:v>3</x:v>
      </x:c>
      <x:c r="C648" s="195" t="n">
        <x:v>0.87</x:v>
      </x:c>
      <x:c r="D648" s="195" t="n">
        <x:f>IFERROR(B648-C648,"")</x:f>
        <x:v>2.13</x:v>
      </x:c>
    </x:row>
    <x:row r="649">
      <x:c r="A649" s="187" t="n">
        <x:v>43314</x:v>
      </x:c>
      <x:c r="B649" s="195" t="n">
        <x:v>2.98</x:v>
      </x:c>
      <x:c r="C649" s="195" t="n">
        <x:v>0.86</x:v>
      </x:c>
      <x:c r="D649" s="195" t="n">
        <x:f>IFERROR(B649-C649,"")</x:f>
        <x:v>2.12</x:v>
      </x:c>
    </x:row>
    <x:row r="650">
      <x:c r="A650" s="187" t="n">
        <x:v>43315</x:v>
      </x:c>
      <x:c r="B650" s="195" t="n">
        <x:v>2.95</x:v>
      </x:c>
      <x:c r="C650" s="195" t="n">
        <x:v>0.83</x:v>
      </x:c>
      <x:c r="D650" s="195" t="n">
        <x:f>IFERROR(B650-C650,"")</x:f>
        <x:v>2.12</x:v>
      </x:c>
    </x:row>
    <x:row r="651">
      <x:c r="A651" s="187" t="n">
        <x:v>43318</x:v>
      </x:c>
      <x:c r="B651" s="195" t="n">
        <x:v>2.94</x:v>
      </x:c>
      <x:c r="C651" s="195" t="n">
        <x:v>0.83</x:v>
      </x:c>
      <x:c r="D651" s="195" t="n">
        <x:f>IFERROR(B651-C651,"")</x:f>
        <x:v>2.11</x:v>
      </x:c>
    </x:row>
    <x:row r="652">
      <x:c r="A652" s="187" t="n">
        <x:v>43319</x:v>
      </x:c>
      <x:c r="B652" s="195" t="n">
        <x:v>2.98</x:v>
      </x:c>
      <x:c r="C652" s="195" t="n">
        <x:v>0.85</x:v>
      </x:c>
      <x:c r="D652" s="195" t="n">
        <x:f>IFERROR(B652-C652,"")</x:f>
        <x:v>2.13</x:v>
      </x:c>
    </x:row>
    <x:row r="653">
      <x:c r="A653" s="187" t="n">
        <x:v>43320</x:v>
      </x:c>
      <x:c r="B653" s="195" t="n">
        <x:v>2.96</x:v>
      </x:c>
      <x:c r="C653" s="195" t="n">
        <x:v>0.85</x:v>
      </x:c>
      <x:c r="D653" s="195" t="n">
        <x:f>IFERROR(B653-C653,"")</x:f>
        <x:v>2.11</x:v>
      </x:c>
    </x:row>
    <x:row r="654">
      <x:c r="A654" s="187" t="n">
        <x:v>43321</x:v>
      </x:c>
      <x:c r="B654" s="195" t="n">
        <x:v>2.93</x:v>
      </x:c>
      <x:c r="C654" s="195" t="n">
        <x:v>0.82</x:v>
      </x:c>
      <x:c r="D654" s="195" t="n">
        <x:f>IFERROR(B654-C654,"")</x:f>
        <x:v>2.1100000000000003</x:v>
      </x:c>
    </x:row>
    <x:row r="655">
      <x:c r="A655" s="187" t="n">
        <x:v>43322</x:v>
      </x:c>
      <x:c r="B655" s="195" t="n">
        <x:v>2.87</x:v>
      </x:c>
      <x:c r="C655" s="195" t="n">
        <x:v>0.78</x:v>
      </x:c>
      <x:c r="D655" s="195" t="n">
        <x:f>IFERROR(B655-C655,"")</x:f>
        <x:v>2.09</x:v>
      </x:c>
    </x:row>
    <x:row r="656">
      <x:c r="A656" s="187" t="n">
        <x:v>43325</x:v>
      </x:c>
      <x:c r="B656" s="195" t="n">
        <x:v>2.88</x:v>
      </x:c>
      <x:c r="C656" s="195" t="n">
        <x:v>0.78</x:v>
      </x:c>
      <x:c r="D656" s="195" t="n">
        <x:f>IFERROR(B656-C656,"")</x:f>
        <x:v>2.0999999999999996</x:v>
      </x:c>
    </x:row>
    <x:row r="657">
      <x:c r="A657" s="187" t="n">
        <x:v>43326</x:v>
      </x:c>
      <x:c r="B657" s="195" t="n">
        <x:v>2.89</x:v>
      </x:c>
      <x:c r="C657" s="195" t="n">
        <x:v>0.8</x:v>
      </x:c>
      <x:c r="D657" s="195" t="n">
        <x:f>IFERROR(B657-C657,"")</x:f>
        <x:v>2.09</x:v>
      </x:c>
    </x:row>
    <x:row r="658">
      <x:c r="A658" s="187" t="n">
        <x:v>43327</x:v>
      </x:c>
      <x:c r="B658" s="195" t="n">
        <x:v>2.86</x:v>
      </x:c>
      <x:c r="C658" s="195" t="n">
        <x:v>0.78</x:v>
      </x:c>
      <x:c r="D658" s="195" t="n">
        <x:f>IFERROR(B658-C658,"")</x:f>
        <x:v>2.08</x:v>
      </x:c>
    </x:row>
    <x:row r="659">
      <x:c r="A659" s="187" t="n">
        <x:v>43328</x:v>
      </x:c>
      <x:c r="B659" s="195" t="n">
        <x:v>2.87</x:v>
      </x:c>
      <x:c r="C659" s="195" t="n">
        <x:v>0.79</x:v>
      </x:c>
      <x:c r="D659" s="195" t="n">
        <x:f>IFERROR(B659-C659,"")</x:f>
        <x:v>2.08</x:v>
      </x:c>
    </x:row>
    <x:row r="660">
      <x:c r="A660" s="187" t="n">
        <x:v>43329</x:v>
      </x:c>
      <x:c r="B660" s="195" t="n">
        <x:v>2.87</x:v>
      </x:c>
      <x:c r="C660" s="195" t="n">
        <x:v>0.79</x:v>
      </x:c>
      <x:c r="D660" s="195" t="n">
        <x:f>IFERROR(B660-C660,"")</x:f>
        <x:v>2.08</x:v>
      </x:c>
    </x:row>
    <x:row r="661">
      <x:c r="A661" s="187" t="n">
        <x:v>43332</x:v>
      </x:c>
      <x:c r="B661" s="195" t="n">
        <x:v>2.82</x:v>
      </x:c>
      <x:c r="C661" s="195" t="n">
        <x:v>0.75</x:v>
      </x:c>
      <x:c r="D661" s="195" t="n">
        <x:f>IFERROR(B661-C661,"")</x:f>
        <x:v>2.07</x:v>
      </x:c>
    </x:row>
    <x:row r="662">
      <x:c r="A662" s="187" t="n">
        <x:v>43333</x:v>
      </x:c>
      <x:c r="B662" s="195" t="n">
        <x:v>2.85</x:v>
      </x:c>
      <x:c r="C662" s="195" t="n">
        <x:v>0.77</x:v>
      </x:c>
      <x:c r="D662" s="195" t="n">
        <x:f>IFERROR(B662-C662,"")</x:f>
        <x:v>2.08</x:v>
      </x:c>
    </x:row>
    <x:row r="663">
      <x:c r="A663" s="187" t="n">
        <x:v>43334</x:v>
      </x:c>
      <x:c r="B663" s="195" t="n">
        <x:v>2.82</x:v>
      </x:c>
      <x:c r="C663" s="195" t="n">
        <x:v>0.74</x:v>
      </x:c>
      <x:c r="D663" s="195" t="n">
        <x:f>IFERROR(B663-C663,"")</x:f>
        <x:v>2.08</x:v>
      </x:c>
    </x:row>
    <x:row r="664">
      <x:c r="A664" s="187" t="n">
        <x:v>43335</x:v>
      </x:c>
      <x:c r="B664" s="195" t="n">
        <x:v>2.82</x:v>
      </x:c>
      <x:c r="C664" s="195" t="n">
        <x:v>0.73</x:v>
      </x:c>
      <x:c r="D664" s="195" t="n">
        <x:f>IFERROR(B664-C664,"")</x:f>
        <x:v>2.09</x:v>
      </x:c>
    </x:row>
    <x:row r="665">
      <x:c r="A665" s="187" t="n">
        <x:v>43336</x:v>
      </x:c>
      <x:c r="B665" s="195" t="n">
        <x:v>2.82</x:v>
      </x:c>
      <x:c r="C665" s="195" t="n">
        <x:v>0.73</x:v>
      </x:c>
      <x:c r="D665" s="195" t="n">
        <x:f>IFERROR(B665-C665,"")</x:f>
        <x:v>2.09</x:v>
      </x:c>
    </x:row>
    <x:row r="666">
      <x:c r="A666" s="187" t="n">
        <x:v>43339</x:v>
      </x:c>
      <x:c r="B666" s="195" t="n">
        <x:v>2.85</x:v>
      </x:c>
      <x:c r="C666" s="195" t="n">
        <x:v>0.74</x:v>
      </x:c>
      <x:c r="D666" s="195" t="n">
        <x:f>IFERROR(B666-C666,"")</x:f>
        <x:v>2.1100000000000003</x:v>
      </x:c>
    </x:row>
    <x:row r="667">
      <x:c r="A667" s="187" t="n">
        <x:v>43340</x:v>
      </x:c>
      <x:c r="B667" s="195" t="n">
        <x:v>2.88</x:v>
      </x:c>
      <x:c r="C667" s="195" t="n">
        <x:v>0.77</x:v>
      </x:c>
      <x:c r="D667" s="195" t="n">
        <x:f>IFERROR(B667-C667,"")</x:f>
        <x:v>2.11</x:v>
      </x:c>
    </x:row>
    <x:row r="668">
      <x:c r="A668" s="187" t="n">
        <x:v>43341</x:v>
      </x:c>
      <x:c r="B668" s="195" t="n">
        <x:v>2.89</x:v>
      </x:c>
      <x:c r="C668" s="195" t="n">
        <x:v>0.77</x:v>
      </x:c>
      <x:c r="D668" s="195" t="n">
        <x:f>IFERROR(B668-C668,"")</x:f>
        <x:v>2.12</x:v>
      </x:c>
    </x:row>
    <x:row r="669">
      <x:c r="A669" s="187" t="n">
        <x:v>43342</x:v>
      </x:c>
      <x:c r="B669" s="195" t="n">
        <x:v>2.86</x:v>
      </x:c>
      <x:c r="C669" s="195" t="n">
        <x:v>0.76</x:v>
      </x:c>
      <x:c r="D669" s="195" t="n">
        <x:f>IFERROR(B669-C669,"")</x:f>
        <x:v>2.0999999999999996</x:v>
      </x:c>
    </x:row>
    <x:row r="670">
      <x:c r="A670" s="187" t="n">
        <x:v>43343</x:v>
      </x:c>
      <x:c r="B670" s="195" t="n">
        <x:v>2.86</x:v>
      </x:c>
      <x:c r="C670" s="195" t="n">
        <x:v>0.78</x:v>
      </x:c>
      <x:c r="D670" s="195" t="n">
        <x:f>IFERROR(B670-C670,"")</x:f>
        <x:v>2.08</x:v>
      </x:c>
    </x:row>
    <x:row r="671">
      <x:c r="A671" s="187" t="n">
        <x:v>43347</x:v>
      </x:c>
      <x:c r="B671" s="195" t="n">
        <x:v>2.9</x:v>
      </x:c>
      <x:c r="C671" s="195" t="n">
        <x:v>0.8</x:v>
      </x:c>
      <x:c r="D671" s="195" t="n">
        <x:f>IFERROR(B671-C671,"")</x:f>
        <x:v>2.0999999999999996</x:v>
      </x:c>
    </x:row>
    <x:row r="672">
      <x:c r="A672" s="187" t="n">
        <x:v>43348</x:v>
      </x:c>
      <x:c r="B672" s="195" t="n">
        <x:v>2.9</x:v>
      </x:c>
      <x:c r="C672" s="195" t="n">
        <x:v>0.81</x:v>
      </x:c>
      <x:c r="D672" s="195" t="n">
        <x:f>IFERROR(B672-C672,"")</x:f>
        <x:v>2.09</x:v>
      </x:c>
    </x:row>
    <x:row r="673">
      <x:c r="A673" s="187" t="n">
        <x:v>43349</x:v>
      </x:c>
      <x:c r="B673" s="195" t="n">
        <x:v>2.88</x:v>
      </x:c>
      <x:c r="C673" s="195" t="n">
        <x:v>0.8</x:v>
      </x:c>
      <x:c r="D673" s="195" t="n">
        <x:f>IFERROR(B673-C673,"")</x:f>
        <x:v>2.08</x:v>
      </x:c>
    </x:row>
    <x:row r="674">
      <x:c r="A674" s="187" t="n">
        <x:v>43350</x:v>
      </x:c>
      <x:c r="B674" s="195" t="n">
        <x:v>2.94</x:v>
      </x:c>
      <x:c r="C674" s="195" t="n">
        <x:v>0.84</x:v>
      </x:c>
      <x:c r="D674" s="195" t="n">
        <x:f>IFERROR(B674-C674,"")</x:f>
        <x:v>2.1</x:v>
      </x:c>
    </x:row>
    <x:row r="675">
      <x:c r="A675" s="187" t="n">
        <x:v>43353</x:v>
      </x:c>
      <x:c r="B675" s="195" t="n">
        <x:v>2.94</x:v>
      </x:c>
      <x:c r="C675" s="195" t="n">
        <x:v>0.84</x:v>
      </x:c>
      <x:c r="D675" s="195" t="n">
        <x:f>IFERROR(B675-C675,"")</x:f>
        <x:v>2.1</x:v>
      </x:c>
    </x:row>
    <x:row r="676">
      <x:c r="A676" s="187" t="n">
        <x:v>43354</x:v>
      </x:c>
      <x:c r="B676" s="195" t="n">
        <x:v>2.98</x:v>
      </x:c>
      <x:c r="C676" s="195" t="n">
        <x:v>0.86</x:v>
      </x:c>
      <x:c r="D676" s="195" t="n">
        <x:f>IFERROR(B676-C676,"")</x:f>
        <x:v>2.12</x:v>
      </x:c>
    </x:row>
    <x:row r="677">
      <x:c r="A677" s="187" t="n">
        <x:v>43355</x:v>
      </x:c>
      <x:c r="B677" s="195" t="n">
        <x:v>2.97</x:v>
      </x:c>
      <x:c r="C677" s="195" t="n">
        <x:v>0.85</x:v>
      </x:c>
      <x:c r="D677" s="195" t="n">
        <x:f>IFERROR(B677-C677,"")</x:f>
        <x:v>2.12</x:v>
      </x:c>
    </x:row>
    <x:row r="678">
      <x:c r="A678" s="187" t="n">
        <x:v>43356</x:v>
      </x:c>
      <x:c r="B678" s="195" t="n">
        <x:v>2.97</x:v>
      </x:c>
      <x:c r="C678" s="195" t="n">
        <x:v>0.87</x:v>
      </x:c>
      <x:c r="D678" s="195" t="n">
        <x:f>IFERROR(B678-C678,"")</x:f>
        <x:v>2.1</x:v>
      </x:c>
    </x:row>
    <x:row r="679">
      <x:c r="A679" s="187" t="n">
        <x:v>43357</x:v>
      </x:c>
      <x:c r="B679" s="195" t="n">
        <x:v>2.99</x:v>
      </x:c>
      <x:c r="C679" s="195" t="n">
        <x:v>0.89</x:v>
      </x:c>
      <x:c r="D679" s="195" t="n">
        <x:f>IFERROR(B679-C679,"")</x:f>
        <x:v>2.1</x:v>
      </x:c>
    </x:row>
    <x:row r="680">
      <x:c r="A680" s="187" t="n">
        <x:v>43360</x:v>
      </x:c>
      <x:c r="B680" s="195" t="n">
        <x:v>2.99</x:v>
      </x:c>
      <x:c r="C680" s="195" t="n">
        <x:v>0.89</x:v>
      </x:c>
      <x:c r="D680" s="195" t="n">
        <x:f>IFERROR(B680-C680,"")</x:f>
        <x:v>2.1</x:v>
      </x:c>
    </x:row>
    <x:row r="681">
      <x:c r="A681" s="187" t="n">
        <x:v>43361</x:v>
      </x:c>
      <x:c r="B681" s="195" t="n">
        <x:v>3.05</x:v>
      </x:c>
      <x:c r="C681" s="195" t="n">
        <x:v>0.92</x:v>
      </x:c>
      <x:c r="D681" s="195" t="n">
        <x:f>IFERROR(B681-C681,"")</x:f>
        <x:v>2.13</x:v>
      </x:c>
    </x:row>
    <x:row r="682">
      <x:c r="A682" s="187" t="n">
        <x:v>43362</x:v>
      </x:c>
      <x:c r="B682" s="195" t="n">
        <x:v>3.08</x:v>
      </x:c>
      <x:c r="C682" s="195" t="n">
        <x:v>0.93</x:v>
      </x:c>
      <x:c r="D682" s="195" t="n">
        <x:f>IFERROR(B682-C682,"")</x:f>
        <x:v>2.15</x:v>
      </x:c>
    </x:row>
    <x:row r="683">
      <x:c r="A683" s="187" t="n">
        <x:v>43363</x:v>
      </x:c>
      <x:c r="B683" s="195" t="n">
        <x:v>3.07</x:v>
      </x:c>
      <x:c r="C683" s="195" t="n">
        <x:v>0.92</x:v>
      </x:c>
      <x:c r="D683" s="195" t="n">
        <x:f>IFERROR(B683-C683,"")</x:f>
        <x:v>2.15</x:v>
      </x:c>
    </x:row>
    <x:row r="684">
      <x:c r="A684" s="187" t="n">
        <x:v>43364</x:v>
      </x:c>
      <x:c r="B684" s="195" t="n">
        <x:v>3.07</x:v>
      </x:c>
      <x:c r="C684" s="195" t="n">
        <x:v>0.92</x:v>
      </x:c>
      <x:c r="D684" s="195" t="n">
        <x:f>IFERROR(B684-C684,"")</x:f>
        <x:v>2.15</x:v>
      </x:c>
    </x:row>
    <x:row r="685">
      <x:c r="A685" s="187" t="n">
        <x:v>43367</x:v>
      </x:c>
      <x:c r="B685" s="195" t="n">
        <x:v>3.08</x:v>
      </x:c>
      <x:c r="C685" s="195" t="n">
        <x:v>0.92</x:v>
      </x:c>
      <x:c r="D685" s="195" t="n">
        <x:f>IFERROR(B685-C685,"")</x:f>
        <x:v>2.16</x:v>
      </x:c>
    </x:row>
    <x:row r="686">
      <x:c r="A686" s="187" t="n">
        <x:v>43368</x:v>
      </x:c>
      <x:c r="B686" s="195" t="n">
        <x:v>3.1</x:v>
      </x:c>
      <x:c r="C686" s="195" t="n">
        <x:v>0.94</x:v>
      </x:c>
      <x:c r="D686" s="195" t="n">
        <x:f>IFERROR(B686-C686,"")</x:f>
        <x:v>2.16</x:v>
      </x:c>
    </x:row>
    <x:row r="687">
      <x:c r="A687" s="187" t="n">
        <x:v>43369</x:v>
      </x:c>
      <x:c r="B687" s="195" t="n">
        <x:v>3.06</x:v>
      </x:c>
      <x:c r="C687" s="195" t="n">
        <x:v>0.92</x:v>
      </x:c>
      <x:c r="D687" s="195" t="n">
        <x:f>IFERROR(B687-C687,"")</x:f>
        <x:v>2.14</x:v>
      </x:c>
    </x:row>
    <x:row r="688">
      <x:c r="A688" s="187" t="n">
        <x:v>43370</x:v>
      </x:c>
      <x:c r="B688" s="195" t="n">
        <x:v>3.06</x:v>
      </x:c>
      <x:c r="C688" s="195" t="n">
        <x:v>0.91</x:v>
      </x:c>
      <x:c r="D688" s="195" t="n">
        <x:f>IFERROR(B688-C688,"")</x:f>
        <x:v>2.15</x:v>
      </x:c>
    </x:row>
    <x:row r="689">
      <x:c r="A689" s="187" t="n">
        <x:v>43371</x:v>
      </x:c>
      <x:c r="B689" s="195" t="n">
        <x:v>3.05</x:v>
      </x:c>
      <x:c r="C689" s="195" t="n">
        <x:v>0.91</x:v>
      </x:c>
      <x:c r="D689" s="195" t="n">
        <x:f>IFERROR(B689-C689,"")</x:f>
        <x:v>2.1399999999999997</x:v>
      </x:c>
    </x:row>
    <x:row r="690">
      <x:c r="A690" s="187" t="n">
        <x:v>43374</x:v>
      </x:c>
      <x:c r="B690" s="195" t="n">
        <x:v>3.09</x:v>
      </x:c>
      <x:c r="C690" s="195" t="n">
        <x:v>0.95</x:v>
      </x:c>
      <x:c r="D690" s="195" t="n">
        <x:f>IFERROR(B690-C690,"")</x:f>
        <x:v>2.1399999999999997</x:v>
      </x:c>
    </x:row>
    <x:row r="691">
      <x:c r="A691" s="187" t="n">
        <x:v>43375</x:v>
      </x:c>
      <x:c r="B691" s="195" t="n">
        <x:v>3.05</x:v>
      </x:c>
      <x:c r="C691" s="195" t="n">
        <x:v>0.93</x:v>
      </x:c>
      <x:c r="D691" s="195" t="n">
        <x:f>IFERROR(B691-C691,"")</x:f>
        <x:v>2.1199999999999997</x:v>
      </x:c>
    </x:row>
    <x:row r="692">
      <x:c r="A692" s="187" t="n">
        <x:v>43376</x:v>
      </x:c>
      <x:c r="B692" s="195" t="n">
        <x:v>3.15</x:v>
      </x:c>
      <x:c r="C692" s="195" t="n">
        <x:v>0.99</x:v>
      </x:c>
      <x:c r="D692" s="195" t="n">
        <x:f>IFERROR(B692-C692,"")</x:f>
        <x:v>2.16</x:v>
      </x:c>
    </x:row>
    <x:row r="693">
      <x:c r="A693" s="187" t="n">
        <x:v>43377</x:v>
      </x:c>
      <x:c r="B693" s="195" t="n">
        <x:v>3.19</x:v>
      </x:c>
      <x:c r="C693" s="195" t="n">
        <x:v>1.03</x:v>
      </x:c>
      <x:c r="D693" s="195" t="n">
        <x:f>IFERROR(B693-C693,"")</x:f>
        <x:v>2.16</x:v>
      </x:c>
    </x:row>
    <x:row r="694">
      <x:c r="A694" s="187" t="n">
        <x:v>43378</x:v>
      </x:c>
      <x:c r="B694" s="195" t="n">
        <x:v>3.23</x:v>
      </x:c>
      <x:c r="C694" s="195" t="n">
        <x:v>1.07</x:v>
      </x:c>
      <x:c r="D694" s="195" t="n">
        <x:f>IFERROR(B694-C694,"")</x:f>
        <x:v>2.16</x:v>
      </x:c>
    </x:row>
    <x:row r="695">
      <x:c r="A695" s="187" t="n">
        <x:v>43382</x:v>
      </x:c>
      <x:c r="B695" s="195" t="n">
        <x:v>3.21</x:v>
      </x:c>
      <x:c r="C695" s="195" t="n">
        <x:v>1.04</x:v>
      </x:c>
      <x:c r="D695" s="195" t="n">
        <x:f>IFERROR(B695-C695,"")</x:f>
        <x:v>2.17</x:v>
      </x:c>
    </x:row>
    <x:row r="696">
      <x:c r="A696" s="187" t="n">
        <x:v>43383</x:v>
      </x:c>
      <x:c r="B696" s="195" t="n">
        <x:v>3.22</x:v>
      </x:c>
      <x:c r="C696" s="195" t="n">
        <x:v>1.06</x:v>
      </x:c>
      <x:c r="D696" s="195" t="n">
        <x:f>IFERROR(B696-C696,"")</x:f>
        <x:v>2.16</x:v>
      </x:c>
    </x:row>
    <x:row r="697">
      <x:c r="A697" s="187" t="n">
        <x:v>43384</x:v>
      </x:c>
      <x:c r="B697" s="195" t="n">
        <x:v>3.14</x:v>
      </x:c>
      <x:c r="C697" s="195" t="n">
        <x:v>1.02</x:v>
      </x:c>
      <x:c r="D697" s="195" t="n">
        <x:f>IFERROR(B697-C697,"")</x:f>
        <x:v>2.12</x:v>
      </x:c>
    </x:row>
    <x:row r="698">
      <x:c r="A698" s="187" t="n">
        <x:v>43385</x:v>
      </x:c>
      <x:c r="B698" s="195" t="n">
        <x:v>3.15</x:v>
      </x:c>
      <x:c r="C698" s="195" t="n">
        <x:v>1.03</x:v>
      </x:c>
      <x:c r="D698" s="195" t="n">
        <x:f>IFERROR(B698-C698,"")</x:f>
        <x:v>2.12</x:v>
      </x:c>
    </x:row>
    <x:row r="699">
      <x:c r="A699" s="187" t="n">
        <x:v>43388</x:v>
      </x:c>
      <x:c r="B699" s="195" t="n">
        <x:v>3.16</x:v>
      </x:c>
      <x:c r="C699" s="195" t="n">
        <x:v>1.03</x:v>
      </x:c>
      <x:c r="D699" s="195" t="n">
        <x:f>IFERROR(B699-C699,"")</x:f>
        <x:v>2.13</x:v>
      </x:c>
    </x:row>
    <x:row r="700">
      <x:c r="A700" s="187" t="n">
        <x:v>43389</x:v>
      </x:c>
      <x:c r="B700" s="195" t="n">
        <x:v>3.16</x:v>
      </x:c>
      <x:c r="C700" s="195" t="n">
        <x:v>1.03</x:v>
      </x:c>
      <x:c r="D700" s="195" t="n">
        <x:f>IFERROR(B700-C700,"")</x:f>
        <x:v>2.13</x:v>
      </x:c>
    </x:row>
    <x:row r="701">
      <x:c r="A701" s="187" t="n">
        <x:v>43390</x:v>
      </x:c>
      <x:c r="B701" s="195" t="n">
        <x:v>3.19</x:v>
      </x:c>
      <x:c r="C701" s="195" t="n">
        <x:v>1.06</x:v>
      </x:c>
      <x:c r="D701" s="195" t="n">
        <x:f>IFERROR(B701-C701,"")</x:f>
        <x:v>2.13</x:v>
      </x:c>
    </x:row>
    <x:row r="702">
      <x:c r="A702" s="187" t="n">
        <x:v>43391</x:v>
      </x:c>
      <x:c r="B702" s="195" t="n">
        <x:v>3.17</x:v>
      </x:c>
      <x:c r="C702" s="195" t="n">
        <x:v>1.07</x:v>
      </x:c>
      <x:c r="D702" s="195" t="n">
        <x:f>IFERROR(B702-C702,"")</x:f>
        <x:v>2.0999999999999996</x:v>
      </x:c>
    </x:row>
    <x:row r="703">
      <x:c r="A703" s="187" t="n">
        <x:v>43392</x:v>
      </x:c>
      <x:c r="B703" s="195" t="n">
        <x:v>3.2</x:v>
      </x:c>
      <x:c r="C703" s="195" t="n">
        <x:v>1.09</x:v>
      </x:c>
      <x:c r="D703" s="195" t="n">
        <x:f>IFERROR(B703-C703,"")</x:f>
        <x:v>2.1100000000000003</x:v>
      </x:c>
    </x:row>
    <x:row r="704">
      <x:c r="A704" s="187" t="n">
        <x:v>43395</x:v>
      </x:c>
      <x:c r="B704" s="195" t="n">
        <x:v>3.2</x:v>
      </x:c>
      <x:c r="C704" s="195" t="n">
        <x:v>1.09</x:v>
      </x:c>
      <x:c r="D704" s="195" t="n">
        <x:f>IFERROR(B704-C704,"")</x:f>
        <x:v>2.1100000000000003</x:v>
      </x:c>
    </x:row>
    <x:row r="705">
      <x:c r="A705" s="187" t="n">
        <x:v>43396</x:v>
      </x:c>
      <x:c r="B705" s="195" t="n">
        <x:v>3.17</x:v>
      </x:c>
      <x:c r="C705" s="195" t="n">
        <x:v>1.08</x:v>
      </x:c>
      <x:c r="D705" s="195" t="n">
        <x:f>IFERROR(B705-C705,"")</x:f>
        <x:v>2.09</x:v>
      </x:c>
    </x:row>
    <x:row r="706">
      <x:c r="A706" s="187" t="n">
        <x:v>43397</x:v>
      </x:c>
      <x:c r="B706" s="195" t="n">
        <x:v>3.1</x:v>
      </x:c>
      <x:c r="C706" s="195" t="n">
        <x:v>1.03</x:v>
      </x:c>
      <x:c r="D706" s="195" t="n">
        <x:f>IFERROR(B706-C706,"")</x:f>
        <x:v>2.0700000000000003</x:v>
      </x:c>
    </x:row>
    <x:row r="707">
      <x:c r="A707" s="187" t="n">
        <x:v>43398</x:v>
      </x:c>
      <x:c r="B707" s="195" t="n">
        <x:v>3.14</x:v>
      </x:c>
      <x:c r="C707" s="195" t="n">
        <x:v>1.09</x:v>
      </x:c>
      <x:c r="D707" s="195" t="n">
        <x:f>IFERROR(B707-C707,"")</x:f>
        <x:v>2.05</x:v>
      </x:c>
    </x:row>
    <x:row r="708">
      <x:c r="A708" s="187" t="n">
        <x:v>43399</x:v>
      </x:c>
      <x:c r="B708" s="195" t="n">
        <x:v>3.08</x:v>
      </x:c>
      <x:c r="C708" s="195" t="n">
        <x:v>1.02</x:v>
      </x:c>
      <x:c r="D708" s="195" t="n">
        <x:f>IFERROR(B708-C708,"")</x:f>
        <x:v>2.06</x:v>
      </x:c>
    </x:row>
    <x:row r="709">
      <x:c r="A709" s="187" t="n">
        <x:v>43402</x:v>
      </x:c>
      <x:c r="B709" s="195" t="n">
        <x:v>3.08</x:v>
      </x:c>
      <x:c r="C709" s="195" t="n">
        <x:v>1.02</x:v>
      </x:c>
      <x:c r="D709" s="195" t="n">
        <x:f>IFERROR(B709-C709,"")</x:f>
        <x:v>2.06</x:v>
      </x:c>
    </x:row>
    <x:row r="710">
      <x:c r="A710" s="187" t="n">
        <x:v>43403</x:v>
      </x:c>
      <x:c r="B710" s="195" t="n">
        <x:v>3.12</x:v>
      </x:c>
      <x:c r="C710" s="195" t="n">
        <x:v>1.07</x:v>
      </x:c>
      <x:c r="D710" s="195" t="n">
        <x:f>IFERROR(B710-C710,"")</x:f>
        <x:v>2.05</x:v>
      </x:c>
    </x:row>
    <x:row r="711">
      <x:c r="A711" s="187" t="n">
        <x:v>43404</x:v>
      </x:c>
      <x:c r="B711" s="195" t="n">
        <x:v>3.15</x:v>
      </x:c>
      <x:c r="C711" s="195" t="n">
        <x:v>1.1</x:v>
      </x:c>
      <x:c r="D711" s="195" t="n">
        <x:f>IFERROR(B711-C711,"")</x:f>
        <x:v>2.05</x:v>
      </x:c>
    </x:row>
    <x:row r="712">
      <x:c r="A712" s="187" t="n">
        <x:v>43405</x:v>
      </x:c>
      <x:c r="B712" s="195" t="n">
        <x:v>3.14</x:v>
      </x:c>
      <x:c r="C712" s="195" t="n">
        <x:v>1.12</x:v>
      </x:c>
      <x:c r="D712" s="195" t="n">
        <x:f>IFERROR(B712-C712,"")</x:f>
        <x:v>2.02</x:v>
      </x:c>
    </x:row>
    <x:row r="713">
      <x:c r="A713" s="187" t="n">
        <x:v>43406</x:v>
      </x:c>
      <x:c r="B713" s="195" t="n">
        <x:v>3.22</x:v>
      </x:c>
      <x:c r="C713" s="195" t="n">
        <x:v>1.16</x:v>
      </x:c>
      <x:c r="D713" s="195" t="n">
        <x:f>IFERROR(B713-C713,"")</x:f>
        <x:v>2.0600000000000005</x:v>
      </x:c>
    </x:row>
    <x:row r="714">
      <x:c r="A714" s="187" t="n">
        <x:v>43409</x:v>
      </x:c>
      <x:c r="B714" s="195" t="n">
        <x:v>3.2</x:v>
      </x:c>
      <x:c r="C714" s="195" t="n">
        <x:v>1.14</x:v>
      </x:c>
      <x:c r="D714" s="195" t="n">
        <x:f>IFERROR(B714-C714,"")</x:f>
        <x:v>2.0600000000000005</x:v>
      </x:c>
    </x:row>
    <x:row r="715">
      <x:c r="A715" s="187" t="n">
        <x:v>43410</x:v>
      </x:c>
      <x:c r="B715" s="195" t="n">
        <x:v>3.22</x:v>
      </x:c>
      <x:c r="C715" s="195" t="n">
        <x:v>1.15</x:v>
      </x:c>
      <x:c r="D715" s="195" t="n">
        <x:f>IFERROR(B715-C715,"")</x:f>
        <x:v>2.0700000000000003</x:v>
      </x:c>
    </x:row>
    <x:row r="716">
      <x:c r="A716" s="187" t="n">
        <x:v>43411</x:v>
      </x:c>
      <x:c r="B716" s="195" t="n">
        <x:v>3.22</x:v>
      </x:c>
      <x:c r="C716" s="195" t="n">
        <x:v>1.15</x:v>
      </x:c>
      <x:c r="D716" s="195" t="n">
        <x:f>IFERROR(B716-C716,"")</x:f>
        <x:v>2.0700000000000003</x:v>
      </x:c>
    </x:row>
    <x:row r="717">
      <x:c r="A717" s="187" t="n">
        <x:v>43412</x:v>
      </x:c>
      <x:c r="B717" s="195" t="n">
        <x:v>3.24</x:v>
      </x:c>
      <x:c r="C717" s="195" t="n">
        <x:v>1.17</x:v>
      </x:c>
      <x:c r="D717" s="195" t="n">
        <x:f>IFERROR(B717-C717,"")</x:f>
        <x:v>2.0700000000000003</x:v>
      </x:c>
    </x:row>
    <x:row r="718">
      <x:c r="A718" s="187" t="n">
        <x:v>43413</x:v>
      </x:c>
      <x:c r="B718" s="195" t="n">
        <x:v>3.19</x:v>
      </x:c>
      <x:c r="C718" s="195" t="n">
        <x:v>1.15</x:v>
      </x:c>
      <x:c r="D718" s="195" t="n">
        <x:f>IFERROR(B718-C718,"")</x:f>
        <x:v>2.04</x:v>
      </x:c>
    </x:row>
    <x:row r="719">
      <x:c r="A719" s="187" t="n">
        <x:v>43417</x:v>
      </x:c>
      <x:c r="B719" s="195" t="n">
        <x:v>3.14</x:v>
      </x:c>
      <x:c r="C719" s="195" t="n">
        <x:v>1.12</x:v>
      </x:c>
      <x:c r="D719" s="195" t="n">
        <x:f>IFERROR(B719-C719,"")</x:f>
        <x:v>2.02</x:v>
      </x:c>
    </x:row>
    <x:row r="720">
      <x:c r="A720" s="187" t="n">
        <x:v>43418</x:v>
      </x:c>
      <x:c r="B720" s="195" t="n">
        <x:v>3.12</x:v>
      </x:c>
      <x:c r="C720" s="195" t="n">
        <x:v>1.12</x:v>
      </x:c>
      <x:c r="D720" s="195" t="n">
        <x:f>IFERROR(B720-C720,"")</x:f>
        <x:v>2</x:v>
      </x:c>
    </x:row>
    <x:row r="721">
      <x:c r="A721" s="187" t="n">
        <x:v>43419</x:v>
      </x:c>
      <x:c r="B721" s="195" t="n">
        <x:v>3.11</x:v>
      </x:c>
      <x:c r="C721" s="195" t="n">
        <x:v>1.11</x:v>
      </x:c>
      <x:c r="D721" s="195" t="n">
        <x:f>IFERROR(B721-C721,"")</x:f>
        <x:v>1.9999999999999998</x:v>
      </x:c>
    </x:row>
    <x:row r="722">
      <x:c r="A722" s="187" t="n">
        <x:v>43420</x:v>
      </x:c>
      <x:c r="B722" s="195" t="n">
        <x:v>3.08</x:v>
      </x:c>
      <x:c r="C722" s="195" t="n">
        <x:v>1.06</x:v>
      </x:c>
      <x:c r="D722" s="195" t="n">
        <x:f>IFERROR(B722-C722,"")</x:f>
        <x:v>2.02</x:v>
      </x:c>
    </x:row>
    <x:row r="723">
      <x:c r="A723" s="187" t="n">
        <x:v>43423</x:v>
      </x:c>
      <x:c r="B723" s="195" t="n">
        <x:v>3.06</x:v>
      </x:c>
      <x:c r="C723" s="195" t="n">
        <x:v>1.07</x:v>
      </x:c>
      <x:c r="D723" s="195" t="n">
        <x:f>IFERROR(B723-C723,"")</x:f>
        <x:v>1.99</x:v>
      </x:c>
    </x:row>
    <x:row r="724">
      <x:c r="A724" s="187" t="n">
        <x:v>43424</x:v>
      </x:c>
      <x:c r="B724" s="195" t="n">
        <x:v>3.06</x:v>
      </x:c>
      <x:c r="C724" s="195" t="n">
        <x:v>1.09</x:v>
      </x:c>
      <x:c r="D724" s="195" t="n">
        <x:f>IFERROR(B724-C724,"")</x:f>
        <x:v>1.97</x:v>
      </x:c>
    </x:row>
    <x:row r="725">
      <x:c r="A725" s="187" t="n">
        <x:v>43425</x:v>
      </x:c>
      <x:c r="B725" s="195" t="n">
        <x:v>3.06</x:v>
      </x:c>
      <x:c r="C725" s="195" t="n">
        <x:v>1.09</x:v>
      </x:c>
      <x:c r="D725" s="195" t="n">
        <x:f>IFERROR(B725-C725,"")</x:f>
        <x:v>1.97</x:v>
      </x:c>
    </x:row>
    <x:row r="726">
      <x:c r="A726" s="187" t="n">
        <x:v>43427</x:v>
      </x:c>
      <x:c r="B726" s="195" t="n">
        <x:v>3.05</x:v>
      </x:c>
      <x:c r="C726" s="195" t="n">
        <x:v>1.09</x:v>
      </x:c>
      <x:c r="D726" s="195" t="n">
        <x:f>IFERROR(B726-C726,"")</x:f>
        <x:v>1.9599999999999997</x:v>
      </x:c>
    </x:row>
    <x:row r="727">
      <x:c r="A727" s="187" t="n">
        <x:v>43430</x:v>
      </x:c>
      <x:c r="B727" s="195" t="n">
        <x:v>3.07</x:v>
      </x:c>
      <x:c r="C727" s="195" t="n">
        <x:v>1.11</x:v>
      </x:c>
      <x:c r="D727" s="195" t="n">
        <x:f>IFERROR(B727-C727,"")</x:f>
        <x:v>1.9599999999999997</x:v>
      </x:c>
    </x:row>
    <x:row r="728">
      <x:c r="A728" s="187" t="n">
        <x:v>43431</x:v>
      </x:c>
      <x:c r="B728" s="195" t="n">
        <x:v>3.06</x:v>
      </x:c>
      <x:c r="C728" s="195" t="n">
        <x:v>1.15</x:v>
      </x:c>
      <x:c r="D728" s="195" t="n">
        <x:f>IFERROR(B728-C728,"")</x:f>
        <x:v>1.9100000000000001</x:v>
      </x:c>
    </x:row>
    <x:row r="729">
      <x:c r="A729" s="187" t="n">
        <x:v>43432</x:v>
      </x:c>
      <x:c r="B729" s="195" t="n">
        <x:v>3.06</x:v>
      </x:c>
      <x:c r="C729" s="195" t="n">
        <x:v>1.12</x:v>
      </x:c>
      <x:c r="D729" s="195" t="n">
        <x:f>IFERROR(B729-C729,"")</x:f>
        <x:v>1.94</x:v>
      </x:c>
    </x:row>
    <x:row r="730">
      <x:c r="A730" s="187" t="n">
        <x:v>43433</x:v>
      </x:c>
      <x:c r="B730" s="195" t="n">
        <x:v>3.03</x:v>
      </x:c>
      <x:c r="C730" s="195" t="n">
        <x:v>1.05</x:v>
      </x:c>
      <x:c r="D730" s="195" t="n">
        <x:f>IFERROR(B730-C730,"")</x:f>
        <x:v>1.9799999999999998</x:v>
      </x:c>
    </x:row>
    <x:row r="731">
      <x:c r="A731" s="187" t="n">
        <x:v>43434</x:v>
      </x:c>
      <x:c r="B731" s="195" t="n">
        <x:v>3.01</x:v>
      </x:c>
      <x:c r="C731" s="195" t="n">
        <x:v>1.04</x:v>
      </x:c>
      <x:c r="D731" s="195" t="n">
        <x:f>IFERROR(B731-C731,"")</x:f>
        <x:v>1.9699999999999998</x:v>
      </x:c>
    </x:row>
    <x:row r="732">
      <x:c r="A732" s="187" t="n">
        <x:v>43437</x:v>
      </x:c>
      <x:c r="B732" s="195" t="n">
        <x:v>2.98</x:v>
      </x:c>
      <x:c r="C732" s="195" t="n">
        <x:v>1.02</x:v>
      </x:c>
      <x:c r="D732" s="195" t="n">
        <x:f>IFERROR(B732-C732,"")</x:f>
        <x:v>1.96</x:v>
      </x:c>
    </x:row>
    <x:row r="733">
      <x:c r="A733" s="187" t="n">
        <x:v>43438</x:v>
      </x:c>
      <x:c r="B733" s="195" t="n">
        <x:v>2.91</x:v>
      </x:c>
      <x:c r="C733" s="195" t="n">
        <x:v>0.97</x:v>
      </x:c>
      <x:c r="D733" s="195" t="n">
        <x:f>IFERROR(B733-C733,"")</x:f>
        <x:v>1.9400000000000002</x:v>
      </x:c>
    </x:row>
    <x:row r="734">
      <x:c r="A734" s="187" t="n">
        <x:v>43440</x:v>
      </x:c>
      <x:c r="B734" s="195" t="n">
        <x:v>2.87</x:v>
      </x:c>
      <x:c r="C734" s="195" t="n">
        <x:v>0.97</x:v>
      </x:c>
      <x:c r="D734" s="195" t="n">
        <x:f>IFERROR(B734-C734,"")</x:f>
        <x:v>1.9000000000000001</x:v>
      </x:c>
    </x:row>
    <x:row r="735">
      <x:c r="A735" s="187" t="n">
        <x:v>43441</x:v>
      </x:c>
      <x:c r="B735" s="195" t="n">
        <x:v>2.85</x:v>
      </x:c>
      <x:c r="C735" s="195" t="n">
        <x:v>0.96</x:v>
      </x:c>
      <x:c r="D735" s="195" t="n">
        <x:f>IFERROR(B735-C735,"")</x:f>
        <x:v>1.8900000000000001</x:v>
      </x:c>
    </x:row>
    <x:row r="736">
      <x:c r="A736" s="187" t="n">
        <x:v>43444</x:v>
      </x:c>
      <x:c r="B736" s="195" t="n">
        <x:v>2.85</x:v>
      </x:c>
      <x:c r="C736" s="195" t="n">
        <x:v>0.99</x:v>
      </x:c>
      <x:c r="D736" s="195" t="n">
        <x:f>IFERROR(B736-C736,"")</x:f>
        <x:v>1.86</x:v>
      </x:c>
    </x:row>
    <x:row r="737">
      <x:c r="A737" s="187" t="n">
        <x:v>43445</x:v>
      </x:c>
      <x:c r="B737" s="195" t="n">
        <x:v>2.89</x:v>
      </x:c>
      <x:c r="C737" s="195" t="n">
        <x:v>1.06</x:v>
      </x:c>
      <x:c r="D737" s="195" t="n">
        <x:f>IFERROR(B737-C737,"")</x:f>
        <x:v>1.83</x:v>
      </x:c>
    </x:row>
    <x:row r="738">
      <x:c r="A738" s="187" t="n">
        <x:v>43446</x:v>
      </x:c>
      <x:c r="B738" s="195" t="n">
        <x:v>2.91</x:v>
      </x:c>
      <x:c r="C738" s="195" t="n">
        <x:v>1.08</x:v>
      </x:c>
      <x:c r="D738" s="195" t="n">
        <x:f>IFERROR(B738-C738,"")</x:f>
        <x:v>1.83</x:v>
      </x:c>
    </x:row>
    <x:row r="739">
      <x:c r="A739" s="187" t="n">
        <x:v>43447</x:v>
      </x:c>
      <x:c r="B739" s="195" t="n">
        <x:v>2.91</x:v>
      </x:c>
      <x:c r="C739" s="195" t="n">
        <x:v>1.08</x:v>
      </x:c>
      <x:c r="D739" s="195" t="n">
        <x:f>IFERROR(B739-C739,"")</x:f>
        <x:v>1.83</x:v>
      </x:c>
    </x:row>
    <x:row r="740">
      <x:c r="A740" s="187" t="n">
        <x:v>43448</x:v>
      </x:c>
      <x:c r="B740" s="195" t="n">
        <x:v>2.89</x:v>
      </x:c>
      <x:c r="C740" s="195" t="n">
        <x:v>1.07</x:v>
      </x:c>
      <x:c r="D740" s="195" t="n">
        <x:f>IFERROR(B740-C740,"")</x:f>
        <x:v>1.82</x:v>
      </x:c>
    </x:row>
    <x:row r="741">
      <x:c r="A741" s="187" t="n">
        <x:v>43451</x:v>
      </x:c>
      <x:c r="B741" s="195" t="n">
        <x:v>2.86</x:v>
      </x:c>
      <x:c r="C741" s="195" t="n">
        <x:v>1.05</x:v>
      </x:c>
      <x:c r="D741" s="195" t="n">
        <x:f>IFERROR(B741-C741,"")</x:f>
        <x:v>1.8099999999999998</x:v>
      </x:c>
    </x:row>
    <x:row r="742">
      <x:c r="A742" s="187" t="n">
        <x:v>43452</x:v>
      </x:c>
      <x:c r="B742" s="195" t="n">
        <x:v>2.82</x:v>
      </x:c>
      <x:c r="C742" s="195" t="n">
        <x:v>1.01</x:v>
      </x:c>
      <x:c r="D742" s="195" t="n">
        <x:f>IFERROR(B742-C742,"")</x:f>
        <x:v>1.8099999999999998</x:v>
      </x:c>
    </x:row>
    <x:row r="743">
      <x:c r="A743" s="187" t="n">
        <x:v>43453</x:v>
      </x:c>
      <x:c r="B743" s="195" t="n">
        <x:v>2.77</x:v>
      </x:c>
      <x:c r="C743" s="195" t="n">
        <x:v>0.97</x:v>
      </x:c>
      <x:c r="D743" s="195" t="n">
        <x:f>IFERROR(B743-C743,"")</x:f>
        <x:v>1.8</x:v>
      </x:c>
    </x:row>
    <x:row r="744">
      <x:c r="A744" s="187" t="n">
        <x:v>43454</x:v>
      </x:c>
      <x:c r="B744" s="195" t="n">
        <x:v>2.79</x:v>
      </x:c>
      <x:c r="C744" s="195" t="n">
        <x:v>1.03</x:v>
      </x:c>
      <x:c r="D744" s="195" t="n">
        <x:f>IFERROR(B744-C744,"")</x:f>
        <x:v>1.76</x:v>
      </x:c>
    </x:row>
    <x:row r="745">
      <x:c r="A745" s="187" t="n">
        <x:v>43455</x:v>
      </x:c>
      <x:c r="B745" s="195" t="n">
        <x:v>2.79</x:v>
      </x:c>
      <x:c r="C745" s="195" t="n">
        <x:v>1.02</x:v>
      </x:c>
      <x:c r="D745" s="195" t="n">
        <x:f>IFERROR(B745-C745,"")</x:f>
        <x:v>1.77</x:v>
      </x:c>
    </x:row>
    <x:row r="746">
      <x:c r="A746" s="187" t="n">
        <x:v>43458</x:v>
      </x:c>
      <x:c r="B746" s="195" t="n">
        <x:v>2.74</x:v>
      </x:c>
      <x:c r="C746" s="195" t="n">
        <x:v>0.99</x:v>
      </x:c>
      <x:c r="D746" s="195" t="n">
        <x:f>IFERROR(B746-C746,"")</x:f>
        <x:v>1.7500000000000002</x:v>
      </x:c>
    </x:row>
    <x:row r="747">
      <x:c r="A747" s="187" t="n">
        <x:v>43460</x:v>
      </x:c>
      <x:c r="B747" s="195" t="n">
        <x:v>2.81</x:v>
      </x:c>
      <x:c r="C747" s="195" t="n">
        <x:v>1.04</x:v>
      </x:c>
      <x:c r="D747" s="195" t="n">
        <x:f>IFERROR(B747-C747,"")</x:f>
        <x:v>1.77</x:v>
      </x:c>
    </x:row>
    <x:row r="748">
      <x:c r="A748" s="187" t="n">
        <x:v>43461</x:v>
      </x:c>
      <x:c r="B748" s="195" t="n">
        <x:v>2.77</x:v>
      </x:c>
      <x:c r="C748" s="195" t="n">
        <x:v>1.03</x:v>
      </x:c>
      <x:c r="D748" s="195" t="n">
        <x:f>IFERROR(B748-C748,"")</x:f>
        <x:v>1.74</x:v>
      </x:c>
    </x:row>
    <x:row r="749">
      <x:c r="A749" s="187" t="n">
        <x:v>43462</x:v>
      </x:c>
      <x:c r="B749" s="195" t="n">
        <x:v>2.72</x:v>
      </x:c>
      <x:c r="C749" s="195" t="n">
        <x:v>0.99</x:v>
      </x:c>
      <x:c r="D749" s="195" t="n">
        <x:f>IFERROR(B749-C749,"")</x:f>
        <x:v>1.7300000000000002</x:v>
      </x:c>
    </x:row>
    <x:row r="750">
      <x:c r="A750" s="187" t="n">
        <x:v>43465</x:v>
      </x:c>
      <x:c r="B750" s="195" t="n">
        <x:v>2.69</x:v>
      </x:c>
      <x:c r="C750" s="195" t="n">
        <x:v>0.98</x:v>
      </x:c>
      <x:c r="D750" s="195" t="n">
        <x:f>IFERROR(B750-C750,"")</x:f>
        <x:v>1.71</x:v>
      </x:c>
    </x:row>
    <x:row r="751">
      <x:c r="A751" s="187" t="n">
        <x:v>43467</x:v>
      </x:c>
      <x:c r="B751" s="195" t="n">
        <x:v>2.66</x:v>
      </x:c>
      <x:c r="C751" s="195" t="n">
        <x:v>0.96</x:v>
      </x:c>
      <x:c r="D751" s="195" t="n">
        <x:f>IFERROR(B751-C751,"")</x:f>
        <x:v>1.7000000000000002</x:v>
      </x:c>
    </x:row>
    <x:row r="752">
      <x:c r="A752" s="187" t="n">
        <x:v>43468</x:v>
      </x:c>
      <x:c r="B752" s="195" t="n">
        <x:v>2.56</x:v>
      </x:c>
      <x:c r="C752" s="195" t="n">
        <x:v>0.88</x:v>
      </x:c>
      <x:c r="D752" s="195" t="n">
        <x:f>IFERROR(B752-C752,"")</x:f>
        <x:v>1.6800000000000002</x:v>
      </x:c>
    </x:row>
    <x:row r="753">
      <x:c r="A753" s="187" t="n">
        <x:v>43469</x:v>
      </x:c>
      <x:c r="B753" s="195" t="n">
        <x:v>2.67</x:v>
      </x:c>
      <x:c r="C753" s="195" t="n">
        <x:v>0.91</x:v>
      </x:c>
      <x:c r="D753" s="195" t="n">
        <x:f>IFERROR(B753-C753,"")</x:f>
        <x:v>1.7599999999999998</x:v>
      </x:c>
    </x:row>
    <x:row r="754">
      <x:c r="A754" s="187" t="n">
        <x:v>43472</x:v>
      </x:c>
      <x:c r="B754" s="195" t="n">
        <x:v>2.7</x:v>
      </x:c>
      <x:c r="C754" s="195" t="n">
        <x:v>0.92</x:v>
      </x:c>
      <x:c r="D754" s="195" t="n">
        <x:f>IFERROR(B754-C754,"")</x:f>
        <x:v>1.7800000000000002</x:v>
      </x:c>
    </x:row>
    <x:row r="755">
      <x:c r="A755" s="187" t="n">
        <x:v>43473</x:v>
      </x:c>
      <x:c r="B755" s="195" t="n">
        <x:v>2.73</x:v>
      </x:c>
      <x:c r="C755" s="195" t="n">
        <x:v>0.91</x:v>
      </x:c>
      <x:c r="D755" s="195" t="n">
        <x:f>IFERROR(B755-C755,"")</x:f>
        <x:v>1.8199999999999998</x:v>
      </x:c>
    </x:row>
    <x:row r="756">
      <x:c r="A756" s="187" t="n">
        <x:v>43474</x:v>
      </x:c>
      <x:c r="B756" s="195" t="n">
        <x:v>2.74</x:v>
      </x:c>
      <x:c r="C756" s="195" t="n">
        <x:v>0.91</x:v>
      </x:c>
      <x:c r="D756" s="195" t="n">
        <x:f>IFERROR(B756-C756,"")</x:f>
        <x:v>1.83</x:v>
      </x:c>
    </x:row>
    <x:row r="757">
      <x:c r="A757" s="187" t="n">
        <x:v>43475</x:v>
      </x:c>
      <x:c r="B757" s="195" t="n">
        <x:v>2.74</x:v>
      </x:c>
      <x:c r="C757" s="195" t="n">
        <x:v>0.93</x:v>
      </x:c>
      <x:c r="D757" s="195" t="n">
        <x:f>IFERROR(B757-C757,"")</x:f>
        <x:v>1.81</x:v>
      </x:c>
    </x:row>
    <x:row r="758">
      <x:c r="A758" s="187" t="n">
        <x:v>43476</x:v>
      </x:c>
      <x:c r="B758" s="195" t="n">
        <x:v>2.71</x:v>
      </x:c>
      <x:c r="C758" s="195" t="n">
        <x:v>0.88</x:v>
      </x:c>
      <x:c r="D758" s="195" t="n">
        <x:f>IFERROR(B758-C758,"")</x:f>
        <x:v>1.83</x:v>
      </x:c>
    </x:row>
    <x:row r="759">
      <x:c r="A759" s="187" t="n">
        <x:v>43479</x:v>
      </x:c>
      <x:c r="B759" s="195" t="n">
        <x:v>2.71</x:v>
      </x:c>
      <x:c r="C759" s="195" t="n">
        <x:v>0.9</x:v>
      </x:c>
      <x:c r="D759" s="195" t="n">
        <x:f>IFERROR(B759-C759,"")</x:f>
        <x:v>1.81</x:v>
      </x:c>
    </x:row>
    <x:row r="760">
      <x:c r="A760" s="187" t="n">
        <x:v>43480</x:v>
      </x:c>
      <x:c r="B760" s="195" t="n">
        <x:v>2.72</x:v>
      </x:c>
      <x:c r="C760" s="195" t="n">
        <x:v>0.91</x:v>
      </x:c>
      <x:c r="D760" s="195" t="n">
        <x:f>IFERROR(B760-C760,"")</x:f>
        <x:v>1.81</x:v>
      </x:c>
    </x:row>
    <x:row r="761">
      <x:c r="A761" s="187" t="n">
        <x:v>43481</x:v>
      </x:c>
      <x:c r="B761" s="195" t="n">
        <x:v>2.73</x:v>
      </x:c>
      <x:c r="C761" s="195" t="n">
        <x:v>0.91</x:v>
      </x:c>
      <x:c r="D761" s="195" t="n">
        <x:f>IFERROR(B761-C761,"")</x:f>
        <x:v>1.8199999999999998</x:v>
      </x:c>
    </x:row>
    <x:row r="762">
      <x:c r="A762" s="187" t="n">
        <x:v>43482</x:v>
      </x:c>
      <x:c r="B762" s="195" t="n">
        <x:v>2.75</x:v>
      </x:c>
      <x:c r="C762" s="195" t="n">
        <x:v>0.96</x:v>
      </x:c>
      <x:c r="D762" s="195" t="n">
        <x:f>IFERROR(B762-C762,"")</x:f>
        <x:v>1.79</x:v>
      </x:c>
    </x:row>
    <x:row r="763">
      <x:c r="A763" s="187" t="n">
        <x:v>43483</x:v>
      </x:c>
      <x:c r="B763" s="195" t="n">
        <x:v>2.79</x:v>
      </x:c>
      <x:c r="C763" s="195" t="n">
        <x:v>0.96</x:v>
      </x:c>
      <x:c r="D763" s="195" t="n">
        <x:f>IFERROR(B763-C763,"")</x:f>
        <x:v>1.83</x:v>
      </x:c>
    </x:row>
    <x:row r="764">
      <x:c r="A764" s="187" t="n">
        <x:v>43487</x:v>
      </x:c>
      <x:c r="B764" s="195" t="n">
        <x:v>2.74</x:v>
      </x:c>
      <x:c r="C764" s="195" t="n">
        <x:v>0.95</x:v>
      </x:c>
      <x:c r="D764" s="195" t="n">
        <x:f>IFERROR(B764-C764,"")</x:f>
        <x:v>1.7900000000000003</x:v>
      </x:c>
    </x:row>
    <x:row r="765">
      <x:c r="A765" s="187" t="n">
        <x:v>43488</x:v>
      </x:c>
      <x:c r="B765" s="195" t="n">
        <x:v>2.76</x:v>
      </x:c>
      <x:c r="C765" s="195" t="n">
        <x:v>0.96</x:v>
      </x:c>
      <x:c r="D765" s="195" t="n">
        <x:f>IFERROR(B765-C765,"")</x:f>
        <x:v>1.7999999999999998</x:v>
      </x:c>
    </x:row>
    <x:row r="766">
      <x:c r="A766" s="187" t="n">
        <x:v>43489</x:v>
      </x:c>
      <x:c r="B766" s="195" t="n">
        <x:v>2.72</x:v>
      </x:c>
      <x:c r="C766" s="195" t="n">
        <x:v>0.95</x:v>
      </x:c>
      <x:c r="D766" s="195" t="n">
        <x:f>IFERROR(B766-C766,"")</x:f>
        <x:v>1.7700000000000002</x:v>
      </x:c>
    </x:row>
    <x:row r="767">
      <x:c r="A767" s="187" t="n">
        <x:v>43490</x:v>
      </x:c>
      <x:c r="B767" s="195" t="n">
        <x:v>2.76</x:v>
      </x:c>
      <x:c r="C767" s="195" t="n">
        <x:v>0.97</x:v>
      </x:c>
      <x:c r="D767" s="195" t="n">
        <x:f>IFERROR(B767-C767,"")</x:f>
        <x:v>1.7899999999999998</x:v>
      </x:c>
    </x:row>
    <x:row r="768">
      <x:c r="A768" s="187" t="n">
        <x:v>43493</x:v>
      </x:c>
      <x:c r="B768" s="195" t="n">
        <x:v>2.75</x:v>
      </x:c>
      <x:c r="C768" s="195" t="n">
        <x:v>0.97</x:v>
      </x:c>
      <x:c r="D768" s="195" t="n">
        <x:f>IFERROR(B768-C768,"")</x:f>
        <x:v>1.78</x:v>
      </x:c>
    </x:row>
    <x:row r="769">
      <x:c r="A769" s="187" t="n">
        <x:v>43494</x:v>
      </x:c>
      <x:c r="B769" s="195" t="n">
        <x:v>2.72</x:v>
      </x:c>
      <x:c r="C769" s="195" t="n">
        <x:v>0.94</x:v>
      </x:c>
      <x:c r="D769" s="195" t="n">
        <x:f>IFERROR(B769-C769,"")</x:f>
        <x:v>1.7800000000000002</x:v>
      </x:c>
    </x:row>
    <x:row r="770">
      <x:c r="A770" s="187" t="n">
        <x:v>43495</x:v>
      </x:c>
      <x:c r="B770" s="195" t="n">
        <x:v>2.7</x:v>
      </x:c>
      <x:c r="C770" s="195" t="n">
        <x:v>0.86</x:v>
      </x:c>
      <x:c r="D770" s="195" t="n">
        <x:f>IFERROR(B770-C770,"")</x:f>
        <x:v>1.8400000000000003</x:v>
      </x:c>
    </x:row>
    <x:row r="771">
      <x:c r="A771" s="187" t="n">
        <x:v>43496</x:v>
      </x:c>
      <x:c r="B771" s="195" t="n">
        <x:v>2.63</x:v>
      </x:c>
      <x:c r="C771" s="195" t="n">
        <x:v>0.78</x:v>
      </x:c>
      <x:c r="D771" s="195" t="n">
        <x:f>IFERROR(B771-C771,"")</x:f>
        <x:v>1.8499999999999999</x:v>
      </x:c>
    </x:row>
    <x:row r="772">
      <x:c r="A772" s="187" t="n">
        <x:v>43497</x:v>
      </x:c>
      <x:c r="B772" s="195" t="n">
        <x:v>2.7</x:v>
      </x:c>
      <x:c r="C772" s="195" t="n">
        <x:v>0.82</x:v>
      </x:c>
      <x:c r="D772" s="195" t="n">
        <x:f>IFERROR(B772-C772,"")</x:f>
        <x:v>1.8800000000000003</x:v>
      </x:c>
    </x:row>
    <x:row r="773">
      <x:c r="A773" s="187" t="n">
        <x:v>43500</x:v>
      </x:c>
      <x:c r="B773" s="195" t="n">
        <x:v>2.73</x:v>
      </x:c>
      <x:c r="C773" s="195" t="n">
        <x:v>0.86</x:v>
      </x:c>
      <x:c r="D773" s="195" t="n">
        <x:f>IFERROR(B773-C773,"")</x:f>
        <x:v>1.87</x:v>
      </x:c>
    </x:row>
    <x:row r="774">
      <x:c r="A774" s="187" t="n">
        <x:v>43501</x:v>
      </x:c>
      <x:c r="B774" s="195" t="n">
        <x:v>2.71</x:v>
      </x:c>
      <x:c r="C774" s="195" t="n">
        <x:v>0.84</x:v>
      </x:c>
      <x:c r="D774" s="195" t="n">
        <x:f>IFERROR(B774-C774,"")</x:f>
        <x:v>1.87</x:v>
      </x:c>
    </x:row>
    <x:row r="775">
      <x:c r="A775" s="187" t="n">
        <x:v>43502</x:v>
      </x:c>
      <x:c r="B775" s="195" t="n">
        <x:v>2.7</x:v>
      </x:c>
      <x:c r="C775" s="195" t="n">
        <x:v>0.84</x:v>
      </x:c>
      <x:c r="D775" s="195" t="n">
        <x:f>IFERROR(B775-C775,"")</x:f>
        <x:v>1.8600000000000003</x:v>
      </x:c>
    </x:row>
    <x:row r="776">
      <x:c r="A776" s="187" t="n">
        <x:v>43503</x:v>
      </x:c>
      <x:c r="B776" s="195" t="n">
        <x:v>2.65</x:v>
      </x:c>
      <x:c r="C776" s="195" t="n">
        <x:v>0.81</x:v>
      </x:c>
      <x:c r="D776" s="195" t="n">
        <x:f>IFERROR(B776-C776,"")</x:f>
        <x:v>1.8399999999999999</x:v>
      </x:c>
    </x:row>
    <x:row r="777">
      <x:c r="A777" s="187" t="n">
        <x:v>43504</x:v>
      </x:c>
      <x:c r="B777" s="195" t="n">
        <x:v>2.63</x:v>
      </x:c>
      <x:c r="C777" s="195" t="n">
        <x:v>0.81</x:v>
      </x:c>
      <x:c r="D777" s="195" t="n">
        <x:f>IFERROR(B777-C777,"")</x:f>
        <x:v>1.8199999999999998</x:v>
      </x:c>
    </x:row>
    <x:row r="778">
      <x:c r="A778" s="187" t="n">
        <x:v>43507</x:v>
      </x:c>
      <x:c r="B778" s="195" t="n">
        <x:v>2.65</x:v>
      </x:c>
      <x:c r="C778" s="195" t="n">
        <x:v>0.83</x:v>
      </x:c>
      <x:c r="D778" s="195" t="n">
        <x:f>IFERROR(B778-C778,"")</x:f>
        <x:v>1.8199999999999998</x:v>
      </x:c>
    </x:row>
    <x:row r="779">
      <x:c r="A779" s="187" t="n">
        <x:v>43508</x:v>
      </x:c>
      <x:c r="B779" s="195" t="n">
        <x:v>2.68</x:v>
      </x:c>
      <x:c r="C779" s="195" t="n">
        <x:v>0.85</x:v>
      </x:c>
      <x:c r="D779" s="195" t="n">
        <x:f>IFERROR(B779-C779,"")</x:f>
        <x:v>1.83</x:v>
      </x:c>
    </x:row>
    <x:row r="780">
      <x:c r="A780" s="187" t="n">
        <x:v>43509</x:v>
      </x:c>
      <x:c r="B780" s="195" t="n">
        <x:v>2.71</x:v>
      </x:c>
      <x:c r="C780" s="195" t="n">
        <x:v>0.85</x:v>
      </x:c>
      <x:c r="D780" s="195" t="n">
        <x:f>IFERROR(B780-C780,"")</x:f>
        <x:v>1.8599999999999999</x:v>
      </x:c>
    </x:row>
    <x:row r="781">
      <x:c r="A781" s="187" t="n">
        <x:v>43510</x:v>
      </x:c>
      <x:c r="B781" s="195" t="n">
        <x:v>2.66</x:v>
      </x:c>
      <x:c r="C781" s="195" t="n">
        <x:v>0.81</x:v>
      </x:c>
      <x:c r="D781" s="195" t="n">
        <x:f>IFERROR(B781-C781,"")</x:f>
        <x:v>1.85</x:v>
      </x:c>
    </x:row>
    <x:row r="782">
      <x:c r="A782" s="187" t="n">
        <x:v>43511</x:v>
      </x:c>
      <x:c r="B782" s="195" t="n">
        <x:v>2.66</x:v>
      </x:c>
      <x:c r="C782" s="195" t="n">
        <x:v>0.8</x:v>
      </x:c>
      <x:c r="D782" s="195" t="n">
        <x:f>IFERROR(B782-C782,"")</x:f>
        <x:v>1.86</x:v>
      </x:c>
    </x:row>
    <x:row r="783">
      <x:c r="A783" s="187" t="n">
        <x:v>43515</x:v>
      </x:c>
      <x:c r="B783" s="195" t="n">
        <x:v>2.65</x:v>
      </x:c>
      <x:c r="C783" s="195" t="n">
        <x:v>0.78</x:v>
      </x:c>
      <x:c r="D783" s="195" t="n">
        <x:f>IFERROR(B783-C783,"")</x:f>
        <x:v>1.8699999999999999</x:v>
      </x:c>
    </x:row>
    <x:row r="784">
      <x:c r="A784" s="187" t="n">
        <x:v>43516</x:v>
      </x:c>
      <x:c r="B784" s="195" t="n">
        <x:v>2.65</x:v>
      </x:c>
      <x:c r="C784" s="195" t="n">
        <x:v>0.76</x:v>
      </x:c>
      <x:c r="D784" s="195" t="n">
        <x:f>IFERROR(B784-C784,"")</x:f>
        <x:v>1.89</x:v>
      </x:c>
    </x:row>
    <x:row r="785">
      <x:c r="A785" s="187" t="n">
        <x:v>43517</x:v>
      </x:c>
      <x:c r="B785" s="195" t="n">
        <x:v>2.69</x:v>
      </x:c>
      <x:c r="C785" s="195" t="n">
        <x:v>0.78</x:v>
      </x:c>
      <x:c r="D785" s="195" t="n">
        <x:f>IFERROR(B785-C785,"")</x:f>
        <x:v>1.91</x:v>
      </x:c>
    </x:row>
    <x:row r="786">
      <x:c r="A786" s="187" t="n">
        <x:v>43518</x:v>
      </x:c>
      <x:c r="B786" s="195" t="n">
        <x:v>2.65</x:v>
      </x:c>
      <x:c r="C786" s="195" t="n">
        <x:v>0.74</x:v>
      </x:c>
      <x:c r="D786" s="195" t="n">
        <x:f>IFERROR(B786-C786,"")</x:f>
        <x:v>1.91</x:v>
      </x:c>
    </x:row>
    <x:row r="787">
      <x:c r="A787" s="187" t="n">
        <x:v>43521</x:v>
      </x:c>
      <x:c r="B787" s="195" t="n">
        <x:v>2.67</x:v>
      </x:c>
      <x:c r="C787" s="195" t="n">
        <x:v>0.75</x:v>
      </x:c>
      <x:c r="D787" s="195" t="n">
        <x:f>IFERROR(B787-C787,"")</x:f>
        <x:v>1.92</x:v>
      </x:c>
    </x:row>
    <x:row r="788">
      <x:c r="A788" s="187" t="n">
        <x:v>43522</x:v>
      </x:c>
      <x:c r="B788" s="195" t="n">
        <x:v>2.64</x:v>
      </x:c>
      <x:c r="C788" s="195" t="n">
        <x:v>0.72</x:v>
      </x:c>
      <x:c r="D788" s="195" t="n">
        <x:f>IFERROR(B788-C788,"")</x:f>
        <x:v>1.9200000000000002</x:v>
      </x:c>
    </x:row>
    <x:row r="789">
      <x:c r="A789" s="187" t="n">
        <x:v>43523</x:v>
      </x:c>
      <x:c r="B789" s="195" t="n">
        <x:v>2.69</x:v>
      </x:c>
      <x:c r="C789" s="195" t="n">
        <x:v>0.76</x:v>
      </x:c>
      <x:c r="D789" s="195" t="n">
        <x:f>IFERROR(B789-C789,"")</x:f>
        <x:v>1.93</x:v>
      </x:c>
    </x:row>
    <x:row r="790">
      <x:c r="A790" s="187" t="n">
        <x:v>43524</x:v>
      </x:c>
      <x:c r="B790" s="195" t="n">
        <x:v>2.73</x:v>
      </x:c>
      <x:c r="C790" s="195" t="n">
        <x:v>0.78</x:v>
      </x:c>
      <x:c r="D790" s="195" t="n">
        <x:f>IFERROR(B790-C790,"")</x:f>
        <x:v>1.95</x:v>
      </x:c>
    </x:row>
    <x:row r="791">
      <x:c r="A791" s="187" t="n">
        <x:v>43525</x:v>
      </x:c>
      <x:c r="B791" s="195" t="n">
        <x:v>2.76</x:v>
      </x:c>
      <x:c r="C791" s="195" t="n">
        <x:v>0.8</x:v>
      </x:c>
      <x:c r="D791" s="195" t="n">
        <x:f>IFERROR(B791-C791,"")</x:f>
        <x:v>1.9599999999999997</x:v>
      </x:c>
    </x:row>
    <x:row r="792">
      <x:c r="A792" s="187" t="n">
        <x:v>43528</x:v>
      </x:c>
      <x:c r="B792" s="195" t="n">
        <x:v>2.72</x:v>
      </x:c>
      <x:c r="C792" s="195" t="n">
        <x:v>0.78</x:v>
      </x:c>
      <x:c r="D792" s="195" t="n">
        <x:f>IFERROR(B792-C792,"")</x:f>
        <x:v>1.9400000000000002</x:v>
      </x:c>
    </x:row>
    <x:row r="793">
      <x:c r="A793" s="187" t="n">
        <x:v>43529</x:v>
      </x:c>
      <x:c r="B793" s="195" t="n">
        <x:v>2.72</x:v>
      </x:c>
      <x:c r="C793" s="195" t="n">
        <x:v>0.79</x:v>
      </x:c>
      <x:c r="D793" s="195" t="n">
        <x:f>IFERROR(B793-C793,"")</x:f>
        <x:v>1.9300000000000002</x:v>
      </x:c>
    </x:row>
    <x:row r="794">
      <x:c r="A794" s="187" t="n">
        <x:v>43530</x:v>
      </x:c>
      <x:c r="B794" s="195" t="n">
        <x:v>2.69</x:v>
      </x:c>
      <x:c r="C794" s="195" t="n">
        <x:v>0.78</x:v>
      </x:c>
      <x:c r="D794" s="195" t="n">
        <x:f>IFERROR(B794-C794,"")</x:f>
        <x:v>1.91</x:v>
      </x:c>
    </x:row>
    <x:row r="795">
      <x:c r="A795" s="187" t="n">
        <x:v>43531</x:v>
      </x:c>
      <x:c r="B795" s="195" t="n">
        <x:v>2.64</x:v>
      </x:c>
      <x:c r="C795" s="195" t="n">
        <x:v>0.74</x:v>
      </x:c>
      <x:c r="D795" s="195" t="n">
        <x:f>IFERROR(B795-C795,"")</x:f>
        <x:v>1.9000000000000001</x:v>
      </x:c>
    </x:row>
    <x:row r="796">
      <x:c r="A796" s="187" t="n">
        <x:v>43532</x:v>
      </x:c>
      <x:c r="B796" s="195" t="n">
        <x:v>2.62</x:v>
      </x:c>
      <x:c r="C796" s="195" t="n">
        <x:v>0.72</x:v>
      </x:c>
      <x:c r="D796" s="195" t="n">
        <x:f>IFERROR(B796-C796,"")</x:f>
        <x:v>1.9000000000000001</x:v>
      </x:c>
    </x:row>
    <x:row r="797">
      <x:c r="A797" s="187" t="n">
        <x:v>43535</x:v>
      </x:c>
      <x:c r="B797" s="195" t="n">
        <x:v>2.64</x:v>
      </x:c>
      <x:c r="C797" s="195" t="n">
        <x:v>0.73</x:v>
      </x:c>
      <x:c r="D797" s="195" t="n">
        <x:f>IFERROR(B797-C797,"")</x:f>
        <x:v>1.9100000000000001</x:v>
      </x:c>
    </x:row>
    <x:row r="798">
      <x:c r="A798" s="187" t="n">
        <x:v>43536</x:v>
      </x:c>
      <x:c r="B798" s="195" t="n">
        <x:v>2.61</x:v>
      </x:c>
      <x:c r="C798" s="195" t="n">
        <x:v>0.71</x:v>
      </x:c>
      <x:c r="D798" s="195" t="n">
        <x:f>IFERROR(B798-C798,"")</x:f>
        <x:v>1.9</x:v>
      </x:c>
    </x:row>
    <x:row r="799">
      <x:c r="A799" s="187" t="n">
        <x:v>43537</x:v>
      </x:c>
      <x:c r="B799" s="195" t="n">
        <x:v>2.61</x:v>
      </x:c>
      <x:c r="C799" s="195" t="n">
        <x:v>0.69</x:v>
      </x:c>
      <x:c r="D799" s="195" t="n">
        <x:f>IFERROR(B799-C799,"")</x:f>
        <x:v>1.92</x:v>
      </x:c>
    </x:row>
    <x:row r="800">
      <x:c r="A800" s="187" t="n">
        <x:v>43538</x:v>
      </x:c>
      <x:c r="B800" s="195" t="n">
        <x:v>2.63</x:v>
      </x:c>
      <x:c r="C800" s="195" t="n">
        <x:v>0.69</x:v>
      </x:c>
      <x:c r="D800" s="195" t="n">
        <x:f>IFERROR(B800-C800,"")</x:f>
        <x:v>1.94</x:v>
      </x:c>
    </x:row>
    <x:row r="801">
      <x:c r="A801" s="187" t="n">
        <x:v>43539</x:v>
      </x:c>
      <x:c r="B801" s="195" t="n">
        <x:v>2.59</x:v>
      </x:c>
      <x:c r="C801" s="195" t="n">
        <x:v>0.65</x:v>
      </x:c>
      <x:c r="D801" s="195" t="n">
        <x:f>IFERROR(B801-C801,"")</x:f>
        <x:v>1.94</x:v>
      </x:c>
    </x:row>
    <x:row r="802">
      <x:c r="A802" s="187" t="n">
        <x:v>43542</x:v>
      </x:c>
      <x:c r="B802" s="195" t="n">
        <x:v>2.6</x:v>
      </x:c>
      <x:c r="C802" s="195" t="n">
        <x:v>0.64</x:v>
      </x:c>
      <x:c r="D802" s="195" t="n">
        <x:f>IFERROR(B802-C802,"")</x:f>
        <x:v>1.96</x:v>
      </x:c>
    </x:row>
    <x:row r="803">
      <x:c r="A803" s="187" t="n">
        <x:v>43543</x:v>
      </x:c>
      <x:c r="B803" s="195" t="n">
        <x:v>2.61</x:v>
      </x:c>
      <x:c r="C803" s="195" t="n">
        <x:v>0.66</x:v>
      </x:c>
      <x:c r="D803" s="195" t="n">
        <x:f>IFERROR(B803-C803,"")</x:f>
        <x:v>1.9499999999999997</x:v>
      </x:c>
    </x:row>
    <x:row r="804">
      <x:c r="A804" s="187" t="n">
        <x:v>43544</x:v>
      </x:c>
      <x:c r="B804" s="195" t="n">
        <x:v>2.54</x:v>
      </x:c>
      <x:c r="C804" s="195" t="n">
        <x:v>0.58</x:v>
      </x:c>
      <x:c r="D804" s="195" t="n">
        <x:f>IFERROR(B804-C804,"")</x:f>
        <x:v>1.96</x:v>
      </x:c>
    </x:row>
    <x:row r="805">
      <x:c r="A805" s="187" t="n">
        <x:v>43545</x:v>
      </x:c>
      <x:c r="B805" s="195" t="n">
        <x:v>2.54</x:v>
      </x:c>
      <x:c r="C805" s="195" t="n">
        <x:v>0.58</x:v>
      </x:c>
      <x:c r="D805" s="195" t="n">
        <x:f>IFERROR(B805-C805,"")</x:f>
        <x:v>1.96</x:v>
      </x:c>
    </x:row>
    <x:row r="806">
      <x:c r="A806" s="187" t="n">
        <x:v>43546</x:v>
      </x:c>
      <x:c r="B806" s="195" t="n">
        <x:v>2.44</x:v>
      </x:c>
      <x:c r="C806" s="195" t="n">
        <x:v>0.54</x:v>
      </x:c>
      <x:c r="D806" s="195" t="n">
        <x:f>IFERROR(B806-C806,"")</x:f>
        <x:v>1.9</x:v>
      </x:c>
    </x:row>
    <x:row r="807">
      <x:c r="A807" s="187" t="n">
        <x:v>43549</x:v>
      </x:c>
      <x:c r="B807" s="195" t="n">
        <x:v>2.43</x:v>
      </x:c>
      <x:c r="C807" s="195" t="n">
        <x:v>0.55</x:v>
      </x:c>
      <x:c r="D807" s="195" t="n">
        <x:f>IFERROR(B807-C807,"")</x:f>
        <x:v>1.8800000000000001</x:v>
      </x:c>
    </x:row>
    <x:row r="808">
      <x:c r="A808" s="187" t="n">
        <x:v>43550</x:v>
      </x:c>
      <x:c r="B808" s="195" t="n">
        <x:v>2.41</x:v>
      </x:c>
      <x:c r="C808" s="195" t="n">
        <x:v>0.55</x:v>
      </x:c>
      <x:c r="D808" s="195" t="n">
        <x:f>IFERROR(B808-C808,"")</x:f>
        <x:v>1.86</x:v>
      </x:c>
    </x:row>
    <x:row r="809">
      <x:c r="A809" s="187" t="n">
        <x:v>43551</x:v>
      </x:c>
      <x:c r="B809" s="195" t="n">
        <x:v>2.39</x:v>
      </x:c>
      <x:c r="C809" s="195" t="n">
        <x:v>0.55</x:v>
      </x:c>
      <x:c r="D809" s="195" t="n">
        <x:f>IFERROR(B809-C809,"")</x:f>
        <x:v>1.84</x:v>
      </x:c>
    </x:row>
    <x:row r="810">
      <x:c r="A810" s="187" t="n">
        <x:v>43552</x:v>
      </x:c>
      <x:c r="B810" s="195" t="n">
        <x:v>2.39</x:v>
      </x:c>
      <x:c r="C810" s="195" t="n">
        <x:v>0.56</x:v>
      </x:c>
      <x:c r="D810" s="195" t="n">
        <x:f>IFERROR(B810-C810,"")</x:f>
        <x:v>1.83</x:v>
      </x:c>
    </x:row>
    <x:row r="811">
      <x:c r="A811" s="187" t="n">
        <x:v>43553</x:v>
      </x:c>
      <x:c r="B811" s="195" t="n">
        <x:v>2.41</x:v>
      </x:c>
      <x:c r="C811" s="195" t="n">
        <x:v>0.53</x:v>
      </x:c>
      <x:c r="D811" s="195" t="n">
        <x:f>IFERROR(B811-C811,"")</x:f>
        <x:v>1.8800000000000001</x:v>
      </x:c>
    </x:row>
    <x:row r="812">
      <x:c r="A812" s="187" t="n">
        <x:v>43556</x:v>
      </x:c>
      <x:c r="B812" s="195" t="n">
        <x:v>2.49</x:v>
      </x:c>
      <x:c r="C812" s="195" t="n">
        <x:v>0.59</x:v>
      </x:c>
      <x:c r="D812" s="195" t="n">
        <x:f>IFERROR(B812-C812,"")</x:f>
        <x:v>1.9000000000000004</x:v>
      </x:c>
    </x:row>
    <x:row r="813">
      <x:c r="A813" s="187" t="n">
        <x:v>43557</x:v>
      </x:c>
      <x:c r="B813" s="195" t="n">
        <x:v>2.48</x:v>
      </x:c>
      <x:c r="C813" s="195" t="n">
        <x:v>0.58</x:v>
      </x:c>
      <x:c r="D813" s="195" t="n">
        <x:f>IFERROR(B813-C813,"")</x:f>
        <x:v>1.9</x:v>
      </x:c>
    </x:row>
    <x:row r="814">
      <x:c r="A814" s="187" t="n">
        <x:v>43558</x:v>
      </x:c>
      <x:c r="B814" s="195" t="n">
        <x:v>2.52</x:v>
      </x:c>
      <x:c r="C814" s="195" t="n">
        <x:v>0.61</x:v>
      </x:c>
      <x:c r="D814" s="195" t="n">
        <x:f>IFERROR(B814-C814,"")</x:f>
        <x:v>1.9100000000000001</x:v>
      </x:c>
    </x:row>
    <x:row r="815">
      <x:c r="A815" s="187" t="n">
        <x:v>43559</x:v>
      </x:c>
      <x:c r="B815" s="195" t="n">
        <x:v>2.51</x:v>
      </x:c>
      <x:c r="C815" s="195" t="n">
        <x:v>0.61</x:v>
      </x:c>
      <x:c r="D815" s="195" t="n">
        <x:f>IFERROR(B815-C815,"")</x:f>
        <x:v>1.9</x:v>
      </x:c>
    </x:row>
    <x:row r="816">
      <x:c r="A816" s="187" t="n">
        <x:v>43560</x:v>
      </x:c>
      <x:c r="B816" s="195" t="n">
        <x:v>2.5</x:v>
      </x:c>
      <x:c r="C816" s="195" t="n">
        <x:v>0.6</x:v>
      </x:c>
      <x:c r="D816" s="195" t="n">
        <x:f>IFERROR(B816-C816,"")</x:f>
        <x:v>1.9</x:v>
      </x:c>
    </x:row>
    <x:row r="817">
      <x:c r="A817" s="187" t="n">
        <x:v>43563</x:v>
      </x:c>
      <x:c r="B817" s="195" t="n">
        <x:v>2.52</x:v>
      </x:c>
      <x:c r="C817" s="195" t="n">
        <x:v>0.61</x:v>
      </x:c>
      <x:c r="D817" s="195" t="n">
        <x:f>IFERROR(B817-C817,"")</x:f>
        <x:v>1.9100000000000001</x:v>
      </x:c>
    </x:row>
    <x:row r="818">
      <x:c r="A818" s="187" t="n">
        <x:v>43564</x:v>
      </x:c>
      <x:c r="B818" s="195" t="n">
        <x:v>2.51</x:v>
      </x:c>
      <x:c r="C818" s="195" t="n">
        <x:v>0.6</x:v>
      </x:c>
      <x:c r="D818" s="195" t="n">
        <x:f>IFERROR(B818-C818,"")</x:f>
        <x:v>1.9099999999999997</x:v>
      </x:c>
    </x:row>
    <x:row r="819">
      <x:c r="A819" s="187" t="n">
        <x:v>43565</x:v>
      </x:c>
      <x:c r="B819" s="195" t="n">
        <x:v>2.48</x:v>
      </x:c>
      <x:c r="C819" s="195" t="n">
        <x:v>0.54</x:v>
      </x:c>
      <x:c r="D819" s="195" t="n">
        <x:f>IFERROR(B819-C819,"")</x:f>
        <x:v>1.94</x:v>
      </x:c>
    </x:row>
    <x:row r="820">
      <x:c r="A820" s="187" t="n">
        <x:v>43566</x:v>
      </x:c>
      <x:c r="B820" s="195" t="n">
        <x:v>2.51</x:v>
      </x:c>
      <x:c r="C820" s="195" t="n">
        <x:v>0.57</x:v>
      </x:c>
      <x:c r="D820" s="195" t="n">
        <x:f>IFERROR(B820-C820,"")</x:f>
        <x:v>1.94</x:v>
      </x:c>
    </x:row>
    <x:row r="821">
      <x:c r="A821" s="187" t="n">
        <x:v>43567</x:v>
      </x:c>
      <x:c r="B821" s="195" t="n">
        <x:v>2.56</x:v>
      </x:c>
      <x:c r="C821" s="195" t="n">
        <x:v>0.61</x:v>
      </x:c>
      <x:c r="D821" s="195" t="n">
        <x:f>IFERROR(B821-C821,"")</x:f>
        <x:v>1.9500000000000002</x:v>
      </x:c>
    </x:row>
    <x:row r="822">
      <x:c r="A822" s="187" t="n">
        <x:v>43570</x:v>
      </x:c>
      <x:c r="B822" s="195" t="n">
        <x:v>2.55</x:v>
      </x:c>
      <x:c r="C822" s="195" t="n">
        <x:v>0.61</x:v>
      </x:c>
      <x:c r="D822" s="195" t="n">
        <x:f>IFERROR(B822-C822,"")</x:f>
        <x:v>1.94</x:v>
      </x:c>
    </x:row>
    <x:row r="823">
      <x:c r="A823" s="187" t="n">
        <x:v>43571</x:v>
      </x:c>
      <x:c r="B823" s="195" t="n">
        <x:v>2.6</x:v>
      </x:c>
      <x:c r="C823" s="195" t="n">
        <x:v>0.64</x:v>
      </x:c>
      <x:c r="D823" s="195" t="n">
        <x:f>IFERROR(B823-C823,"")</x:f>
        <x:v>1.96</x:v>
      </x:c>
    </x:row>
    <x:row r="824">
      <x:c r="A824" s="187" t="n">
        <x:v>43572</x:v>
      </x:c>
      <x:c r="B824" s="195" t="n">
        <x:v>2.59</x:v>
      </x:c>
      <x:c r="C824" s="195" t="n">
        <x:v>0.65</x:v>
      </x:c>
      <x:c r="D824" s="195" t="n">
        <x:f>IFERROR(B824-C824,"")</x:f>
        <x:v>1.94</x:v>
      </x:c>
    </x:row>
    <x:row r="825">
      <x:c r="A825" s="187" t="n">
        <x:v>43573</x:v>
      </x:c>
      <x:c r="B825" s="195" t="n">
        <x:v>2.57</x:v>
      </x:c>
      <x:c r="C825" s="195" t="n">
        <x:v>0.62</x:v>
      </x:c>
      <x:c r="D825" s="195" t="n">
        <x:f>IFERROR(B825-C825,"")</x:f>
        <x:v>1.9499999999999997</x:v>
      </x:c>
    </x:row>
    <x:row r="826">
      <x:c r="A826" s="187" t="n">
        <x:v>43577</x:v>
      </x:c>
      <x:c r="B826" s="195" t="n">
        <x:v>2.59</x:v>
      </x:c>
      <x:c r="C826" s="195" t="n">
        <x:v>0.64</x:v>
      </x:c>
      <x:c r="D826" s="195" t="n">
        <x:f>IFERROR(B826-C826,"")</x:f>
        <x:v>1.9499999999999997</x:v>
      </x:c>
    </x:row>
    <x:row r="827">
      <x:c r="A827" s="187" t="n">
        <x:v>43578</x:v>
      </x:c>
      <x:c r="B827" s="195" t="n">
        <x:v>2.57</x:v>
      </x:c>
      <x:c r="C827" s="195" t="n">
        <x:v>0.62</x:v>
      </x:c>
      <x:c r="D827" s="195" t="n">
        <x:f>IFERROR(B827-C827,"")</x:f>
        <x:v>1.9499999999999997</x:v>
      </x:c>
    </x:row>
    <x:row r="828">
      <x:c r="A828" s="187" t="n">
        <x:v>43579</x:v>
      </x:c>
      <x:c r="B828" s="195" t="n">
        <x:v>2.53</x:v>
      </x:c>
      <x:c r="C828" s="195" t="n">
        <x:v>0.57</x:v>
      </x:c>
      <x:c r="D828" s="195" t="n">
        <x:f>IFERROR(B828-C828,"")</x:f>
        <x:v>1.96</x:v>
      </x:c>
    </x:row>
    <x:row r="829">
      <x:c r="A829" s="187" t="n">
        <x:v>43580</x:v>
      </x:c>
      <x:c r="B829" s="195" t="n">
        <x:v>2.54</x:v>
      </x:c>
      <x:c r="C829" s="195" t="n">
        <x:v>0.56</x:v>
      </x:c>
      <x:c r="D829" s="195" t="n">
        <x:f>IFERROR(B829-C829,"")</x:f>
        <x:v>1.98</x:v>
      </x:c>
    </x:row>
    <x:row r="830">
      <x:c r="A830" s="187" t="n">
        <x:v>43581</x:v>
      </x:c>
      <x:c r="B830" s="195" t="n">
        <x:v>2.51</x:v>
      </x:c>
      <x:c r="C830" s="195" t="n">
        <x:v>0.54</x:v>
      </x:c>
      <x:c r="D830" s="195" t="n">
        <x:f>IFERROR(B830-C830,"")</x:f>
        <x:v>1.9699999999999998</x:v>
      </x:c>
    </x:row>
    <x:row r="831">
      <x:c r="A831" s="187" t="n">
        <x:v>43584</x:v>
      </x:c>
      <x:c r="B831" s="195" t="n">
        <x:v>2.54</x:v>
      </x:c>
      <x:c r="C831" s="195" t="n">
        <x:v>0.58</x:v>
      </x:c>
      <x:c r="D831" s="195" t="n">
        <x:f>IFERROR(B831-C831,"")</x:f>
        <x:v>1.96</x:v>
      </x:c>
    </x:row>
    <x:row r="832">
      <x:c r="A832" s="187" t="n">
        <x:v>43585</x:v>
      </x:c>
      <x:c r="B832" s="195" t="n">
        <x:v>2.51</x:v>
      </x:c>
      <x:c r="C832" s="195" t="n">
        <x:v>0.56</x:v>
      </x:c>
      <x:c r="D832" s="195" t="n">
        <x:f>IFERROR(B832-C832,"")</x:f>
        <x:v>1.9499999999999997</x:v>
      </x:c>
    </x:row>
    <x:row r="833">
      <x:c r="A833" s="187" t="n">
        <x:v>43586</x:v>
      </x:c>
      <x:c r="B833" s="195" t="n">
        <x:v>2.52</x:v>
      </x:c>
      <x:c r="C833" s="195" t="n">
        <x:v>0.59</x:v>
      </x:c>
      <x:c r="D833" s="195" t="n">
        <x:f>IFERROR(B833-C833,"")</x:f>
        <x:v>1.9300000000000002</x:v>
      </x:c>
    </x:row>
    <x:row r="834">
      <x:c r="A834" s="187" t="n">
        <x:v>43587</x:v>
      </x:c>
      <x:c r="B834" s="195" t="n">
        <x:v>2.55</x:v>
      </x:c>
      <x:c r="C834" s="195" t="n">
        <x:v>0.66</x:v>
      </x:c>
      <x:c r="D834" s="195" t="n">
        <x:f>IFERROR(B834-C834,"")</x:f>
        <x:v>1.8899999999999997</x:v>
      </x:c>
    </x:row>
    <x:row r="835">
      <x:c r="A835" s="187" t="n">
        <x:v>43588</x:v>
      </x:c>
      <x:c r="B835" s="195" t="n">
        <x:v>2.54</x:v>
      </x:c>
      <x:c r="C835" s="195" t="n">
        <x:v>0.63</x:v>
      </x:c>
      <x:c r="D835" s="195" t="n">
        <x:f>IFERROR(B835-C835,"")</x:f>
        <x:v>1.9100000000000001</x:v>
      </x:c>
    </x:row>
    <x:row r="836">
      <x:c r="A836" s="187" t="n">
        <x:v>43591</x:v>
      </x:c>
      <x:c r="B836" s="195" t="n">
        <x:v>2.51</x:v>
      </x:c>
      <x:c r="C836" s="195" t="n">
        <x:v>0.6</x:v>
      </x:c>
      <x:c r="D836" s="195" t="n">
        <x:f>IFERROR(B836-C836,"")</x:f>
        <x:v>1.9099999999999997</x:v>
      </x:c>
    </x:row>
    <x:row r="837">
      <x:c r="A837" s="187" t="n">
        <x:v>43592</x:v>
      </x:c>
      <x:c r="B837" s="195" t="n">
        <x:v>2.45</x:v>
      </x:c>
      <x:c r="C837" s="195" t="n">
        <x:v>0.58</x:v>
      </x:c>
      <x:c r="D837" s="195" t="n">
        <x:f>IFERROR(B837-C837,"")</x:f>
        <x:v>1.87</x:v>
      </x:c>
    </x:row>
    <x:row r="838">
      <x:c r="A838" s="187" t="n">
        <x:v>43593</x:v>
      </x:c>
      <x:c r="B838" s="195" t="n">
        <x:v>2.49</x:v>
      </x:c>
      <x:c r="C838" s="195" t="n">
        <x:v>0.62</x:v>
      </x:c>
      <x:c r="D838" s="195" t="n">
        <x:f>IFERROR(B838-C838,"")</x:f>
        <x:v>1.87</x:v>
      </x:c>
    </x:row>
    <x:row r="839">
      <x:c r="A839" s="187" t="n">
        <x:v>43594</x:v>
      </x:c>
      <x:c r="B839" s="195" t="n">
        <x:v>2.45</x:v>
      </x:c>
      <x:c r="C839" s="195" t="n">
        <x:v>0.6</x:v>
      </x:c>
      <x:c r="D839" s="195" t="n">
        <x:f>IFERROR(B839-C839,"")</x:f>
        <x:v>1.85</x:v>
      </x:c>
    </x:row>
    <x:row r="840">
      <x:c r="A840" s="187" t="n">
        <x:v>43595</x:v>
      </x:c>
      <x:c r="B840" s="195" t="n">
        <x:v>2.47</x:v>
      </x:c>
      <x:c r="C840" s="195" t="n">
        <x:v>0.59</x:v>
      </x:c>
      <x:c r="D840" s="195" t="n">
        <x:f>IFERROR(B840-C840,"")</x:f>
        <x:v>1.8800000000000003</x:v>
      </x:c>
    </x:row>
    <x:row r="841">
      <x:c r="A841" s="187" t="n">
        <x:v>43598</x:v>
      </x:c>
      <x:c r="B841" s="195" t="n">
        <x:v>2.4</x:v>
      </x:c>
      <x:c r="C841" s="195" t="n">
        <x:v>0.55</x:v>
      </x:c>
      <x:c r="D841" s="195" t="n">
        <x:f>IFERROR(B841-C841,"")</x:f>
        <x:v>1.8499999999999999</x:v>
      </x:c>
    </x:row>
    <x:row r="842">
      <x:c r="A842" s="187" t="n">
        <x:v>43599</x:v>
      </x:c>
      <x:c r="B842" s="195" t="n">
        <x:v>2.42</x:v>
      </x:c>
      <x:c r="C842" s="195" t="n">
        <x:v>0.56</x:v>
      </x:c>
      <x:c r="D842" s="195" t="n">
        <x:f>IFERROR(B842-C842,"")</x:f>
        <x:v>1.8599999999999999</x:v>
      </x:c>
    </x:row>
    <x:row r="843">
      <x:c r="A843" s="187" t="n">
        <x:v>43600</x:v>
      </x:c>
      <x:c r="B843" s="195" t="n">
        <x:v>2.37</x:v>
      </x:c>
      <x:c r="C843" s="195" t="n">
        <x:v>0.54</x:v>
      </x:c>
      <x:c r="D843" s="195" t="n">
        <x:f>IFERROR(B843-C843,"")</x:f>
        <x:v>1.83</x:v>
      </x:c>
    </x:row>
    <x:row r="844">
      <x:c r="A844" s="187" t="n">
        <x:v>43601</x:v>
      </x:c>
      <x:c r="B844" s="195" t="n">
        <x:v>2.4</x:v>
      </x:c>
      <x:c r="C844" s="195" t="n">
        <x:v>0.56</x:v>
      </x:c>
      <x:c r="D844" s="195" t="n">
        <x:f>IFERROR(B844-C844,"")</x:f>
        <x:v>1.8399999999999999</x:v>
      </x:c>
    </x:row>
    <x:row r="845">
      <x:c r="A845" s="187" t="n">
        <x:v>43602</x:v>
      </x:c>
      <x:c r="B845" s="195" t="n">
        <x:v>2.39</x:v>
      </x:c>
      <x:c r="C845" s="195" t="n">
        <x:v>0.58</x:v>
      </x:c>
      <x:c r="D845" s="195" t="n">
        <x:f>IFERROR(B845-C845,"")</x:f>
        <x:v>1.81</x:v>
      </x:c>
    </x:row>
    <x:row r="846">
      <x:c r="A846" s="187" t="n">
        <x:v>43605</x:v>
      </x:c>
      <x:c r="B846" s="195" t="n">
        <x:v>2.41</x:v>
      </x:c>
      <x:c r="C846" s="195" t="n">
        <x:v>0.6</x:v>
      </x:c>
      <x:c r="D846" s="195" t="n">
        <x:f>IFERROR(B846-C846,"")</x:f>
        <x:v>1.81</x:v>
      </x:c>
    </x:row>
    <x:row r="847">
      <x:c r="A847" s="187" t="n">
        <x:v>43606</x:v>
      </x:c>
      <x:c r="B847" s="195" t="n">
        <x:v>2.43</x:v>
      </x:c>
      <x:c r="C847" s="195" t="n">
        <x:v>0.6</x:v>
      </x:c>
      <x:c r="D847" s="195" t="n">
        <x:f>IFERROR(B847-C847,"")</x:f>
        <x:v>1.83</x:v>
      </x:c>
    </x:row>
    <x:row r="848">
      <x:c r="A848" s="187" t="n">
        <x:v>43607</x:v>
      </x:c>
      <x:c r="B848" s="195" t="n">
        <x:v>2.39</x:v>
      </x:c>
      <x:c r="C848" s="195" t="n">
        <x:v>0.6</x:v>
      </x:c>
      <x:c r="D848" s="195" t="n">
        <x:f>IFERROR(B848-C848,"")</x:f>
        <x:v>1.79</x:v>
      </x:c>
    </x:row>
    <x:row r="849">
      <x:c r="A849" s="187" t="n">
        <x:v>43608</x:v>
      </x:c>
      <x:c r="B849" s="195" t="n">
        <x:v>2.31</x:v>
      </x:c>
      <x:c r="C849" s="195" t="n">
        <x:v>0.58</x:v>
      </x:c>
      <x:c r="D849" s="195" t="n">
        <x:f>IFERROR(B849-C849,"")</x:f>
        <x:v>1.73</x:v>
      </x:c>
    </x:row>
    <x:row r="850">
      <x:c r="A850" s="187" t="n">
        <x:v>43609</x:v>
      </x:c>
      <x:c r="B850" s="195" t="n">
        <x:v>2.32</x:v>
      </x:c>
      <x:c r="C850" s="195" t="n">
        <x:v>0.56</x:v>
      </x:c>
      <x:c r="D850" s="195" t="n">
        <x:f>IFERROR(B850-C850,"")</x:f>
        <x:v>1.7599999999999998</x:v>
      </x:c>
    </x:row>
    <x:row r="851">
      <x:c r="A851" s="187" t="n">
        <x:v>43613</x:v>
      </x:c>
      <x:c r="B851" s="195" t="n">
        <x:v>2.26</x:v>
      </x:c>
      <x:c r="C851" s="195" t="n">
        <x:v>0.53</x:v>
      </x:c>
      <x:c r="D851" s="195" t="n">
        <x:f>IFERROR(B851-C851,"")</x:f>
        <x:v>1.7299999999999998</x:v>
      </x:c>
    </x:row>
    <x:row r="852">
      <x:c r="A852" s="187" t="n">
        <x:v>43614</x:v>
      </x:c>
      <x:c r="B852" s="195" t="n">
        <x:v>2.25</x:v>
      </x:c>
      <x:c r="C852" s="195" t="n">
        <x:v>0.5</x:v>
      </x:c>
      <x:c r="D852" s="195" t="n">
        <x:f>IFERROR(B852-C852,"")</x:f>
        <x:v>1.75</x:v>
      </x:c>
    </x:row>
    <x:row r="853">
      <x:c r="A853" s="187" t="n">
        <x:v>43615</x:v>
      </x:c>
      <x:c r="B853" s="195" t="n">
        <x:v>2.22</x:v>
      </x:c>
      <x:c r="C853" s="195" t="n">
        <x:v>0.48</x:v>
      </x:c>
      <x:c r="D853" s="195" t="n">
        <x:f>IFERROR(B853-C853,"")</x:f>
        <x:v>1.7400000000000002</x:v>
      </x:c>
    </x:row>
    <x:row r="854">
      <x:c r="A854" s="187" t="n">
        <x:v>43616</x:v>
      </x:c>
      <x:c r="B854" s="195" t="n">
        <x:v>2.14</x:v>
      </x:c>
      <x:c r="C854" s="195" t="n">
        <x:v>0.4</x:v>
      </x:c>
      <x:c r="D854" s="195" t="n">
        <x:f>IFERROR(B854-C854,"")</x:f>
        <x:v>1.7400000000000002</x:v>
      </x:c>
    </x:row>
    <x:row r="855">
      <x:c r="A855" s="187" t="n">
        <x:v>43619</x:v>
      </x:c>
      <x:c r="B855" s="195" t="n">
        <x:v>2.07</x:v>
      </x:c>
      <x:c r="C855" s="195" t="n">
        <x:v>0.34</x:v>
      </x:c>
      <x:c r="D855" s="195" t="n">
        <x:f>IFERROR(B855-C855,"")</x:f>
        <x:v>1.7299999999999998</x:v>
      </x:c>
    </x:row>
    <x:row r="856">
      <x:c r="A856" s="187" t="n">
        <x:v>43620</x:v>
      </x:c>
      <x:c r="B856" s="195" t="n">
        <x:v>2.12</x:v>
      </x:c>
      <x:c r="C856" s="195" t="n">
        <x:v>0.38</x:v>
      </x:c>
      <x:c r="D856" s="195" t="n">
        <x:f>IFERROR(B856-C856,"")</x:f>
        <x:v>1.7400000000000002</x:v>
      </x:c>
    </x:row>
    <x:row r="857">
      <x:c r="A857" s="187" t="n">
        <x:v>43621</x:v>
      </x:c>
      <x:c r="B857" s="195" t="n">
        <x:v>2.12</x:v>
      </x:c>
      <x:c r="C857" s="195" t="n">
        <x:v>0.37</x:v>
      </x:c>
      <x:c r="D857" s="195" t="n">
        <x:f>IFERROR(B857-C857,"")</x:f>
        <x:v>1.75</x:v>
      </x:c>
    </x:row>
    <x:row r="858">
      <x:c r="A858" s="187" t="n">
        <x:v>43622</x:v>
      </x:c>
      <x:c r="B858" s="195" t="n">
        <x:v>2.12</x:v>
      </x:c>
      <x:c r="C858" s="195" t="n">
        <x:v>0.39</x:v>
      </x:c>
      <x:c r="D858" s="195" t="n">
        <x:f>IFERROR(B858-C858,"")</x:f>
        <x:v>1.73</x:v>
      </x:c>
    </x:row>
    <x:row r="859">
      <x:c r="A859" s="187" t="n">
        <x:v>43623</x:v>
      </x:c>
      <x:c r="B859" s="195" t="n">
        <x:v>2.09</x:v>
      </x:c>
      <x:c r="C859" s="195" t="n">
        <x:v>0.35</x:v>
      </x:c>
      <x:c r="D859" s="195" t="n">
        <x:f>IFERROR(B859-C859,"")</x:f>
        <x:v>1.7399999999999998</x:v>
      </x:c>
    </x:row>
    <x:row r="860">
      <x:c r="A860" s="187" t="n">
        <x:v>43626</x:v>
      </x:c>
      <x:c r="B860" s="195" t="n">
        <x:v>2.15</x:v>
      </x:c>
      <x:c r="C860" s="195" t="n">
        <x:v>0.42</x:v>
      </x:c>
      <x:c r="D860" s="195" t="n">
        <x:f>IFERROR(B860-C860,"")</x:f>
        <x:v>1.73</x:v>
      </x:c>
    </x:row>
    <x:row r="861">
      <x:c r="A861" s="187" t="n">
        <x:v>43627</x:v>
      </x:c>
      <x:c r="B861" s="195" t="n">
        <x:v>2.15</x:v>
      </x:c>
      <x:c r="C861" s="195" t="n">
        <x:v>0.43</x:v>
      </x:c>
      <x:c r="D861" s="195" t="n">
        <x:f>IFERROR(B861-C861,"")</x:f>
        <x:v>1.72</x:v>
      </x:c>
    </x:row>
    <x:row r="862">
      <x:c r="A862" s="187" t="n">
        <x:v>43628</x:v>
      </x:c>
      <x:c r="B862" s="195" t="n">
        <x:v>2.13</x:v>
      </x:c>
      <x:c r="C862" s="195" t="n">
        <x:v>0.42</x:v>
      </x:c>
      <x:c r="D862" s="195" t="n">
        <x:f>IFERROR(B862-C862,"")</x:f>
        <x:v>1.71</x:v>
      </x:c>
    </x:row>
    <x:row r="863">
      <x:c r="A863" s="187" t="n">
        <x:v>43629</x:v>
      </x:c>
      <x:c r="B863" s="195" t="n">
        <x:v>2.1</x:v>
      </x:c>
      <x:c r="C863" s="195" t="n">
        <x:v>0.42</x:v>
      </x:c>
      <x:c r="D863" s="195" t="n">
        <x:f>IFERROR(B863-C863,"")</x:f>
        <x:v>1.6800000000000002</x:v>
      </x:c>
    </x:row>
    <x:row r="864">
      <x:c r="A864" s="187" t="n">
        <x:v>43630</x:v>
      </x:c>
      <x:c r="B864" s="195" t="n">
        <x:v>2.09</x:v>
      </x:c>
      <x:c r="C864" s="195" t="n">
        <x:v>0.46</x:v>
      </x:c>
      <x:c r="D864" s="195" t="n">
        <x:f>IFERROR(B864-C864,"")</x:f>
        <x:v>1.63</x:v>
      </x:c>
    </x:row>
    <x:row r="865">
      <x:c r="A865" s="187" t="n">
        <x:v>43633</x:v>
      </x:c>
      <x:c r="B865" s="195" t="n">
        <x:v>2.09</x:v>
      </x:c>
      <x:c r="C865" s="195" t="n">
        <x:v>0.48</x:v>
      </x:c>
      <x:c r="D865" s="195" t="n">
        <x:f>IFERROR(B865-C865,"")</x:f>
        <x:v>1.6099999999999999</x:v>
      </x:c>
    </x:row>
    <x:row r="866">
      <x:c r="A866" s="187" t="n">
        <x:v>43634</x:v>
      </x:c>
      <x:c r="B866" s="195" t="n">
        <x:v>2.06</x:v>
      </x:c>
      <x:c r="C866" s="195" t="n">
        <x:v>0.42</x:v>
      </x:c>
      <x:c r="D866" s="195" t="n">
        <x:f>IFERROR(B866-C866,"")</x:f>
        <x:v>1.6400000000000001</x:v>
      </x:c>
    </x:row>
    <x:row r="867">
      <x:c r="A867" s="187" t="n">
        <x:v>43635</x:v>
      </x:c>
      <x:c r="B867" s="195" t="n">
        <x:v>2.03</x:v>
      </x:c>
      <x:c r="C867" s="195" t="n">
        <x:v>0.36</x:v>
      </x:c>
      <x:c r="D867" s="195" t="n">
        <x:f>IFERROR(B867-C867,"")</x:f>
        <x:v>1.67</x:v>
      </x:c>
    </x:row>
    <x:row r="868">
      <x:c r="A868" s="187" t="n">
        <x:v>43636</x:v>
      </x:c>
      <x:c r="B868" s="195" t="n">
        <x:v>2.01</x:v>
      </x:c>
      <x:c r="C868" s="195" t="n">
        <x:v>0.27</x:v>
      </x:c>
      <x:c r="D868" s="195" t="n">
        <x:f>IFERROR(B868-C868,"")</x:f>
        <x:v>1.7399999999999998</x:v>
      </x:c>
    </x:row>
    <x:row r="869">
      <x:c r="A869" s="187" t="n">
        <x:v>43637</x:v>
      </x:c>
      <x:c r="B869" s="195" t="n">
        <x:v>2.07</x:v>
      </x:c>
      <x:c r="C869" s="195" t="n">
        <x:v>0.34</x:v>
      </x:c>
      <x:c r="D869" s="195" t="n">
        <x:f>IFERROR(B869-C869,"")</x:f>
        <x:v>1.7299999999999998</x:v>
      </x:c>
    </x:row>
    <x:row r="870">
      <x:c r="A870" s="187" t="n">
        <x:v>43640</x:v>
      </x:c>
      <x:c r="B870" s="195" t="n">
        <x:v>2.02</x:v>
      </x:c>
      <x:c r="C870" s="195" t="n">
        <x:v>0.31</x:v>
      </x:c>
      <x:c r="D870" s="195" t="n">
        <x:f>IFERROR(B870-C870,"")</x:f>
        <x:v>1.71</x:v>
      </x:c>
    </x:row>
    <x:row r="871">
      <x:c r="A871" s="187" t="n">
        <x:v>43641</x:v>
      </x:c>
      <x:c r="B871" s="195" t="n">
        <x:v>2</x:v>
      </x:c>
      <x:c r="C871" s="195" t="n">
        <x:v>0.33</x:v>
      </x:c>
      <x:c r="D871" s="195" t="n">
        <x:f>IFERROR(B871-C871,"")</x:f>
        <x:v>1.67</x:v>
      </x:c>
    </x:row>
    <x:row r="872">
      <x:c r="A872" s="187" t="n">
        <x:v>43642</x:v>
      </x:c>
      <x:c r="B872" s="195" t="n">
        <x:v>2.05</x:v>
      </x:c>
      <x:c r="C872" s="195" t="n">
        <x:v>0.35</x:v>
      </x:c>
      <x:c r="D872" s="195" t="n">
        <x:f>IFERROR(B872-C872,"")</x:f>
        <x:v>1.6999999999999997</x:v>
      </x:c>
    </x:row>
    <x:row r="873">
      <x:c r="A873" s="187" t="n">
        <x:v>43643</x:v>
      </x:c>
      <x:c r="B873" s="195" t="n">
        <x:v>2.01</x:v>
      </x:c>
      <x:c r="C873" s="195" t="n">
        <x:v>0.33</x:v>
      </x:c>
      <x:c r="D873" s="195" t="n">
        <x:f>IFERROR(B873-C873,"")</x:f>
        <x:v>1.6799999999999997</x:v>
      </x:c>
    </x:row>
    <x:row r="874">
      <x:c r="A874" s="187" t="n">
        <x:v>43644</x:v>
      </x:c>
      <x:c r="B874" s="195" t="n">
        <x:v>2</x:v>
      </x:c>
      <x:c r="C874" s="195" t="n">
        <x:v>0.31</x:v>
      </x:c>
      <x:c r="D874" s="195" t="n">
        <x:f>IFERROR(B874-C874,"")</x:f>
        <x:v>1.69</x:v>
      </x:c>
    </x:row>
    <x:row r="875">
      <x:c r="A875" s="187" t="n">
        <x:v>43647</x:v>
      </x:c>
      <x:c r="B875" s="195" t="n">
        <x:v>2.03</x:v>
      </x:c>
      <x:c r="C875" s="195" t="n">
        <x:v>0.34</x:v>
      </x:c>
      <x:c r="D875" s="195" t="n">
        <x:f>IFERROR(B875-C875,"")</x:f>
        <x:v>1.6899999999999997</x:v>
      </x:c>
    </x:row>
    <x:row r="876">
      <x:c r="A876" s="187" t="n">
        <x:v>43648</x:v>
      </x:c>
      <x:c r="B876" s="195" t="n">
        <x:v>1.98</x:v>
      </x:c>
      <x:c r="C876" s="195" t="n">
        <x:v>0.33</x:v>
      </x:c>
      <x:c r="D876" s="195" t="n">
        <x:f>IFERROR(B876-C876,"")</x:f>
        <x:v>1.65</x:v>
      </x:c>
    </x:row>
    <x:row r="877">
      <x:c r="A877" s="187" t="n">
        <x:v>43649</x:v>
      </x:c>
      <x:c r="B877" s="195" t="n">
        <x:v>1.96</x:v>
      </x:c>
      <x:c r="C877" s="195" t="n">
        <x:v>0.31</x:v>
      </x:c>
      <x:c r="D877" s="195" t="n">
        <x:f>IFERROR(B877-C877,"")</x:f>
        <x:v>1.65</x:v>
      </x:c>
    </x:row>
    <x:row r="878">
      <x:c r="A878" s="187" t="n">
        <x:v>43651</x:v>
      </x:c>
      <x:c r="B878" s="195" t="n">
        <x:v>2.04</x:v>
      </x:c>
      <x:c r="C878" s="195" t="n">
        <x:v>0.35</x:v>
      </x:c>
      <x:c r="D878" s="195" t="n">
        <x:f>IFERROR(B878-C878,"")</x:f>
        <x:v>1.69</x:v>
      </x:c>
    </x:row>
    <x:row r="879">
      <x:c r="A879" s="187" t="n">
        <x:v>43654</x:v>
      </x:c>
      <x:c r="B879" s="195" t="n">
        <x:v>2.05</x:v>
      </x:c>
      <x:c r="C879" s="195" t="n">
        <x:v>0.35</x:v>
      </x:c>
      <x:c r="D879" s="195" t="n">
        <x:f>IFERROR(B879-C879,"")</x:f>
        <x:v>1.6999999999999997</x:v>
      </x:c>
    </x:row>
    <x:row r="880">
      <x:c r="A880" s="187" t="n">
        <x:v>43655</x:v>
      </x:c>
      <x:c r="B880" s="195" t="n">
        <x:v>2.07</x:v>
      </x:c>
      <x:c r="C880" s="195" t="n">
        <x:v>0.36</x:v>
      </x:c>
      <x:c r="D880" s="195" t="n">
        <x:f>IFERROR(B880-C880,"")</x:f>
        <x:v>1.71</x:v>
      </x:c>
    </x:row>
    <x:row r="881">
      <x:c r="A881" s="187" t="n">
        <x:v>43656</x:v>
      </x:c>
      <x:c r="B881" s="195" t="n">
        <x:v>2.07</x:v>
      </x:c>
      <x:c r="C881" s="195" t="n">
        <x:v>0.33</x:v>
      </x:c>
      <x:c r="D881" s="195" t="n">
        <x:f>IFERROR(B881-C881,"")</x:f>
        <x:v>1.7399999999999998</x:v>
      </x:c>
    </x:row>
    <x:row r="882">
      <x:c r="A882" s="187" t="n">
        <x:v>43657</x:v>
      </x:c>
      <x:c r="B882" s="195" t="n">
        <x:v>2.13</x:v>
      </x:c>
      <x:c r="C882" s="195" t="n">
        <x:v>0.36</x:v>
      </x:c>
      <x:c r="D882" s="195" t="n">
        <x:f>IFERROR(B882-C882,"")</x:f>
        <x:v>1.77</x:v>
      </x:c>
    </x:row>
    <x:row r="883">
      <x:c r="A883" s="187" t="n">
        <x:v>43658</x:v>
      </x:c>
      <x:c r="B883" s="195" t="n">
        <x:v>2.12</x:v>
      </x:c>
      <x:c r="C883" s="195" t="n">
        <x:v>0.35</x:v>
      </x:c>
      <x:c r="D883" s="195" t="n">
        <x:f>IFERROR(B883-C883,"")</x:f>
        <x:v>1.77</x:v>
      </x:c>
    </x:row>
    <x:row r="884">
      <x:c r="A884" s="187" t="n">
        <x:v>43661</x:v>
      </x:c>
      <x:c r="B884" s="195" t="n">
        <x:v>2.09</x:v>
      </x:c>
      <x:c r="C884" s="195" t="n">
        <x:v>0.32</x:v>
      </x:c>
      <x:c r="D884" s="195" t="n">
        <x:f>IFERROR(B884-C884,"")</x:f>
        <x:v>1.7699999999999998</x:v>
      </x:c>
    </x:row>
    <x:row r="885">
      <x:c r="A885" s="187" t="n">
        <x:v>43662</x:v>
      </x:c>
      <x:c r="B885" s="195" t="n">
        <x:v>2.13</x:v>
      </x:c>
      <x:c r="C885" s="195" t="n">
        <x:v>0.33</x:v>
      </x:c>
      <x:c r="D885" s="195" t="n">
        <x:f>IFERROR(B885-C885,"")</x:f>
        <x:v>1.7999999999999998</x:v>
      </x:c>
    </x:row>
    <x:row r="886">
      <x:c r="A886" s="187" t="n">
        <x:v>43663</x:v>
      </x:c>
      <x:c r="B886" s="195" t="n">
        <x:v>2.06</x:v>
      </x:c>
      <x:c r="C886" s="195" t="n">
        <x:v>0.31</x:v>
      </x:c>
      <x:c r="D886" s="195" t="n">
        <x:f>IFERROR(B886-C886,"")</x:f>
        <x:v>1.75</x:v>
      </x:c>
    </x:row>
    <x:row r="887">
      <x:c r="A887" s="187" t="n">
        <x:v>43664</x:v>
      </x:c>
      <x:c r="B887" s="195" t="n">
        <x:v>2.04</x:v>
      </x:c>
      <x:c r="C887" s="195" t="n">
        <x:v>0.25</x:v>
      </x:c>
      <x:c r="D887" s="195" t="n">
        <x:f>IFERROR(B887-C887,"")</x:f>
        <x:v>1.79</x:v>
      </x:c>
    </x:row>
    <x:row r="888">
      <x:c r="A888" s="187" t="n">
        <x:v>43665</x:v>
      </x:c>
      <x:c r="B888" s="195" t="n">
        <x:v>2.05</x:v>
      </x:c>
      <x:c r="C888" s="195" t="n">
        <x:v>0.25</x:v>
      </x:c>
      <x:c r="D888" s="195" t="n">
        <x:f>IFERROR(B888-C888,"")</x:f>
        <x:v>1.7999999999999998</x:v>
      </x:c>
    </x:row>
    <x:row r="889">
      <x:c r="A889" s="187" t="n">
        <x:v>43668</x:v>
      </x:c>
      <x:c r="B889" s="195" t="n">
        <x:v>2.05</x:v>
      </x:c>
      <x:c r="C889" s="195" t="n">
        <x:v>0.26</x:v>
      </x:c>
      <x:c r="D889" s="195" t="n">
        <x:f>IFERROR(B889-C889,"")</x:f>
        <x:v>1.7899999999999998</x:v>
      </x:c>
    </x:row>
    <x:row r="890">
      <x:c r="A890" s="187" t="n">
        <x:v>43669</x:v>
      </x:c>
      <x:c r="B890" s="195" t="n">
        <x:v>2.08</x:v>
      </x:c>
      <x:c r="C890" s="195" t="n">
        <x:v>0.27</x:v>
      </x:c>
      <x:c r="D890" s="195" t="n">
        <x:f>IFERROR(B890-C890,"")</x:f>
        <x:v>1.81</x:v>
      </x:c>
    </x:row>
    <x:row r="891">
      <x:c r="A891" s="187" t="n">
        <x:v>43670</x:v>
      </x:c>
      <x:c r="B891" s="195" t="n">
        <x:v>2.05</x:v>
      </x:c>
      <x:c r="C891" s="195" t="n">
        <x:v>0.26</x:v>
      </x:c>
      <x:c r="D891" s="195" t="n">
        <x:f>IFERROR(B891-C891,"")</x:f>
        <x:v>1.7899999999999998</x:v>
      </x:c>
    </x:row>
    <x:row r="892">
      <x:c r="A892" s="187" t="n">
        <x:v>43671</x:v>
      </x:c>
      <x:c r="B892" s="195" t="n">
        <x:v>2.08</x:v>
      </x:c>
      <x:c r="C892" s="195" t="n">
        <x:v>0.28</x:v>
      </x:c>
      <x:c r="D892" s="195" t="n">
        <x:f>IFERROR(B892-C892,"")</x:f>
        <x:v>1.8</x:v>
      </x:c>
    </x:row>
    <x:row r="893">
      <x:c r="A893" s="187" t="n">
        <x:v>43672</x:v>
      </x:c>
      <x:c r="B893" s="195" t="n">
        <x:v>2.08</x:v>
      </x:c>
      <x:c r="C893" s="195" t="n">
        <x:v>0.3</x:v>
      </x:c>
      <x:c r="D893" s="195" t="n">
        <x:f>IFERROR(B893-C893,"")</x:f>
        <x:v>1.78</x:v>
      </x:c>
    </x:row>
    <x:row r="894">
      <x:c r="A894" s="187" t="n">
        <x:v>43675</x:v>
      </x:c>
      <x:c r="B894" s="195" t="n">
        <x:v>2.06</x:v>
      </x:c>
      <x:c r="C894" s="195" t="n">
        <x:v>0.29</x:v>
      </x:c>
      <x:c r="D894" s="195" t="n">
        <x:f>IFERROR(B894-C894,"")</x:f>
        <x:v>1.77</x:v>
      </x:c>
    </x:row>
    <x:row r="895">
      <x:c r="A895" s="187" t="n">
        <x:v>43676</x:v>
      </x:c>
      <x:c r="B895" s="195" t="n">
        <x:v>2.06</x:v>
      </x:c>
      <x:c r="C895" s="195" t="n">
        <x:v>0.28</x:v>
      </x:c>
      <x:c r="D895" s="195" t="n">
        <x:f>IFERROR(B895-C895,"")</x:f>
        <x:v>1.78</x:v>
      </x:c>
    </x:row>
    <x:row r="896">
      <x:c r="A896" s="187" t="n">
        <x:v>43677</x:v>
      </x:c>
      <x:c r="B896" s="195" t="n">
        <x:v>2.02</x:v>
      </x:c>
      <x:c r="C896" s="195" t="n">
        <x:v>0.26</x:v>
      </x:c>
      <x:c r="D896" s="195" t="n">
        <x:f>IFERROR(B896-C896,"")</x:f>
        <x:v>1.76</x:v>
      </x:c>
    </x:row>
    <x:row r="897">
      <x:c r="A897" s="187" t="n">
        <x:v>43678</x:v>
      </x:c>
      <x:c r="B897" s="195" t="n">
        <x:v>1.9</x:v>
      </x:c>
      <x:c r="C897" s="195" t="n">
        <x:v>0.2</x:v>
      </x:c>
      <x:c r="D897" s="195" t="n">
        <x:f>IFERROR(B897-C897,"")</x:f>
        <x:v>1.7</x:v>
      </x:c>
    </x:row>
    <x:row r="898">
      <x:c r="A898" s="187" t="n">
        <x:v>43679</x:v>
      </x:c>
      <x:c r="B898" s="195" t="n">
        <x:v>1.86</x:v>
      </x:c>
      <x:c r="C898" s="195" t="n">
        <x:v>0.2</x:v>
      </x:c>
      <x:c r="D898" s="195" t="n">
        <x:f>IFERROR(B898-C898,"")</x:f>
        <x:v>1.6600000000000001</x:v>
      </x:c>
    </x:row>
    <x:row r="899">
      <x:c r="A899" s="187" t="n">
        <x:v>43682</x:v>
      </x:c>
      <x:c r="B899" s="195" t="n">
        <x:v>1.75</x:v>
      </x:c>
      <x:c r="C899" s="195" t="n">
        <x:v>0.15</x:v>
      </x:c>
      <x:c r="D899" s="195" t="n">
        <x:f>IFERROR(B899-C899,"")</x:f>
        <x:v>1.6</x:v>
      </x:c>
    </x:row>
    <x:row r="900">
      <x:c r="A900" s="187" t="n">
        <x:v>43683</x:v>
      </x:c>
      <x:c r="B900" s="195" t="n">
        <x:v>1.73</x:v>
      </x:c>
      <x:c r="C900" s="195" t="n">
        <x:v>0.11</x:v>
      </x:c>
      <x:c r="D900" s="195" t="n">
        <x:f>IFERROR(B900-C900,"")</x:f>
        <x:v>1.6199999999999999</x:v>
      </x:c>
    </x:row>
    <x:row r="901">
      <x:c r="A901" s="187" t="n">
        <x:v>43684</x:v>
      </x:c>
      <x:c r="B901" s="195" t="n">
        <x:v>1.71</x:v>
      </x:c>
      <x:c r="C901" s="195" t="n">
        <x:v>0.09</x:v>
      </x:c>
      <x:c r="D901" s="195" t="n">
        <x:f>IFERROR(B901-C901,"")</x:f>
        <x:v>1.6199999999999999</x:v>
      </x:c>
    </x:row>
    <x:row r="902">
      <x:c r="A902" s="187" t="n">
        <x:v>43685</x:v>
      </x:c>
      <x:c r="B902" s="195" t="n">
        <x:v>1.72</x:v>
      </x:c>
      <x:c r="C902" s="195" t="n">
        <x:v>0.07</x:v>
      </x:c>
      <x:c r="D902" s="195" t="n">
        <x:f>IFERROR(B902-C902,"")</x:f>
        <x:v>1.65</x:v>
      </x:c>
    </x:row>
    <x:row r="903">
      <x:c r="A903" s="187" t="n">
        <x:v>43686</x:v>
      </x:c>
      <x:c r="B903" s="195" t="n">
        <x:v>1.74</x:v>
      </x:c>
      <x:c r="C903" s="195" t="n">
        <x:v>0.08</x:v>
      </x:c>
      <x:c r="D903" s="195" t="n">
        <x:f>IFERROR(B903-C903,"")</x:f>
        <x:v>1.66</x:v>
      </x:c>
    </x:row>
    <x:row r="904">
      <x:c r="A904" s="187" t="n">
        <x:v>43689</x:v>
      </x:c>
      <x:c r="B904" s="195" t="n">
        <x:v>1.65</x:v>
      </x:c>
      <x:c r="C904" s="195" t="n">
        <x:v>0.04</x:v>
      </x:c>
      <x:c r="D904" s="195" t="n">
        <x:f>IFERROR(B904-C904,"")</x:f>
        <x:v>1.6099999999999999</x:v>
      </x:c>
    </x:row>
    <x:row r="905">
      <x:c r="A905" s="187" t="n">
        <x:v>43690</x:v>
      </x:c>
      <x:c r="B905" s="195" t="n">
        <x:v>1.68</x:v>
      </x:c>
      <x:c r="C905" s="195" t="n">
        <x:v>0.05</x:v>
      </x:c>
      <x:c r="D905" s="195" t="n">
        <x:f>IFERROR(B905-C905,"")</x:f>
        <x:v>1.63</x:v>
      </x:c>
    </x:row>
    <x:row r="906">
      <x:c r="A906" s="187" t="n">
        <x:v>43691</x:v>
      </x:c>
      <x:c r="B906" s="195" t="n">
        <x:v>1.59</x:v>
      </x:c>
      <x:c r="C906" s="195" t="n">
        <x:v>0.02</x:v>
      </x:c>
      <x:c r="D906" s="195" t="n">
        <x:f>IFERROR(B906-C906,"")</x:f>
        <x:v>1.57</x:v>
      </x:c>
    </x:row>
    <x:row r="907">
      <x:c r="A907" s="187" t="n">
        <x:v>43692</x:v>
      </x:c>
      <x:c r="B907" s="195" t="n">
        <x:v>1.52</x:v>
      </x:c>
      <x:c r="C907" s="195" t="n">
        <x:v>-0.02</x:v>
      </x:c>
      <x:c r="D907" s="195" t="n">
        <x:f>IFERROR(B907-C907,"")</x:f>
        <x:v>1.54</x:v>
      </x:c>
    </x:row>
    <x:row r="908">
      <x:c r="A908" s="187" t="n">
        <x:v>43693</x:v>
      </x:c>
      <x:c r="B908" s="195" t="n">
        <x:v>1.55</x:v>
      </x:c>
      <x:c r="C908" s="195" t="n">
        <x:v>0.01</x:v>
      </x:c>
      <x:c r="D908" s="195" t="n">
        <x:f>IFERROR(B908-C908,"")</x:f>
        <x:v>1.54</x:v>
      </x:c>
    </x:row>
    <x:row r="909">
      <x:c r="A909" s="187" t="n">
        <x:v>43696</x:v>
      </x:c>
      <x:c r="B909" s="195" t="n">
        <x:v>1.6</x:v>
      </x:c>
      <x:c r="C909" s="195" t="n">
        <x:v>0.04</x:v>
      </x:c>
      <x:c r="D909" s="195" t="n">
        <x:f>IFERROR(B909-C909,"")</x:f>
        <x:v>1.56</x:v>
      </x:c>
    </x:row>
    <x:row r="910">
      <x:c r="A910" s="187" t="n">
        <x:v>43697</x:v>
      </x:c>
      <x:c r="B910" s="195" t="n">
        <x:v>1.55</x:v>
      </x:c>
      <x:c r="C910" s="195" t="n">
        <x:v>0.02</x:v>
      </x:c>
      <x:c r="D910" s="195" t="n">
        <x:f>IFERROR(B910-C910,"")</x:f>
        <x:v>1.53</x:v>
      </x:c>
    </x:row>
    <x:row r="911">
      <x:c r="A911" s="187" t="n">
        <x:v>43698</x:v>
      </x:c>
      <x:c r="B911" s="195" t="n">
        <x:v>1.59</x:v>
      </x:c>
      <x:c r="C911" s="195" t="n">
        <x:v>0.05</x:v>
      </x:c>
      <x:c r="D911" s="195" t="n">
        <x:f>IFERROR(B911-C911,"")</x:f>
        <x:v>1.54</x:v>
      </x:c>
    </x:row>
    <x:row r="912">
      <x:c r="A912" s="187" t="n">
        <x:v>43699</x:v>
      </x:c>
      <x:c r="B912" s="195" t="n">
        <x:v>1.62</x:v>
      </x:c>
      <x:c r="C912" s="195" t="n">
        <x:v>0.07</x:v>
      </x:c>
      <x:c r="D912" s="195" t="n">
        <x:f>IFERROR(B912-C912,"")</x:f>
        <x:v>1.55</x:v>
      </x:c>
    </x:row>
    <x:row r="913">
      <x:c r="A913" s="187" t="n">
        <x:v>43700</x:v>
      </x:c>
      <x:c r="B913" s="195" t="n">
        <x:v>1.52</x:v>
      </x:c>
      <x:c r="C913" s="195" t="n">
        <x:v>-0.02</x:v>
      </x:c>
      <x:c r="D913" s="195" t="n">
        <x:f>IFERROR(B913-C913,"")</x:f>
        <x:v>1.54</x:v>
      </x:c>
    </x:row>
    <x:row r="914">
      <x:c r="A914" s="187" t="n">
        <x:v>43703</x:v>
      </x:c>
      <x:c r="B914" s="195" t="n">
        <x:v>1.54</x:v>
      </x:c>
      <x:c r="C914" s="195" t="n">
        <x:v>0</x:v>
      </x:c>
      <x:c r="D914" s="195" t="n">
        <x:f>IFERROR(B914-C914,"")</x:f>
        <x:v>1.54</x:v>
      </x:c>
    </x:row>
    <x:row r="915">
      <x:c r="A915" s="187" t="n">
        <x:v>43704</x:v>
      </x:c>
      <x:c r="B915" s="195" t="n">
        <x:v>1.49</x:v>
      </x:c>
      <x:c r="C915" s="195" t="n">
        <x:v>-0.06</x:v>
      </x:c>
      <x:c r="D915" s="195" t="n">
        <x:f>IFERROR(B915-C915,"")</x:f>
        <x:v>1.55</x:v>
      </x:c>
    </x:row>
    <x:row r="916">
      <x:c r="A916" s="187" t="n">
        <x:v>43705</x:v>
      </x:c>
      <x:c r="B916" s="195" t="n">
        <x:v>1.47</x:v>
      </x:c>
      <x:c r="C916" s="195" t="n">
        <x:v>-0.08</x:v>
      </x:c>
      <x:c r="D916" s="195" t="n">
        <x:f>IFERROR(B916-C916,"")</x:f>
        <x:v>1.55</x:v>
      </x:c>
    </x:row>
    <x:row r="917">
      <x:c r="A917" s="187" t="n">
        <x:v>43706</x:v>
      </x:c>
      <x:c r="B917" s="195" t="n">
        <x:v>1.5</x:v>
      </x:c>
      <x:c r="C917" s="195" t="n">
        <x:v>-0.09</x:v>
      </x:c>
      <x:c r="D917" s="195" t="n">
        <x:f>IFERROR(B917-C917,"")</x:f>
        <x:v>1.59</x:v>
      </x:c>
    </x:row>
    <x:row r="918">
      <x:c r="A918" s="187" t="n">
        <x:v>43707</x:v>
      </x:c>
      <x:c r="B918" s="195" t="n">
        <x:v>1.5</x:v>
      </x:c>
      <x:c r="C918" s="195" t="n">
        <x:v>-0.05</x:v>
      </x:c>
      <x:c r="D918" s="195" t="n">
        <x:f>IFERROR(B918-C918,"")</x:f>
        <x:v>1.55</x:v>
      </x:c>
    </x:row>
    <x:row r="919">
      <x:c r="A919" s="187" t="n">
        <x:v>43711</x:v>
      </x:c>
      <x:c r="B919" s="195" t="n">
        <x:v>1.47</x:v>
      </x:c>
      <x:c r="C919" s="195" t="n">
        <x:v>-0.03</x:v>
      </x:c>
      <x:c r="D919" s="195" t="n">
        <x:f>IFERROR(B919-C919,"")</x:f>
        <x:v>1.5</x:v>
      </x:c>
    </x:row>
    <x:row r="920">
      <x:c r="A920" s="187" t="n">
        <x:v>43712</x:v>
      </x:c>
      <x:c r="B920" s="195" t="n">
        <x:v>1.47</x:v>
      </x:c>
      <x:c r="C920" s="195" t="n">
        <x:v>-0.04</x:v>
      </x:c>
      <x:c r="D920" s="195" t="n">
        <x:f>IFERROR(B920-C920,"")</x:f>
        <x:v>1.51</x:v>
      </x:c>
    </x:row>
    <x:row r="921">
      <x:c r="A921" s="187" t="n">
        <x:v>43713</x:v>
      </x:c>
      <x:c r="B921" s="195" t="n">
        <x:v>1.57</x:v>
      </x:c>
      <x:c r="C921" s="195" t="n">
        <x:v>0.01</x:v>
      </x:c>
      <x:c r="D921" s="195" t="n">
        <x:f>IFERROR(B921-C921,"")</x:f>
        <x:v>1.56</x:v>
      </x:c>
    </x:row>
    <x:row r="922">
      <x:c r="A922" s="187" t="n">
        <x:v>43714</x:v>
      </x:c>
      <x:c r="B922" s="195" t="n">
        <x:v>1.55</x:v>
      </x:c>
      <x:c r="C922" s="195" t="n">
        <x:v>0.01</x:v>
      </x:c>
      <x:c r="D922" s="195" t="n">
        <x:f>IFERROR(B922-C922,"")</x:f>
        <x:v>1.54</x:v>
      </x:c>
    </x:row>
    <x:row r="923">
      <x:c r="A923" s="187" t="n">
        <x:v>43717</x:v>
      </x:c>
      <x:c r="B923" s="195" t="n">
        <x:v>1.63</x:v>
      </x:c>
      <x:c r="C923" s="195" t="n">
        <x:v>0.06</x:v>
      </x:c>
      <x:c r="D923" s="195" t="n">
        <x:f>IFERROR(B923-C923,"")</x:f>
        <x:v>1.5699999999999998</x:v>
      </x:c>
    </x:row>
    <x:row r="924">
      <x:c r="A924" s="187" t="n">
        <x:v>43718</x:v>
      </x:c>
      <x:c r="B924" s="195" t="n">
        <x:v>1.72</x:v>
      </x:c>
      <x:c r="C924" s="195" t="n">
        <x:v>0.12</x:v>
      </x:c>
      <x:c r="D924" s="195" t="n">
        <x:f>IFERROR(B924-C924,"")</x:f>
        <x:v>1.6</x:v>
      </x:c>
    </x:row>
    <x:row r="925">
      <x:c r="A925" s="187" t="n">
        <x:v>43719</x:v>
      </x:c>
      <x:c r="B925" s="195" t="n">
        <x:v>1.75</x:v>
      </x:c>
      <x:c r="C925" s="195" t="n">
        <x:v>0.15</x:v>
      </x:c>
      <x:c r="D925" s="195" t="n">
        <x:f>IFERROR(B925-C925,"")</x:f>
        <x:v>1.6</x:v>
      </x:c>
    </x:row>
    <x:row r="926">
      <x:c r="A926" s="187" t="n">
        <x:v>43720</x:v>
      </x:c>
      <x:c r="B926" s="195" t="n">
        <x:v>1.79</x:v>
      </x:c>
      <x:c r="C926" s="195" t="n">
        <x:v>0.16</x:v>
      </x:c>
      <x:c r="D926" s="195" t="n">
        <x:f>IFERROR(B926-C926,"")</x:f>
        <x:v>1.6300000000000001</x:v>
      </x:c>
    </x:row>
    <x:row r="927">
      <x:c r="A927" s="187" t="n">
        <x:v>43721</x:v>
      </x:c>
      <x:c r="B927" s="195" t="n">
        <x:v>1.9</x:v>
      </x:c>
      <x:c r="C927" s="195" t="n">
        <x:v>0.23</x:v>
      </x:c>
      <x:c r="D927" s="195" t="n">
        <x:f>IFERROR(B927-C927,"")</x:f>
        <x:v>1.67</x:v>
      </x:c>
    </x:row>
    <x:row r="928">
      <x:c r="A928" s="187" t="n">
        <x:v>43724</x:v>
      </x:c>
      <x:c r="B928" s="195" t="n">
        <x:v>1.84</x:v>
      </x:c>
      <x:c r="C928" s="195" t="n">
        <x:v>0.17</x:v>
      </x:c>
      <x:c r="D928" s="195" t="n">
        <x:f>IFERROR(B928-C928,"")</x:f>
        <x:v>1.6700000000000002</x:v>
      </x:c>
    </x:row>
    <x:row r="929">
      <x:c r="A929" s="187" t="n">
        <x:v>43725</x:v>
      </x:c>
      <x:c r="B929" s="195" t="n">
        <x:v>1.81</x:v>
      </x:c>
      <x:c r="C929" s="195" t="n">
        <x:v>0.15</x:v>
      </x:c>
      <x:c r="D929" s="195" t="n">
        <x:f>IFERROR(B929-C929,"")</x:f>
        <x:v>1.6600000000000001</x:v>
      </x:c>
    </x:row>
    <x:row r="930">
      <x:c r="A930" s="187" t="n">
        <x:v>43726</x:v>
      </x:c>
      <x:c r="B930" s="195" t="n">
        <x:v>1.8</x:v>
      </x:c>
      <x:c r="C930" s="195" t="n">
        <x:v>0.21</x:v>
      </x:c>
      <x:c r="D930" s="195" t="n">
        <x:f>IFERROR(B930-C930,"")</x:f>
        <x:v>1.59</x:v>
      </x:c>
    </x:row>
    <x:row r="931">
      <x:c r="A931" s="187" t="n">
        <x:v>43727</x:v>
      </x:c>
      <x:c r="B931" s="195" t="n">
        <x:v>1.79</x:v>
      </x:c>
      <x:c r="C931" s="195" t="n">
        <x:v>0.18</x:v>
      </x:c>
      <x:c r="D931" s="195" t="n">
        <x:f>IFERROR(B931-C931,"")</x:f>
        <x:v>1.61</x:v>
      </x:c>
    </x:row>
    <x:row r="932">
      <x:c r="A932" s="187" t="n">
        <x:v>43728</x:v>
      </x:c>
      <x:c r="B932" s="195" t="n">
        <x:v>1.74</x:v>
      </x:c>
      <x:c r="C932" s="195" t="n">
        <x:v>0.13</x:v>
      </x:c>
      <x:c r="D932" s="195" t="n">
        <x:f>IFERROR(B932-C932,"")</x:f>
        <x:v>1.6099999999999999</x:v>
      </x:c>
    </x:row>
    <x:row r="933">
      <x:c r="A933" s="187" t="n">
        <x:v>43731</x:v>
      </x:c>
      <x:c r="B933" s="195" t="n">
        <x:v>1.72</x:v>
      </x:c>
      <x:c r="C933" s="195" t="n">
        <x:v>0.11</x:v>
      </x:c>
      <x:c r="D933" s="195" t="n">
        <x:f>IFERROR(B933-C933,"")</x:f>
        <x:v>1.6099999999999999</x:v>
      </x:c>
    </x:row>
    <x:row r="934">
      <x:c r="A934" s="187" t="n">
        <x:v>43732</x:v>
      </x:c>
      <x:c r="B934" s="195" t="n">
        <x:v>1.64</x:v>
      </x:c>
      <x:c r="C934" s="195" t="n">
        <x:v>0.06</x:v>
      </x:c>
      <x:c r="D934" s="195" t="n">
        <x:f>IFERROR(B934-C934,"")</x:f>
        <x:v>1.5799999999999998</x:v>
      </x:c>
    </x:row>
    <x:row r="935">
      <x:c r="A935" s="187" t="n">
        <x:v>43733</x:v>
      </x:c>
      <x:c r="B935" s="195" t="n">
        <x:v>1.73</x:v>
      </x:c>
      <x:c r="C935" s="195" t="n">
        <x:v>0.13</x:v>
      </x:c>
      <x:c r="D935" s="195" t="n">
        <x:f>IFERROR(B935-C935,"")</x:f>
        <x:v>1.6</x:v>
      </x:c>
    </x:row>
    <x:row r="936">
      <x:c r="A936" s="187" t="n">
        <x:v>43734</x:v>
      </x:c>
      <x:c r="B936" s="195" t="n">
        <x:v>1.7</x:v>
      </x:c>
      <x:c r="C936" s="195" t="n">
        <x:v>0.13</x:v>
      </x:c>
      <x:c r="D936" s="195" t="n">
        <x:f>IFERROR(B936-C936,"")</x:f>
        <x:v>1.5699999999999998</x:v>
      </x:c>
    </x:row>
    <x:row r="937">
      <x:c r="A937" s="187" t="n">
        <x:v>43735</x:v>
      </x:c>
      <x:c r="B937" s="195" t="n">
        <x:v>1.69</x:v>
      </x:c>
      <x:c r="C937" s="195" t="n">
        <x:v>0.16</x:v>
      </x:c>
      <x:c r="D937" s="195" t="n">
        <x:f>IFERROR(B937-C937,"")</x:f>
        <x:v>1.53</x:v>
      </x:c>
    </x:row>
    <x:row r="938">
      <x:c r="A938" s="187" t="n">
        <x:v>43738</x:v>
      </x:c>
      <x:c r="B938" s="195" t="n">
        <x:v>1.68</x:v>
      </x:c>
      <x:c r="C938" s="195" t="n">
        <x:v>0.15</x:v>
      </x:c>
      <x:c r="D938" s="195" t="n">
        <x:f>IFERROR(B938-C938,"")</x:f>
        <x:v>1.53</x:v>
      </x:c>
    </x:row>
    <x:row r="939">
      <x:c r="A939" s="187" t="n">
        <x:v>43739</x:v>
      </x:c>
      <x:c r="B939" s="195" t="n">
        <x:v>1.65</x:v>
      </x:c>
      <x:c r="C939" s="195" t="n">
        <x:v>0.13</x:v>
      </x:c>
      <x:c r="D939" s="195" t="n">
        <x:f>IFERROR(B939-C939,"")</x:f>
        <x:v>1.52</x:v>
      </x:c>
    </x:row>
    <x:row r="940">
      <x:c r="A940" s="187" t="n">
        <x:v>43740</x:v>
      </x:c>
      <x:c r="B940" s="195" t="n">
        <x:v>1.6</x:v>
      </x:c>
      <x:c r="C940" s="195" t="n">
        <x:v>0.1</x:v>
      </x:c>
      <x:c r="D940" s="195" t="n">
        <x:f>IFERROR(B940-C940,"")</x:f>
        <x:v>1.5</x:v>
      </x:c>
    </x:row>
    <x:row r="941">
      <x:c r="A941" s="187" t="n">
        <x:v>43741</x:v>
      </x:c>
      <x:c r="B941" s="195" t="n">
        <x:v>1.54</x:v>
      </x:c>
      <x:c r="C941" s="195" t="n">
        <x:v>0.06</x:v>
      </x:c>
      <x:c r="D941" s="195" t="n">
        <x:f>IFERROR(B941-C941,"")</x:f>
        <x:v>1.48</x:v>
      </x:c>
    </x:row>
    <x:row r="942">
      <x:c r="A942" s="187" t="n">
        <x:v>43742</x:v>
      </x:c>
      <x:c r="B942" s="195" t="n">
        <x:v>1.52</x:v>
      </x:c>
      <x:c r="C942" s="195" t="n">
        <x:v>0.02</x:v>
      </x:c>
      <x:c r="D942" s="195" t="n">
        <x:f>IFERROR(B942-C942,"")</x:f>
        <x:v>1.5</x:v>
      </x:c>
    </x:row>
    <x:row r="943">
      <x:c r="A943" s="187" t="n">
        <x:v>43745</x:v>
      </x:c>
      <x:c r="B943" s="195" t="n">
        <x:v>1.56</x:v>
      </x:c>
      <x:c r="C943" s="195" t="n">
        <x:v>0.05</x:v>
      </x:c>
      <x:c r="D943" s="195" t="n">
        <x:f>IFERROR(B943-C943,"")</x:f>
        <x:v>1.51</x:v>
      </x:c>
    </x:row>
    <x:row r="944">
      <x:c r="A944" s="187" t="n">
        <x:v>43746</x:v>
      </x:c>
      <x:c r="B944" s="195" t="n">
        <x:v>1.54</x:v>
      </x:c>
      <x:c r="C944" s="195" t="n">
        <x:v>0.06</x:v>
      </x:c>
      <x:c r="D944" s="195" t="n">
        <x:f>IFERROR(B944-C944,"")</x:f>
        <x:v>1.48</x:v>
      </x:c>
    </x:row>
    <x:row r="945">
      <x:c r="A945" s="187" t="n">
        <x:v>43747</x:v>
      </x:c>
      <x:c r="B945" s="195" t="n">
        <x:v>1.59</x:v>
      </x:c>
      <x:c r="C945" s="195" t="n">
        <x:v>0.1</x:v>
      </x:c>
      <x:c r="D945" s="195" t="n">
        <x:f>IFERROR(B945-C945,"")</x:f>
        <x:v>1.49</x:v>
      </x:c>
    </x:row>
    <x:row r="946">
      <x:c r="A946" s="187" t="n">
        <x:v>43748</x:v>
      </x:c>
      <x:c r="B946" s="195" t="n">
        <x:v>1.67</x:v>
      </x:c>
      <x:c r="C946" s="195" t="n">
        <x:v>0.15</x:v>
      </x:c>
      <x:c r="D946" s="195" t="n">
        <x:f>IFERROR(B946-C946,"")</x:f>
        <x:v>1.52</x:v>
      </x:c>
    </x:row>
    <x:row r="947">
      <x:c r="A947" s="187" t="n">
        <x:v>43749</x:v>
      </x:c>
      <x:c r="B947" s="195" t="n">
        <x:v>1.76</x:v>
      </x:c>
      <x:c r="C947" s="195" t="n">
        <x:v>0.2</x:v>
      </x:c>
      <x:c r="D947" s="195" t="n">
        <x:f>IFERROR(B947-C947,"")</x:f>
        <x:v>1.56</x:v>
      </x:c>
    </x:row>
    <x:row r="948">
      <x:c r="A948" s="187" t="n">
        <x:v>43753</x:v>
      </x:c>
      <x:c r="B948" s="195" t="n">
        <x:v>1.77</x:v>
      </x:c>
      <x:c r="C948" s="195" t="n">
        <x:v>0.21</x:v>
      </x:c>
      <x:c r="D948" s="195" t="n">
        <x:f>IFERROR(B948-C948,"")</x:f>
        <x:v>1.56</x:v>
      </x:c>
    </x:row>
    <x:row r="949">
      <x:c r="A949" s="187" t="n">
        <x:v>43754</x:v>
      </x:c>
      <x:c r="B949" s="195" t="n">
        <x:v>1.75</x:v>
      </x:c>
      <x:c r="C949" s="195" t="n">
        <x:v>0.18</x:v>
      </x:c>
      <x:c r="D949" s="195" t="n">
        <x:f>IFERROR(B949-C949,"")</x:f>
        <x:v>1.57</x:v>
      </x:c>
    </x:row>
    <x:row r="950">
      <x:c r="A950" s="187" t="n">
        <x:v>43755</x:v>
      </x:c>
      <x:c r="B950" s="195" t="n">
        <x:v>1.76</x:v>
      </x:c>
      <x:c r="C950" s="195" t="n">
        <x:v>0.17</x:v>
      </x:c>
      <x:c r="D950" s="195" t="n">
        <x:f>IFERROR(B950-C950,"")</x:f>
        <x:v>1.59</x:v>
      </x:c>
    </x:row>
    <x:row r="951">
      <x:c r="A951" s="187" t="n">
        <x:v>43756</x:v>
      </x:c>
      <x:c r="B951" s="195" t="n">
        <x:v>1.76</x:v>
      </x:c>
      <x:c r="C951" s="195" t="n">
        <x:v>0.16</x:v>
      </x:c>
      <x:c r="D951" s="195" t="n">
        <x:f>IFERROR(B951-C951,"")</x:f>
        <x:v>1.6</x:v>
      </x:c>
    </x:row>
    <x:row r="952">
      <x:c r="A952" s="187" t="n">
        <x:v>43759</x:v>
      </x:c>
      <x:c r="B952" s="195" t="n">
        <x:v>1.8</x:v>
      </x:c>
      <x:c r="C952" s="195" t="n">
        <x:v>0.19</x:v>
      </x:c>
      <x:c r="D952" s="195" t="n">
        <x:f>IFERROR(B952-C952,"")</x:f>
        <x:v>1.61</x:v>
      </x:c>
    </x:row>
    <x:row r="953">
      <x:c r="A953" s="187" t="n">
        <x:v>43760</x:v>
      </x:c>
      <x:c r="B953" s="195" t="n">
        <x:v>1.78</x:v>
      </x:c>
      <x:c r="C953" s="195" t="n">
        <x:v>0.17</x:v>
      </x:c>
      <x:c r="D953" s="195" t="n">
        <x:f>IFERROR(B953-C953,"")</x:f>
        <x:v>1.61</x:v>
      </x:c>
    </x:row>
    <x:row r="954">
      <x:c r="A954" s="187" t="n">
        <x:v>43761</x:v>
      </x:c>
      <x:c r="B954" s="195" t="n">
        <x:v>1.77</x:v>
      </x:c>
      <x:c r="C954" s="195" t="n">
        <x:v>0.16</x:v>
      </x:c>
      <x:c r="D954" s="195" t="n">
        <x:f>IFERROR(B954-C954,"")</x:f>
        <x:v>1.61</x:v>
      </x:c>
    </x:row>
    <x:row r="955">
      <x:c r="A955" s="187" t="n">
        <x:v>43762</x:v>
      </x:c>
      <x:c r="B955" s="195" t="n">
        <x:v>1.77</x:v>
      </x:c>
      <x:c r="C955" s="195" t="n">
        <x:v>0.15</x:v>
      </x:c>
      <x:c r="D955" s="195" t="n">
        <x:f>IFERROR(B955-C955,"")</x:f>
        <x:v>1.62</x:v>
      </x:c>
    </x:row>
    <x:row r="956">
      <x:c r="A956" s="187" t="n">
        <x:v>43763</x:v>
      </x:c>
      <x:c r="B956" s="195" t="n">
        <x:v>1.8</x:v>
      </x:c>
      <x:c r="C956" s="195" t="n">
        <x:v>0.15</x:v>
      </x:c>
      <x:c r="D956" s="195" t="n">
        <x:f>IFERROR(B956-C956,"")</x:f>
        <x:v>1.6500000000000001</x:v>
      </x:c>
    </x:row>
    <x:row r="957">
      <x:c r="A957" s="187" t="n">
        <x:v>43766</x:v>
      </x:c>
      <x:c r="B957" s="195" t="n">
        <x:v>1.85</x:v>
      </x:c>
      <x:c r="C957" s="195" t="n">
        <x:v>0.21</x:v>
      </x:c>
      <x:c r="D957" s="195" t="n">
        <x:f>IFERROR(B957-C957,"")</x:f>
        <x:v>1.6400000000000001</x:v>
      </x:c>
    </x:row>
    <x:row r="958">
      <x:c r="A958" s="187" t="n">
        <x:v>43767</x:v>
      </x:c>
      <x:c r="B958" s="195" t="n">
        <x:v>1.84</x:v>
      </x:c>
      <x:c r="C958" s="195" t="n">
        <x:v>0.23</x:v>
      </x:c>
      <x:c r="D958" s="195" t="n">
        <x:f>IFERROR(B958-C958,"")</x:f>
        <x:v>1.61</x:v>
      </x:c>
    </x:row>
    <x:row r="959">
      <x:c r="A959" s="187" t="n">
        <x:v>43768</x:v>
      </x:c>
      <x:c r="B959" s="195" t="n">
        <x:v>1.78</x:v>
      </x:c>
      <x:c r="C959" s="195" t="n">
        <x:v>0.21</x:v>
      </x:c>
      <x:c r="D959" s="195" t="n">
        <x:f>IFERROR(B959-C959,"")</x:f>
        <x:v>1.57</x:v>
      </x:c>
    </x:row>
    <x:row r="960">
      <x:c r="A960" s="187" t="n">
        <x:v>43769</x:v>
      </x:c>
      <x:c r="B960" s="195" t="n">
        <x:v>1.69</x:v>
      </x:c>
      <x:c r="C960" s="195" t="n">
        <x:v>0.15</x:v>
      </x:c>
      <x:c r="D960" s="195" t="n">
        <x:f>IFERROR(B960-C960,"")</x:f>
        <x:v>1.54</x:v>
      </x:c>
    </x:row>
    <x:row r="961">
      <x:c r="A961" s="187" t="n">
        <x:v>43770</x:v>
      </x:c>
      <x:c r="B961" s="195" t="n">
        <x:v>1.73</x:v>
      </x:c>
      <x:c r="C961" s="195" t="n">
        <x:v>0.14</x:v>
      </x:c>
      <x:c r="D961" s="195" t="n">
        <x:f>IFERROR(B961-C961,"")</x:f>
        <x:v>1.5899999999999999</x:v>
      </x:c>
    </x:row>
    <x:row r="962">
      <x:c r="A962" s="187" t="n">
        <x:v>43773</x:v>
      </x:c>
      <x:c r="B962" s="195" t="n">
        <x:v>1.79</x:v>
      </x:c>
      <x:c r="C962" s="195" t="n">
        <x:v>0.15</x:v>
      </x:c>
      <x:c r="D962" s="195" t="n">
        <x:f>IFERROR(B962-C962,"")</x:f>
        <x:v>1.6400000000000001</x:v>
      </x:c>
    </x:row>
    <x:row r="963">
      <x:c r="A963" s="187" t="n">
        <x:v>43774</x:v>
      </x:c>
      <x:c r="B963" s="195" t="n">
        <x:v>1.86</x:v>
      </x:c>
      <x:c r="C963" s="195" t="n">
        <x:v>0.18</x:v>
      </x:c>
      <x:c r="D963" s="195" t="n">
        <x:f>IFERROR(B963-C963,"")</x:f>
        <x:v>1.6800000000000002</x:v>
      </x:c>
    </x:row>
    <x:row r="964">
      <x:c r="A964" s="187" t="n">
        <x:v>43775</x:v>
      </x:c>
      <x:c r="B964" s="195" t="n">
        <x:v>1.81</x:v>
      </x:c>
      <x:c r="C964" s="195" t="n">
        <x:v>0.15</x:v>
      </x:c>
      <x:c r="D964" s="195" t="n">
        <x:f>IFERROR(B964-C964,"")</x:f>
        <x:v>1.6600000000000001</x:v>
      </x:c>
    </x:row>
    <x:row r="965">
      <x:c r="A965" s="187" t="n">
        <x:v>43776</x:v>
      </x:c>
      <x:c r="B965" s="195" t="n">
        <x:v>1.92</x:v>
      </x:c>
      <x:c r="C965" s="195" t="n">
        <x:v>0.23</x:v>
      </x:c>
      <x:c r="D965" s="195" t="n">
        <x:f>IFERROR(B965-C965,"")</x:f>
        <x:v>1.69</x:v>
      </x:c>
    </x:row>
    <x:row r="966">
      <x:c r="A966" s="187" t="n">
        <x:v>43777</x:v>
      </x:c>
      <x:c r="B966" s="195" t="n">
        <x:v>1.94</x:v>
      </x:c>
      <x:c r="C966" s="195" t="n">
        <x:v>0.23</x:v>
      </x:c>
      <x:c r="D966" s="195" t="n">
        <x:f>IFERROR(B966-C966,"")</x:f>
        <x:v>1.71</x:v>
      </x:c>
    </x:row>
    <x:row r="967">
      <x:c r="A967" s="187" t="n">
        <x:v>43781</x:v>
      </x:c>
      <x:c r="B967" s="195" t="n">
        <x:v>1.92</x:v>
      </x:c>
      <x:c r="C967" s="195" t="n">
        <x:v>0.22</x:v>
      </x:c>
      <x:c r="D967" s="195" t="n">
        <x:f>IFERROR(B967-C967,"")</x:f>
        <x:v>1.7</x:v>
      </x:c>
    </x:row>
    <x:row r="968">
      <x:c r="A968" s="187" t="n">
        <x:v>43782</x:v>
      </x:c>
      <x:c r="B968" s="195" t="n">
        <x:v>1.88</x:v>
      </x:c>
      <x:c r="C968" s="195" t="n">
        <x:v>0.22</x:v>
      </x:c>
      <x:c r="D968" s="195" t="n">
        <x:f>IFERROR(B968-C968,"")</x:f>
        <x:v>1.66</x:v>
      </x:c>
    </x:row>
    <x:row r="969">
      <x:c r="A969" s="187" t="n">
        <x:v>43783</x:v>
      </x:c>
      <x:c r="B969" s="195" t="n">
        <x:v>1.82</x:v>
      </x:c>
      <x:c r="C969" s="195" t="n">
        <x:v>0.2</x:v>
      </x:c>
      <x:c r="D969" s="195" t="n">
        <x:f>IFERROR(B969-C969,"")</x:f>
        <x:v>1.62</x:v>
      </x:c>
    </x:row>
    <x:row r="970">
      <x:c r="A970" s="187" t="n">
        <x:v>43784</x:v>
      </x:c>
      <x:c r="B970" s="195" t="n">
        <x:v>1.84</x:v>
      </x:c>
      <x:c r="C970" s="195" t="n">
        <x:v>0.21</x:v>
      </x:c>
      <x:c r="D970" s="195" t="n">
        <x:f>IFERROR(B970-C970,"")</x:f>
        <x:v>1.6300000000000001</x:v>
      </x:c>
    </x:row>
    <x:row r="971">
      <x:c r="A971" s="187" t="n">
        <x:v>43787</x:v>
      </x:c>
      <x:c r="B971" s="195" t="n">
        <x:v>1.81</x:v>
      </x:c>
      <x:c r="C971" s="195" t="n">
        <x:v>0.18</x:v>
      </x:c>
      <x:c r="D971" s="195" t="n">
        <x:f>IFERROR(B971-C971,"")</x:f>
        <x:v>1.6300000000000001</x:v>
      </x:c>
    </x:row>
    <x:row r="972">
      <x:c r="A972" s="187" t="n">
        <x:v>43788</x:v>
      </x:c>
      <x:c r="B972" s="195" t="n">
        <x:v>1.79</x:v>
      </x:c>
      <x:c r="C972" s="195" t="n">
        <x:v>0.16</x:v>
      </x:c>
      <x:c r="D972" s="195" t="n">
        <x:f>IFERROR(B972-C972,"")</x:f>
        <x:v>1.6300000000000001</x:v>
      </x:c>
    </x:row>
    <x:row r="973">
      <x:c r="A973" s="187" t="n">
        <x:v>43789</x:v>
      </x:c>
      <x:c r="B973" s="195" t="n">
        <x:v>1.73</x:v>
      </x:c>
      <x:c r="C973" s="195" t="n">
        <x:v>0.13</x:v>
      </x:c>
      <x:c r="D973" s="195" t="n">
        <x:f>IFERROR(B973-C973,"")</x:f>
        <x:v>1.6</x:v>
      </x:c>
    </x:row>
    <x:row r="974">
      <x:c r="A974" s="187" t="n">
        <x:v>43790</x:v>
      </x:c>
      <x:c r="B974" s="195" t="n">
        <x:v>1.77</x:v>
      </x:c>
      <x:c r="C974" s="195" t="n">
        <x:v>0.14</x:v>
      </x:c>
      <x:c r="D974" s="195" t="n">
        <x:f>IFERROR(B974-C974,"")</x:f>
        <x:v>1.63</x:v>
      </x:c>
    </x:row>
    <x:row r="975">
      <x:c r="A975" s="187" t="n">
        <x:v>43791</x:v>
      </x:c>
      <x:c r="B975" s="195" t="n">
        <x:v>1.77</x:v>
      </x:c>
      <x:c r="C975" s="195" t="n">
        <x:v>0.15</x:v>
      </x:c>
      <x:c r="D975" s="195" t="n">
        <x:f>IFERROR(B975-C975,"")</x:f>
        <x:v>1.62</x:v>
      </x:c>
    </x:row>
    <x:row r="976">
      <x:c r="A976" s="187" t="n">
        <x:v>43794</x:v>
      </x:c>
      <x:c r="B976" s="195" t="n">
        <x:v>1.76</x:v>
      </x:c>
      <x:c r="C976" s="195" t="n">
        <x:v>0.14</x:v>
      </x:c>
      <x:c r="D976" s="195" t="n">
        <x:f>IFERROR(B976-C976,"")</x:f>
        <x:v>1.62</x:v>
      </x:c>
    </x:row>
    <x:row r="977">
      <x:c r="A977" s="187" t="n">
        <x:v>43795</x:v>
      </x:c>
      <x:c r="B977" s="195" t="n">
        <x:v>1.74</x:v>
      </x:c>
      <x:c r="C977" s="195" t="n">
        <x:v>0.12</x:v>
      </x:c>
      <x:c r="D977" s="195" t="n">
        <x:f>IFERROR(B977-C977,"")</x:f>
        <x:v>1.62</x:v>
      </x:c>
    </x:row>
    <x:row r="978">
      <x:c r="A978" s="187" t="n">
        <x:v>43796</x:v>
      </x:c>
      <x:c r="B978" s="195" t="n">
        <x:v>1.77</x:v>
      </x:c>
      <x:c r="C978" s="195" t="n">
        <x:v>0.14</x:v>
      </x:c>
      <x:c r="D978" s="195" t="n">
        <x:f>IFERROR(B978-C978,"")</x:f>
        <x:v>1.63</x:v>
      </x:c>
    </x:row>
    <x:row r="979">
      <x:c r="A979" s="187" t="n">
        <x:v>43798</x:v>
      </x:c>
      <x:c r="B979" s="195" t="n">
        <x:v>1.78</x:v>
      </x:c>
      <x:c r="C979" s="195" t="n">
        <x:v>0.17</x:v>
      </x:c>
      <x:c r="D979" s="195" t="n">
        <x:f>IFERROR(B979-C979,"")</x:f>
        <x:v>1.61</x:v>
      </x:c>
    </x:row>
    <x:row r="980">
      <x:c r="A980" s="187" t="n">
        <x:v>43801</x:v>
      </x:c>
      <x:c r="B980" s="195" t="n">
        <x:v>1.83</x:v>
      </x:c>
      <x:c r="C980" s="195" t="n">
        <x:v>0.18</x:v>
      </x:c>
      <x:c r="D980" s="195" t="n">
        <x:f>IFERROR(B980-C980,"")</x:f>
        <x:v>1.6500000000000001</x:v>
      </x:c>
    </x:row>
    <x:row r="981">
      <x:c r="A981" s="187" t="n">
        <x:v>43802</x:v>
      </x:c>
      <x:c r="B981" s="195" t="n">
        <x:v>1.72</x:v>
      </x:c>
      <x:c r="C981" s="195" t="n">
        <x:v>0.09</x:v>
      </x:c>
      <x:c r="D981" s="195" t="n">
        <x:f>IFERROR(B981-C981,"")</x:f>
        <x:v>1.63</x:v>
      </x:c>
    </x:row>
    <x:row r="982">
      <x:c r="A982" s="187" t="n">
        <x:v>43803</x:v>
      </x:c>
      <x:c r="B982" s="195" t="n">
        <x:v>1.77</x:v>
      </x:c>
      <x:c r="C982" s="195" t="n">
        <x:v>0.11</x:v>
      </x:c>
      <x:c r="D982" s="195" t="n">
        <x:f>IFERROR(B982-C982,"")</x:f>
        <x:v>1.66</x:v>
      </x:c>
    </x:row>
    <x:row r="983">
      <x:c r="A983" s="187" t="n">
        <x:v>43804</x:v>
      </x:c>
      <x:c r="B983" s="195" t="n">
        <x:v>1.8</x:v>
      </x:c>
      <x:c r="C983" s="195" t="n">
        <x:v>0.13</x:v>
      </x:c>
      <x:c r="D983" s="195" t="n">
        <x:f>IFERROR(B983-C983,"")</x:f>
        <x:v>1.67</x:v>
      </x:c>
    </x:row>
    <x:row r="984">
      <x:c r="A984" s="187" t="n">
        <x:v>43805</x:v>
      </x:c>
      <x:c r="B984" s="195" t="n">
        <x:v>1.84</x:v>
      </x:c>
      <x:c r="C984" s="195" t="n">
        <x:v>0.15</x:v>
      </x:c>
      <x:c r="D984" s="195" t="n">
        <x:f>IFERROR(B984-C984,"")</x:f>
        <x:v>1.6900000000000002</x:v>
      </x:c>
    </x:row>
    <x:row r="985">
      <x:c r="A985" s="187" t="n">
        <x:v>43808</x:v>
      </x:c>
      <x:c r="B985" s="195" t="n">
        <x:v>1.83</x:v>
      </x:c>
      <x:c r="C985" s="195" t="n">
        <x:v>0.14</x:v>
      </x:c>
      <x:c r="D985" s="195" t="n">
        <x:f>IFERROR(B985-C985,"")</x:f>
        <x:v>1.69</x:v>
      </x:c>
    </x:row>
    <x:row r="986">
      <x:c r="A986" s="187" t="n">
        <x:v>43809</x:v>
      </x:c>
      <x:c r="B986" s="195" t="n">
        <x:v>1.85</x:v>
      </x:c>
      <x:c r="C986" s="195" t="n">
        <x:v>0.14</x:v>
      </x:c>
      <x:c r="D986" s="195" t="n">
        <x:f>IFERROR(B986-C986,"")</x:f>
        <x:v>1.71</x:v>
      </x:c>
    </x:row>
    <x:row r="987">
      <x:c r="A987" s="187" t="n">
        <x:v>43810</x:v>
      </x:c>
      <x:c r="B987" s="195" t="n">
        <x:v>1.79</x:v>
      </x:c>
      <x:c r="C987" s="195" t="n">
        <x:v>0.1</x:v>
      </x:c>
      <x:c r="D987" s="195" t="n">
        <x:f>IFERROR(B987-C987,"")</x:f>
        <x:v>1.69</x:v>
      </x:c>
    </x:row>
    <x:row r="988">
      <x:c r="A988" s="187" t="n">
        <x:v>43811</x:v>
      </x:c>
      <x:c r="B988" s="195" t="n">
        <x:v>1.9</x:v>
      </x:c>
      <x:c r="C988" s="195" t="n">
        <x:v>0.18</x:v>
      </x:c>
      <x:c r="D988" s="195" t="n">
        <x:f>IFERROR(B988-C988,"")</x:f>
        <x:v>1.72</x:v>
      </x:c>
    </x:row>
    <x:row r="989">
      <x:c r="A989" s="187" t="n">
        <x:v>43812</x:v>
      </x:c>
      <x:c r="B989" s="195" t="n">
        <x:v>1.82</x:v>
      </x:c>
      <x:c r="C989" s="195" t="n">
        <x:v>0.12</x:v>
      </x:c>
      <x:c r="D989" s="195" t="n">
        <x:f>IFERROR(B989-C989,"")</x:f>
        <x:v>1.7000000000000002</x:v>
      </x:c>
    </x:row>
    <x:row r="990">
      <x:c r="A990" s="187" t="n">
        <x:v>43815</x:v>
      </x:c>
      <x:c r="B990" s="195" t="n">
        <x:v>1.89</x:v>
      </x:c>
      <x:c r="C990" s="195" t="n">
        <x:v>0.16</x:v>
      </x:c>
      <x:c r="D990" s="195" t="n">
        <x:f>IFERROR(B990-C990,"")</x:f>
        <x:v>1.73</x:v>
      </x:c>
    </x:row>
    <x:row r="991">
      <x:c r="A991" s="187" t="n">
        <x:v>43816</x:v>
      </x:c>
      <x:c r="B991" s="195" t="n">
        <x:v>1.89</x:v>
      </x:c>
      <x:c r="C991" s="195" t="n">
        <x:v>0.14</x:v>
      </x:c>
      <x:c r="D991" s="195" t="n">
        <x:f>IFERROR(B991-C991,"")</x:f>
        <x:v>1.75</x:v>
      </x:c>
    </x:row>
    <x:row r="992">
      <x:c r="A992" s="187" t="n">
        <x:v>43817</x:v>
      </x:c>
      <x:c r="B992" s="195" t="n">
        <x:v>1.92</x:v>
      </x:c>
      <x:c r="C992" s="195" t="n">
        <x:v>0.16</x:v>
      </x:c>
      <x:c r="D992" s="195" t="n">
        <x:f>IFERROR(B992-C992,"")</x:f>
        <x:v>1.76</x:v>
      </x:c>
    </x:row>
    <x:row r="993">
      <x:c r="A993" s="187" t="n">
        <x:v>43818</x:v>
      </x:c>
      <x:c r="B993" s="195" t="n">
        <x:v>1.92</x:v>
      </x:c>
      <x:c r="C993" s="195" t="n">
        <x:v>0.15</x:v>
      </x:c>
      <x:c r="D993" s="195" t="n">
        <x:f>IFERROR(B993-C993,"")</x:f>
        <x:v>1.77</x:v>
      </x:c>
    </x:row>
    <x:row r="994">
      <x:c r="A994" s="187" t="n">
        <x:v>43819</x:v>
      </x:c>
      <x:c r="B994" s="195" t="n">
        <x:v>1.92</x:v>
      </x:c>
      <x:c r="C994" s="195" t="n">
        <x:v>0.15</x:v>
      </x:c>
      <x:c r="D994" s="195" t="n">
        <x:f>IFERROR(B994-C994,"")</x:f>
        <x:v>1.77</x:v>
      </x:c>
    </x:row>
    <x:row r="995">
      <x:c r="A995" s="187" t="n">
        <x:v>43822</x:v>
      </x:c>
      <x:c r="B995" s="195" t="n">
        <x:v>1.93</x:v>
      </x:c>
      <x:c r="C995" s="195" t="n">
        <x:v>0.18</x:v>
      </x:c>
      <x:c r="D995" s="195" t="n">
        <x:f>IFERROR(B995-C995,"")</x:f>
        <x:v>1.75</x:v>
      </x:c>
    </x:row>
    <x:row r="996">
      <x:c r="A996" s="187" t="n">
        <x:v>43823</x:v>
      </x:c>
      <x:c r="B996" s="195" t="n">
        <x:v>1.9</x:v>
      </x:c>
      <x:c r="C996" s="195" t="n">
        <x:v>0.15</x:v>
      </x:c>
      <x:c r="D996" s="195" t="n">
        <x:f>IFERROR(B996-C996,"")</x:f>
        <x:v>1.75</x:v>
      </x:c>
    </x:row>
    <x:row r="997">
      <x:c r="A997" s="187" t="n">
        <x:v>43825</x:v>
      </x:c>
      <x:c r="B997" s="195" t="n">
        <x:v>1.9</x:v>
      </x:c>
      <x:c r="C997" s="195" t="n">
        <x:v>0.16</x:v>
      </x:c>
      <x:c r="D997" s="195" t="n">
        <x:f>IFERROR(B997-C997,"")</x:f>
        <x:v>1.74</x:v>
      </x:c>
    </x:row>
    <x:row r="998">
      <x:c r="A998" s="187" t="n">
        <x:v>43826</x:v>
      </x:c>
      <x:c r="B998" s="195" t="n">
        <x:v>1.88</x:v>
      </x:c>
      <x:c r="C998" s="195" t="n">
        <x:v>0.15</x:v>
      </x:c>
      <x:c r="D998" s="195" t="n">
        <x:f>IFERROR(B998-C998,"")</x:f>
        <x:v>1.73</x:v>
      </x:c>
    </x:row>
    <x:row r="999">
      <x:c r="A999" s="187" t="n">
        <x:v>43829</x:v>
      </x:c>
      <x:c r="B999" s="195" t="n">
        <x:v>1.9</x:v>
      </x:c>
      <x:c r="C999" s="195" t="n">
        <x:v>0.15</x:v>
      </x:c>
      <x:c r="D999" s="195" t="n">
        <x:f>IFERROR(B999-C999,"")</x:f>
        <x:v>1.75</x:v>
      </x:c>
    </x:row>
    <x:row r="1000">
      <x:c r="A1000" s="187" t="n">
        <x:v>43830</x:v>
      </x:c>
      <x:c r="B1000" s="195" t="n">
        <x:v>1.92</x:v>
      </x:c>
      <x:c r="C1000" s="195" t="n">
        <x:v>0.15</x:v>
      </x:c>
      <x:c r="D1000" s="195" t="n">
        <x:f>IFERROR(B1000-C1000,"")</x:f>
        <x:v>1.77</x:v>
      </x:c>
    </x:row>
    <x:row r="1001">
      <x:c r="A1001" s="187" t="n">
        <x:v>43832</x:v>
      </x:c>
      <x:c r="B1001" s="195" t="n">
        <x:v>1.88</x:v>
      </x:c>
      <x:c r="C1001" s="195" t="n">
        <x:v>0.08</x:v>
      </x:c>
      <x:c r="D1001" s="195" t="n">
        <x:f>IFERROR(B1001-C1001,"")</x:f>
        <x:v>1.7999999999999998</x:v>
      </x:c>
    </x:row>
    <x:row r="1002">
      <x:c r="A1002" s="187" t="n">
        <x:v>43833</x:v>
      </x:c>
      <x:c r="B1002" s="195" t="n">
        <x:v>1.8</x:v>
      </x:c>
      <x:c r="C1002" s="195" t="n">
        <x:v>0.03</x:v>
      </x:c>
      <x:c r="D1002" s="195" t="n">
        <x:f>IFERROR(B1002-C1002,"")</x:f>
        <x:v>1.77</x:v>
      </x:c>
    </x:row>
    <x:row r="1003">
      <x:c r="A1003" s="187" t="n">
        <x:v>43836</x:v>
      </x:c>
      <x:c r="B1003" s="195" t="n">
        <x:v>1.81</x:v>
      </x:c>
      <x:c r="C1003" s="195" t="n">
        <x:v>0.06</x:v>
      </x:c>
      <x:c r="D1003" s="195" t="n">
        <x:f>IFERROR(B1003-C1003,"")</x:f>
        <x:v>1.75</x:v>
      </x:c>
    </x:row>
    <x:row r="1004">
      <x:c r="A1004" s="187" t="n">
        <x:v>43837</x:v>
      </x:c>
      <x:c r="B1004" s="195" t="n">
        <x:v>1.83</x:v>
      </x:c>
      <x:c r="C1004" s="195" t="n">
        <x:v>0.09</x:v>
      </x:c>
      <x:c r="D1004" s="195" t="n">
        <x:f>IFERROR(B1004-C1004,"")</x:f>
        <x:v>1.74</x:v>
      </x:c>
    </x:row>
    <x:row r="1005">
      <x:c r="A1005" s="187" t="n">
        <x:v>43838</x:v>
      </x:c>
      <x:c r="B1005" s="195" t="n">
        <x:v>1.87</x:v>
      </x:c>
      <x:c r="C1005" s="195" t="n">
        <x:v>0.12</x:v>
      </x:c>
      <x:c r="D1005" s="195" t="n">
        <x:f>IFERROR(B1005-C1005,"")</x:f>
        <x:v>1.75</x:v>
      </x:c>
    </x:row>
    <x:row r="1006">
      <x:c r="A1006" s="187" t="n">
        <x:v>43839</x:v>
      </x:c>
      <x:c r="B1006" s="195" t="n">
        <x:v>1.85</x:v>
      </x:c>
      <x:c r="C1006" s="195" t="n">
        <x:v>0.11</x:v>
      </x:c>
      <x:c r="D1006" s="195" t="n">
        <x:f>IFERROR(B1006-C1006,"")</x:f>
        <x:v>1.74</x:v>
      </x:c>
    </x:row>
    <x:row r="1007">
      <x:c r="A1007" s="187" t="n">
        <x:v>43840</x:v>
      </x:c>
      <x:c r="B1007" s="195" t="n">
        <x:v>1.83</x:v>
      </x:c>
      <x:c r="C1007" s="195" t="n">
        <x:v>0.07</x:v>
      </x:c>
      <x:c r="D1007" s="195" t="n">
        <x:f>IFERROR(B1007-C1007,"")</x:f>
        <x:v>1.76</x:v>
      </x:c>
    </x:row>
    <x:row r="1008">
      <x:c r="A1008" s="187" t="n">
        <x:v>43843</x:v>
      </x:c>
      <x:c r="B1008" s="195" t="n">
        <x:v>1.85</x:v>
      </x:c>
      <x:c r="C1008" s="195" t="n">
        <x:v>0.08</x:v>
      </x:c>
      <x:c r="D1008" s="195" t="n">
        <x:f>IFERROR(B1008-C1008,"")</x:f>
        <x:v>1.77</x:v>
      </x:c>
    </x:row>
    <x:row r="1009">
      <x:c r="A1009" s="187" t="n">
        <x:v>43844</x:v>
      </x:c>
      <x:c r="B1009" s="195" t="n">
        <x:v>1.82</x:v>
      </x:c>
      <x:c r="C1009" s="195" t="n">
        <x:v>0.05</x:v>
      </x:c>
      <x:c r="D1009" s="195" t="n">
        <x:f>IFERROR(B1009-C1009,"")</x:f>
        <x:v>1.77</x:v>
      </x:c>
    </x:row>
    <x:row r="1010">
      <x:c r="A1010" s="187" t="n">
        <x:v>43845</x:v>
      </x:c>
      <x:c r="B1010" s="195" t="n">
        <x:v>1.79</x:v>
      </x:c>
      <x:c r="C1010" s="195" t="n">
        <x:v>0.04</x:v>
      </x:c>
      <x:c r="D1010" s="195" t="n">
        <x:f>IFERROR(B1010-C1010,"")</x:f>
        <x:v>1.75</x:v>
      </x:c>
    </x:row>
    <x:row r="1011">
      <x:c r="A1011" s="187" t="n">
        <x:v>43846</x:v>
      </x:c>
      <x:c r="B1011" s="195" t="n">
        <x:v>1.81</x:v>
      </x:c>
      <x:c r="C1011" s="195" t="n">
        <x:v>0.07</x:v>
      </x:c>
      <x:c r="D1011" s="195" t="n">
        <x:f>IFERROR(B1011-C1011,"")</x:f>
        <x:v>1.74</x:v>
      </x:c>
    </x:row>
    <x:row r="1012">
      <x:c r="A1012" s="187" t="n">
        <x:v>43847</x:v>
      </x:c>
      <x:c r="B1012" s="195" t="n">
        <x:v>1.84</x:v>
      </x:c>
      <x:c r="C1012" s="195" t="n">
        <x:v>0.09</x:v>
      </x:c>
      <x:c r="D1012" s="195" t="n">
        <x:f>IFERROR(B1012-C1012,"")</x:f>
        <x:v>1.75</x:v>
      </x:c>
    </x:row>
    <x:row r="1013">
      <x:c r="A1013" s="187" t="n">
        <x:v>43851</x:v>
      </x:c>
      <x:c r="B1013" s="195" t="n">
        <x:v>1.78</x:v>
      </x:c>
      <x:c r="C1013" s="195" t="n">
        <x:v>0.04</x:v>
      </x:c>
      <x:c r="D1013" s="195" t="n">
        <x:f>IFERROR(B1013-C1013,"")</x:f>
        <x:v>1.74</x:v>
      </x:c>
    </x:row>
    <x:row r="1014">
      <x:c r="A1014" s="187" t="n">
        <x:v>43852</x:v>
      </x:c>
      <x:c r="B1014" s="195" t="n">
        <x:v>1.77</x:v>
      </x:c>
      <x:c r="C1014" s="195" t="n">
        <x:v>0.05</x:v>
      </x:c>
      <x:c r="D1014" s="195" t="n">
        <x:f>IFERROR(B1014-C1014,"")</x:f>
        <x:v>1.72</x:v>
      </x:c>
    </x:row>
    <x:row r="1015">
      <x:c r="A1015" s="187" t="n">
        <x:v>43853</x:v>
      </x:c>
      <x:c r="B1015" s="195" t="n">
        <x:v>1.74</x:v>
      </x:c>
      <x:c r="C1015" s="195" t="n">
        <x:v>0.04</x:v>
      </x:c>
      <x:c r="D1015" s="195" t="n">
        <x:f>IFERROR(B1015-C1015,"")</x:f>
        <x:v>1.7</x:v>
      </x:c>
    </x:row>
    <x:row r="1016">
      <x:c r="A1016" s="187" t="n">
        <x:v>43854</x:v>
      </x:c>
      <x:c r="B1016" s="195" t="n">
        <x:v>1.7</x:v>
      </x:c>
      <x:c r="C1016" s="195" t="n">
        <x:v>0.02</x:v>
      </x:c>
      <x:c r="D1016" s="195" t="n">
        <x:f>IFERROR(B1016-C1016,"")</x:f>
        <x:v>1.68</x:v>
      </x:c>
    </x:row>
    <x:row r="1017">
      <x:c r="A1017" s="187" t="n">
        <x:v>43857</x:v>
      </x:c>
      <x:c r="B1017" s="195" t="n">
        <x:v>1.61</x:v>
      </x:c>
      <x:c r="C1017" s="195" t="n">
        <x:v>-0.02</x:v>
      </x:c>
      <x:c r="D1017" s="195" t="n">
        <x:f>IFERROR(B1017-C1017,"")</x:f>
        <x:v>1.6300000000000001</x:v>
      </x:c>
    </x:row>
    <x:row r="1018">
      <x:c r="A1018" s="187" t="n">
        <x:v>43858</x:v>
      </x:c>
      <x:c r="B1018" s="195" t="n">
        <x:v>1.65</x:v>
      </x:c>
      <x:c r="C1018" s="195" t="n">
        <x:v>0</x:v>
      </x:c>
      <x:c r="D1018" s="195" t="n">
        <x:f>IFERROR(B1018-C1018,"")</x:f>
        <x:v>1.65</x:v>
      </x:c>
    </x:row>
    <x:row r="1019">
      <x:c r="A1019" s="187" t="n">
        <x:v>43859</x:v>
      </x:c>
      <x:c r="B1019" s="195" t="n">
        <x:v>1.6</x:v>
      </x:c>
      <x:c r="C1019" s="195" t="n">
        <x:v>-0.04</x:v>
      </x:c>
      <x:c r="D1019" s="195" t="n">
        <x:f>IFERROR(B1019-C1019,"")</x:f>
        <x:v>1.6400000000000001</x:v>
      </x:c>
    </x:row>
    <x:row r="1020">
      <x:c r="A1020" s="187" t="n">
        <x:v>43860</x:v>
      </x:c>
      <x:c r="B1020" s="195" t="n">
        <x:v>1.57</x:v>
      </x:c>
      <x:c r="C1020" s="195" t="n">
        <x:v>-0.07</x:v>
      </x:c>
      <x:c r="D1020" s="195" t="n">
        <x:f>IFERROR(B1020-C1020,"")</x:f>
        <x:v>1.6400000000000001</x:v>
      </x:c>
    </x:row>
    <x:row r="1021">
      <x:c r="A1021" s="187" t="n">
        <x:v>43861</x:v>
      </x:c>
      <x:c r="B1021" s="195" t="n">
        <x:v>1.51</x:v>
      </x:c>
      <x:c r="C1021" s="195" t="n">
        <x:v>-0.14</x:v>
      </x:c>
      <x:c r="D1021" s="195" t="n">
        <x:f>IFERROR(B1021-C1021,"")</x:f>
        <x:v>1.65</x:v>
      </x:c>
    </x:row>
    <x:row r="1022">
      <x:c r="A1022" s="187" t="n">
        <x:v>43864</x:v>
      </x:c>
      <x:c r="B1022" s="195" t="n">
        <x:v>1.54</x:v>
      </x:c>
      <x:c r="C1022" s="195" t="n">
        <x:v>-0.09</x:v>
      </x:c>
      <x:c r="D1022" s="195" t="n">
        <x:f>IFERROR(B1022-C1022,"")</x:f>
        <x:v>1.6300000000000001</x:v>
      </x:c>
    </x:row>
    <x:row r="1023">
      <x:c r="A1023" s="187" t="n">
        <x:v>43865</x:v>
      </x:c>
      <x:c r="B1023" s="195" t="n">
        <x:v>1.61</x:v>
      </x:c>
      <x:c r="C1023" s="195" t="n">
        <x:v>-0.03</x:v>
      </x:c>
      <x:c r="D1023" s="195" t="n">
        <x:f>IFERROR(B1023-C1023,"")</x:f>
        <x:v>1.6400000000000001</x:v>
      </x:c>
    </x:row>
    <x:row r="1024">
      <x:c r="A1024" s="187" t="n">
        <x:v>43866</x:v>
      </x:c>
      <x:c r="B1024" s="195" t="n">
        <x:v>1.66</x:v>
      </x:c>
      <x:c r="C1024" s="195" t="n">
        <x:v>0</x:v>
      </x:c>
      <x:c r="D1024" s="195" t="n">
        <x:f>IFERROR(B1024-C1024,"")</x:f>
        <x:v>1.66</x:v>
      </x:c>
    </x:row>
    <x:row r="1025">
      <x:c r="A1025" s="187" t="n">
        <x:v>43867</x:v>
      </x:c>
      <x:c r="B1025" s="195" t="n">
        <x:v>1.65</x:v>
      </x:c>
      <x:c r="C1025" s="195" t="n">
        <x:v>-0.02</x:v>
      </x:c>
      <x:c r="D1025" s="195" t="n">
        <x:f>IFERROR(B1025-C1025,"")</x:f>
        <x:v>1.67</x:v>
      </x:c>
    </x:row>
    <x:row r="1026">
      <x:c r="A1026" s="187" t="n">
        <x:v>43868</x:v>
      </x:c>
      <x:c r="B1026" s="195" t="n">
        <x:v>1.59</x:v>
      </x:c>
      <x:c r="C1026" s="195" t="n">
        <x:v>-0.07</x:v>
      </x:c>
      <x:c r="D1026" s="195" t="n">
        <x:f>IFERROR(B1026-C1026,"")</x:f>
        <x:v>1.6600000000000001</x:v>
      </x:c>
    </x:row>
    <x:row r="1027">
      <x:c r="A1027" s="187" t="n">
        <x:v>43871</x:v>
      </x:c>
      <x:c r="B1027" s="195" t="n">
        <x:v>1.56</x:v>
      </x:c>
      <x:c r="C1027" s="195" t="n">
        <x:v>-0.1</x:v>
      </x:c>
      <x:c r="D1027" s="195" t="n">
        <x:f>IFERROR(B1027-C1027,"")</x:f>
        <x:v>1.6600000000000001</x:v>
      </x:c>
    </x:row>
    <x:row r="1028">
      <x:c r="A1028" s="187" t="n">
        <x:v>43872</x:v>
      </x:c>
      <x:c r="B1028" s="195" t="n">
        <x:v>1.59</x:v>
      </x:c>
      <x:c r="C1028" s="195" t="n">
        <x:v>-0.06</x:v>
      </x:c>
      <x:c r="D1028" s="195" t="n">
        <x:f>IFERROR(B1028-C1028,"")</x:f>
        <x:v>1.6500000000000001</x:v>
      </x:c>
    </x:row>
    <x:row r="1029">
      <x:c r="A1029" s="187" t="n">
        <x:v>43873</x:v>
      </x:c>
      <x:c r="B1029" s="195" t="n">
        <x:v>1.62</x:v>
      </x:c>
      <x:c r="C1029" s="195" t="n">
        <x:v>-0.04</x:v>
      </x:c>
      <x:c r="D1029" s="195" t="n">
        <x:f>IFERROR(B1029-C1029,"")</x:f>
        <x:v>1.6600000000000001</x:v>
      </x:c>
    </x:row>
    <x:row r="1030">
      <x:c r="A1030" s="187" t="n">
        <x:v>43874</x:v>
      </x:c>
      <x:c r="B1030" s="195" t="n">
        <x:v>1.61</x:v>
      </x:c>
      <x:c r="C1030" s="195" t="n">
        <x:v>-0.06</x:v>
      </x:c>
      <x:c r="D1030" s="195" t="n">
        <x:f>IFERROR(B1030-C1030,"")</x:f>
        <x:v>1.6700000000000002</x:v>
      </x:c>
    </x:row>
    <x:row r="1031">
      <x:c r="A1031" s="187" t="n">
        <x:v>43875</x:v>
      </x:c>
      <x:c r="B1031" s="195" t="n">
        <x:v>1.59</x:v>
      </x:c>
      <x:c r="C1031" s="195" t="n">
        <x:v>-0.07</x:v>
      </x:c>
      <x:c r="D1031" s="195" t="n">
        <x:f>IFERROR(B1031-C1031,"")</x:f>
        <x:v>1.6600000000000001</x:v>
      </x:c>
    </x:row>
    <x:row r="1032">
      <x:c r="A1032" s="187" t="n">
        <x:v>43879</x:v>
      </x:c>
      <x:c r="B1032" s="195" t="n">
        <x:v>1.55</x:v>
      </x:c>
      <x:c r="C1032" s="195" t="n">
        <x:v>-0.1</x:v>
      </x:c>
      <x:c r="D1032" s="195" t="n">
        <x:f>IFERROR(B1032-C1032,"")</x:f>
        <x:v>1.6500000000000001</x:v>
      </x:c>
    </x:row>
    <x:row r="1033">
      <x:c r="A1033" s="187" t="n">
        <x:v>43880</x:v>
      </x:c>
      <x:c r="B1033" s="195" t="n">
        <x:v>1.56</x:v>
      </x:c>
      <x:c r="C1033" s="195" t="n">
        <x:v>-0.09</x:v>
      </x:c>
      <x:c r="D1033" s="195" t="n">
        <x:f>IFERROR(B1033-C1033,"")</x:f>
        <x:v>1.6500000000000001</x:v>
      </x:c>
    </x:row>
    <x:row r="1034">
      <x:c r="A1034" s="187" t="n">
        <x:v>43881</x:v>
      </x:c>
      <x:c r="B1034" s="195" t="n">
        <x:v>1.52</x:v>
      </x:c>
      <x:c r="C1034" s="195" t="n">
        <x:v>-0.11</x:v>
      </x:c>
      <x:c r="D1034" s="195" t="n">
        <x:f>IFERROR(B1034-C1034,"")</x:f>
        <x:v>1.6300000000000001</x:v>
      </x:c>
    </x:row>
    <x:row r="1035">
      <x:c r="A1035" s="187" t="n">
        <x:v>43882</x:v>
      </x:c>
      <x:c r="B1035" s="195" t="n">
        <x:v>1.46</x:v>
      </x:c>
      <x:c r="C1035" s="195" t="n">
        <x:v>-0.15</x:v>
      </x:c>
      <x:c r="D1035" s="195" t="n">
        <x:f>IFERROR(B1035-C1035,"")</x:f>
        <x:v>1.6099999999999999</x:v>
      </x:c>
    </x:row>
    <x:row r="1036">
      <x:c r="A1036" s="187" t="n">
        <x:v>43885</x:v>
      </x:c>
      <x:c r="B1036" s="195" t="n">
        <x:v>1.38</x:v>
      </x:c>
      <x:c r="C1036" s="195" t="n">
        <x:v>-0.21</x:v>
      </x:c>
      <x:c r="D1036" s="195" t="n">
        <x:f>IFERROR(B1036-C1036,"")</x:f>
        <x:v>1.5899999999999999</x:v>
      </x:c>
    </x:row>
    <x:row r="1037">
      <x:c r="A1037" s="187" t="n">
        <x:v>43886</x:v>
      </x:c>
      <x:c r="B1037" s="195" t="n">
        <x:v>1.33</x:v>
      </x:c>
      <x:c r="C1037" s="195" t="n">
        <x:v>-0.2</x:v>
      </x:c>
      <x:c r="D1037" s="195" t="n">
        <x:f>IFERROR(B1037-C1037,"")</x:f>
        <x:v>1.53</x:v>
      </x:c>
    </x:row>
    <x:row r="1038">
      <x:c r="A1038" s="187" t="n">
        <x:v>43887</x:v>
      </x:c>
      <x:c r="B1038" s="195" t="n">
        <x:v>1.33</x:v>
      </x:c>
      <x:c r="C1038" s="195" t="n">
        <x:v>-0.21</x:v>
      </x:c>
      <x:c r="D1038" s="195" t="n">
        <x:f>IFERROR(B1038-C1038,"")</x:f>
        <x:v>1.54</x:v>
      </x:c>
    </x:row>
    <x:row r="1039">
      <x:c r="A1039" s="187" t="n">
        <x:v>43888</x:v>
      </x:c>
      <x:c r="B1039" s="195" t="n">
        <x:v>1.3</x:v>
      </x:c>
      <x:c r="C1039" s="195" t="n">
        <x:v>-0.23</x:v>
      </x:c>
      <x:c r="D1039" s="195" t="n">
        <x:f>IFERROR(B1039-C1039,"")</x:f>
        <x:v>1.53</x:v>
      </x:c>
    </x:row>
    <x:row r="1040">
      <x:c r="A1040" s="187" t="n">
        <x:v>43889</x:v>
      </x:c>
      <x:c r="B1040" s="195" t="n">
        <x:v>1.13</x:v>
      </x:c>
      <x:c r="C1040" s="195" t="n">
        <x:v>-0.28</x:v>
      </x:c>
      <x:c r="D1040" s="195" t="n">
        <x:f>IFERROR(B1040-C1040,"")</x:f>
        <x:v>1.41</x:v>
      </x:c>
    </x:row>
    <x:row r="1041">
      <x:c r="A1041" s="187" t="n">
        <x:v>43892</x:v>
      </x:c>
      <x:c r="B1041" s="195" t="n">
        <x:v>1.1</x:v>
      </x:c>
      <x:c r="C1041" s="195" t="n">
        <x:v>-0.31</x:v>
      </x:c>
      <x:c r="D1041" s="195" t="n">
        <x:f>IFERROR(B1041-C1041,"")</x:f>
        <x:v>1.4100000000000001</x:v>
      </x:c>
    </x:row>
    <x:row r="1042">
      <x:c r="A1042" s="187" t="n">
        <x:v>43893</x:v>
      </x:c>
      <x:c r="B1042" s="195" t="n">
        <x:v>1.02</x:v>
      </x:c>
      <x:c r="C1042" s="195" t="n">
        <x:v>-0.43</x:v>
      </x:c>
      <x:c r="D1042" s="195" t="n">
        <x:f>IFERROR(B1042-C1042,"")</x:f>
        <x:v>1.45</x:v>
      </x:c>
    </x:row>
    <x:row r="1043">
      <x:c r="A1043" s="187" t="n">
        <x:v>43894</x:v>
      </x:c>
      <x:c r="B1043" s="195" t="n">
        <x:v>1.02</x:v>
      </x:c>
      <x:c r="C1043" s="195" t="n">
        <x:v>-0.44</x:v>
      </x:c>
      <x:c r="D1043" s="195" t="n">
        <x:f>IFERROR(B1043-C1043,"")</x:f>
        <x:v>1.46</x:v>
      </x:c>
    </x:row>
    <x:row r="1044">
      <x:c r="A1044" s="187" t="n">
        <x:v>43895</x:v>
      </x:c>
      <x:c r="B1044" s="195" t="n">
        <x:v>0.92</x:v>
      </x:c>
      <x:c r="C1044" s="195" t="n">
        <x:v>-0.48</x:v>
      </x:c>
      <x:c r="D1044" s="195" t="n">
        <x:f>IFERROR(B1044-C1044,"")</x:f>
        <x:v>1.4</x:v>
      </x:c>
    </x:row>
    <x:row r="1045">
      <x:c r="A1045" s="187" t="n">
        <x:v>43896</x:v>
      </x:c>
      <x:c r="B1045" s="195" t="n">
        <x:v>0.74</x:v>
      </x:c>
      <x:c r="C1045" s="195" t="n">
        <x:v>-0.57</x:v>
      </x:c>
      <x:c r="D1045" s="195" t="n">
        <x:f>IFERROR(B1045-C1045,"")</x:f>
        <x:v>1.31</x:v>
      </x:c>
    </x:row>
    <x:row r="1046">
      <x:c r="A1046" s="187" t="n">
        <x:v>43899</x:v>
      </x:c>
      <x:c r="B1046" s="195" t="n">
        <x:v>0.54</x:v>
      </x:c>
      <x:c r="C1046" s="195" t="n">
        <x:v>-0.45</x:v>
      </x:c>
      <x:c r="D1046" s="195" t="n">
        <x:f>IFERROR(B1046-C1046,"")</x:f>
        <x:v>0.99</x:v>
      </x:c>
    </x:row>
    <x:row r="1047">
      <x:c r="A1047" s="187" t="n">
        <x:v>43900</x:v>
      </x:c>
      <x:c r="B1047" s="195" t="n">
        <x:v>0.76</x:v>
      </x:c>
      <x:c r="C1047" s="195" t="n">
        <x:v>-0.24</x:v>
      </x:c>
      <x:c r="D1047" s="195" t="n">
        <x:f>IFERROR(B1047-C1047,"")</x:f>
        <x:v>1</x:v>
      </x:c>
    </x:row>
    <x:row r="1048">
      <x:c r="A1048" s="187" t="n">
        <x:v>43901</x:v>
      </x:c>
      <x:c r="B1048" s="195" t="n">
        <x:v>0.82</x:v>
      </x:c>
      <x:c r="C1048" s="195" t="n">
        <x:v>-0.14</x:v>
      </x:c>
      <x:c r="D1048" s="195" t="n">
        <x:f>IFERROR(B1048-C1048,"")</x:f>
        <x:v>0.96</x:v>
      </x:c>
    </x:row>
    <x:row r="1049">
      <x:c r="A1049" s="187" t="n">
        <x:v>43902</x:v>
      </x:c>
      <x:c r="B1049" s="195" t="n">
        <x:v>0.88</x:v>
      </x:c>
      <x:c r="C1049" s="195" t="n">
        <x:v>-0.04</x:v>
      </x:c>
      <x:c r="D1049" s="195" t="n">
        <x:f>IFERROR(B1049-C1049,"")</x:f>
        <x:v>0.92</x:v>
      </x:c>
    </x:row>
    <x:row r="1050">
      <x:c r="A1050" s="187" t="n">
        <x:v>43903</x:v>
      </x:c>
      <x:c r="B1050" s="195" t="n">
        <x:v>0.94</x:v>
      </x:c>
      <x:c r="C1050" s="195" t="n">
        <x:v>0.04</x:v>
      </x:c>
      <x:c r="D1050" s="195" t="n">
        <x:f>IFERROR(B1050-C1050,"")</x:f>
        <x:v>0.8999999999999999</x:v>
      </x:c>
    </x:row>
    <x:row r="1051">
      <x:c r="A1051" s="187" t="n">
        <x:v>43906</x:v>
      </x:c>
      <x:c r="B1051" s="195" t="n">
        <x:v>0.73</x:v>
      </x:c>
      <x:c r="C1051" s="195" t="n">
        <x:v>0</x:v>
      </x:c>
      <x:c r="D1051" s="195" t="n">
        <x:f>IFERROR(B1051-C1051,"")</x:f>
        <x:v>0.73</x:v>
      </x:c>
    </x:row>
    <x:row r="1052">
      <x:c r="A1052" s="187" t="n">
        <x:v>43907</x:v>
      </x:c>
      <x:c r="B1052" s="195" t="n">
        <x:v>1.02</x:v>
      </x:c>
      <x:c r="C1052" s="195" t="n">
        <x:v>0.39</x:v>
      </x:c>
      <x:c r="D1052" s="195" t="n">
        <x:f>IFERROR(B1052-C1052,"")</x:f>
        <x:v>0.63</x:v>
      </x:c>
    </x:row>
    <x:row r="1053">
      <x:c r="A1053" s="187" t="n">
        <x:v>43908</x:v>
      </x:c>
      <x:c r="B1053" s="195" t="n">
        <x:v>1.18</x:v>
      </x:c>
      <x:c r="C1053" s="195" t="n">
        <x:v>0.55</x:v>
      </x:c>
      <x:c r="D1053" s="195" t="n">
        <x:f>IFERROR(B1053-C1053,"")</x:f>
        <x:v>0.6299999999999999</x:v>
      </x:c>
    </x:row>
    <x:row r="1054">
      <x:c r="A1054" s="187" t="n">
        <x:v>43909</x:v>
      </x:c>
      <x:c r="B1054" s="195" t="n">
        <x:v>1.12</x:v>
      </x:c>
      <x:c r="C1054" s="195" t="n">
        <x:v>0.62</x:v>
      </x:c>
      <x:c r="D1054" s="195" t="n">
        <x:f>IFERROR(B1054-C1054,"")</x:f>
        <x:v>0.5000000000000001</x:v>
      </x:c>
    </x:row>
    <x:row r="1055">
      <x:c r="A1055" s="187" t="n">
        <x:v>43910</x:v>
      </x:c>
      <x:c r="B1055" s="195" t="n">
        <x:v>0.92</x:v>
      </x:c>
      <x:c r="C1055" s="195" t="n">
        <x:v>0.17</x:v>
      </x:c>
      <x:c r="D1055" s="195" t="n">
        <x:f>IFERROR(B1055-C1055,"")</x:f>
        <x:v>0.75</x:v>
      </x:c>
    </x:row>
    <x:row r="1056">
      <x:c r="A1056" s="187" t="n">
        <x:v>43913</x:v>
      </x:c>
      <x:c r="B1056" s="195" t="n">
        <x:v>0.76</x:v>
      </x:c>
      <x:c r="C1056" s="195" t="n">
        <x:v>-0.04</x:v>
      </x:c>
      <x:c r="D1056" s="195" t="n">
        <x:f>IFERROR(B1056-C1056,"")</x:f>
        <x:v>0.8</x:v>
      </x:c>
    </x:row>
    <x:row r="1057">
      <x:c r="A1057" s="187" t="n">
        <x:v>43914</x:v>
      </x:c>
      <x:c r="B1057" s="195" t="n">
        <x:v>0.84</x:v>
      </x:c>
      <x:c r="C1057" s="195" t="n">
        <x:v>-0.13</x:v>
      </x:c>
      <x:c r="D1057" s="195" t="n">
        <x:f>IFERROR(B1057-C1057,"")</x:f>
        <x:v>0.97</x:v>
      </x:c>
    </x:row>
    <x:row r="1058">
      <x:c r="A1058" s="187" t="n">
        <x:v>43915</x:v>
      </x:c>
      <x:c r="B1058" s="195" t="n">
        <x:v>0.88</x:v>
      </x:c>
      <x:c r="C1058" s="195" t="n">
        <x:v>-0.19</x:v>
      </x:c>
      <x:c r="D1058" s="195" t="n">
        <x:f>IFERROR(B1058-C1058,"")</x:f>
        <x:v>1.07</x:v>
      </x:c>
    </x:row>
    <x:row r="1059">
      <x:c r="A1059" s="187" t="n">
        <x:v>43916</x:v>
      </x:c>
      <x:c r="B1059" s="195" t="n">
        <x:v>0.83</x:v>
      </x:c>
      <x:c r="C1059" s="195" t="n">
        <x:v>-0.24</x:v>
      </x:c>
      <x:c r="D1059" s="195" t="n">
        <x:f>IFERROR(B1059-C1059,"")</x:f>
        <x:v>1.0699999999999998</x:v>
      </x:c>
    </x:row>
    <x:row r="1060">
      <x:c r="A1060" s="187" t="n">
        <x:v>43917</x:v>
      </x:c>
      <x:c r="B1060" s="195" t="n">
        <x:v>0.72</x:v>
      </x:c>
      <x:c r="C1060" s="195" t="n">
        <x:v>-0.22</x:v>
      </x:c>
      <x:c r="D1060" s="195" t="n">
        <x:f>IFERROR(B1060-C1060,"")</x:f>
        <x:v>0.94</x:v>
      </x:c>
    </x:row>
    <x:row r="1061">
      <x:c r="A1061" s="187" t="n">
        <x:v>43920</x:v>
      </x:c>
      <x:c r="B1061" s="195" t="n">
        <x:v>0.7</x:v>
      </x:c>
      <x:c r="C1061" s="195" t="n">
        <x:v>-0.25</x:v>
      </x:c>
      <x:c r="D1061" s="195" t="n">
        <x:f>IFERROR(B1061-C1061,"")</x:f>
        <x:v>0.95</x:v>
      </x:c>
    </x:row>
    <x:row r="1062">
      <x:c r="A1062" s="187" t="n">
        <x:v>43921</x:v>
      </x:c>
      <x:c r="B1062" s="195" t="n">
        <x:v>0.7</x:v>
      </x:c>
      <x:c r="C1062" s="195" t="n">
        <x:v>-0.17</x:v>
      </x:c>
      <x:c r="D1062" s="195" t="n">
        <x:f>IFERROR(B1062-C1062,"")</x:f>
        <x:v>0.87</x:v>
      </x:c>
    </x:row>
    <x:row r="1063">
      <x:c r="A1063" s="187" t="n">
        <x:v>43922</x:v>
      </x:c>
      <x:c r="B1063" s="195" t="n">
        <x:v>0.62</x:v>
      </x:c>
      <x:c r="C1063" s="195" t="n">
        <x:v>-0.29</x:v>
      </x:c>
      <x:c r="D1063" s="195" t="n">
        <x:f>IFERROR(B1063-C1063,"")</x:f>
        <x:v>0.9099999999999999</x:v>
      </x:c>
    </x:row>
    <x:row r="1064">
      <x:c r="A1064" s="187" t="n">
        <x:v>43923</x:v>
      </x:c>
      <x:c r="B1064" s="195" t="n">
        <x:v>0.63</x:v>
      </x:c>
      <x:c r="C1064" s="195" t="n">
        <x:v>-0.4</x:v>
      </x:c>
      <x:c r="D1064" s="195" t="n">
        <x:f>IFERROR(B1064-C1064,"")</x:f>
        <x:v>1.03</x:v>
      </x:c>
    </x:row>
    <x:row r="1065">
      <x:c r="A1065" s="187" t="n">
        <x:v>43924</x:v>
      </x:c>
      <x:c r="B1065" s="195" t="n">
        <x:v>0.62</x:v>
      </x:c>
      <x:c r="C1065" s="195" t="n">
        <x:v>-0.46</x:v>
      </x:c>
      <x:c r="D1065" s="195" t="n">
        <x:f>IFERROR(B1065-C1065,"")</x:f>
        <x:v>1.08</x:v>
      </x:c>
    </x:row>
    <x:row r="1066">
      <x:c r="A1066" s="187" t="n">
        <x:v>43927</x:v>
      </x:c>
      <x:c r="B1066" s="195" t="n">
        <x:v>0.67</x:v>
      </x:c>
      <x:c r="C1066" s="195" t="n">
        <x:v>-0.47</x:v>
      </x:c>
      <x:c r="D1066" s="195" t="n">
        <x:f>IFERROR(B1066-C1066,"")</x:f>
        <x:v>1.1400000000000001</x:v>
      </x:c>
    </x:row>
    <x:row r="1067">
      <x:c r="A1067" s="187" t="n">
        <x:v>43928</x:v>
      </x:c>
      <x:c r="B1067" s="195" t="n">
        <x:v>0.75</x:v>
      </x:c>
      <x:c r="C1067" s="195" t="n">
        <x:v>-0.42</x:v>
      </x:c>
      <x:c r="D1067" s="195" t="n">
        <x:f>IFERROR(B1067-C1067,"")</x:f>
        <x:v>1.17</x:v>
      </x:c>
    </x:row>
    <x:row r="1068">
      <x:c r="A1068" s="187" t="n">
        <x:v>43929</x:v>
      </x:c>
      <x:c r="B1068" s="195" t="n">
        <x:v>0.77</x:v>
      </x:c>
      <x:c r="C1068" s="195" t="n">
        <x:v>-0.42</x:v>
      </x:c>
      <x:c r="D1068" s="195" t="n">
        <x:f>IFERROR(B1068-C1068,"")</x:f>
        <x:v>1.19</x:v>
      </x:c>
    </x:row>
    <x:row r="1069">
      <x:c r="A1069" s="187" t="n">
        <x:v>43930</x:v>
      </x:c>
      <x:c r="B1069" s="195" t="n">
        <x:v>0.73</x:v>
      </x:c>
      <x:c r="C1069" s="195" t="n">
        <x:v>-0.5</x:v>
      </x:c>
      <x:c r="D1069" s="195" t="n">
        <x:f>IFERROR(B1069-C1069,"")</x:f>
        <x:v>1.23</x:v>
      </x:c>
    </x:row>
    <x:row r="1070">
      <x:c r="A1070" s="187" t="n">
        <x:v>43934</x:v>
      </x:c>
      <x:c r="B1070" s="195" t="n">
        <x:v>0.76</x:v>
      </x:c>
      <x:c r="C1070" s="195" t="n">
        <x:v>-0.5</x:v>
      </x:c>
      <x:c r="D1070" s="195" t="n">
        <x:f>IFERROR(B1070-C1070,"")</x:f>
        <x:v>1.26</x:v>
      </x:c>
    </x:row>
    <x:row r="1071">
      <x:c r="A1071" s="187" t="n">
        <x:v>43935</x:v>
      </x:c>
      <x:c r="B1071" s="195" t="n">
        <x:v>0.76</x:v>
      </x:c>
      <x:c r="C1071" s="195" t="n">
        <x:v>-0.53</x:v>
      </x:c>
      <x:c r="D1071" s="195" t="n">
        <x:f>IFERROR(B1071-C1071,"")</x:f>
        <x:v>1.29</x:v>
      </x:c>
    </x:row>
    <x:row r="1072">
      <x:c r="A1072" s="187" t="n">
        <x:v>43936</x:v>
      </x:c>
      <x:c r="B1072" s="195" t="n">
        <x:v>0.63</x:v>
      </x:c>
      <x:c r="C1072" s="195" t="n">
        <x:v>-0.56</x:v>
      </x:c>
      <x:c r="D1072" s="195" t="n">
        <x:f>IFERROR(B1072-C1072,"")</x:f>
        <x:v>1.19</x:v>
      </x:c>
    </x:row>
    <x:row r="1073">
      <x:c r="A1073" s="187" t="n">
        <x:v>43937</x:v>
      </x:c>
      <x:c r="B1073" s="195" t="n">
        <x:v>0.61</x:v>
      </x:c>
      <x:c r="C1073" s="195" t="n">
        <x:v>-0.42</x:v>
      </x:c>
      <x:c r="D1073" s="195" t="n">
        <x:f>IFERROR(B1073-C1073,"")</x:f>
        <x:v>1.03</x:v>
      </x:c>
    </x:row>
    <x:row r="1074">
      <x:c r="A1074" s="187" t="n">
        <x:v>43938</x:v>
      </x:c>
      <x:c r="B1074" s="195" t="n">
        <x:v>0.65</x:v>
      </x:c>
      <x:c r="C1074" s="195" t="n">
        <x:v>-0.36</x:v>
      </x:c>
      <x:c r="D1074" s="195" t="n">
        <x:f>IFERROR(B1074-C1074,"")</x:f>
        <x:v>1.01</x:v>
      </x:c>
    </x:row>
    <x:row r="1075">
      <x:c r="A1075" s="187" t="n">
        <x:v>43941</x:v>
      </x:c>
      <x:c r="B1075" s="195" t="n">
        <x:v>0.63</x:v>
      </x:c>
      <x:c r="C1075" s="195" t="n">
        <x:v>-0.31</x:v>
      </x:c>
      <x:c r="D1075" s="195" t="n">
        <x:f>IFERROR(B1075-C1075,"")</x:f>
        <x:v>0.94</x:v>
      </x:c>
    </x:row>
    <x:row r="1076">
      <x:c r="A1076" s="187" t="n">
        <x:v>43942</x:v>
      </x:c>
      <x:c r="B1076" s="195" t="n">
        <x:v>0.58</x:v>
      </x:c>
      <x:c r="C1076" s="195" t="n">
        <x:v>-0.38</x:v>
      </x:c>
      <x:c r="D1076" s="195" t="n">
        <x:f>IFERROR(B1076-C1076,"")</x:f>
        <x:v>0.96</x:v>
      </x:c>
    </x:row>
    <x:row r="1077">
      <x:c r="A1077" s="187" t="n">
        <x:v>43943</x:v>
      </x:c>
      <x:c r="B1077" s="195" t="n">
        <x:v>0.63</x:v>
      </x:c>
      <x:c r="C1077" s="195" t="n">
        <x:v>-0.43</x:v>
      </x:c>
      <x:c r="D1077" s="195" t="n">
        <x:f>IFERROR(B1077-C1077,"")</x:f>
        <x:v>1.06</x:v>
      </x:c>
    </x:row>
    <x:row r="1078">
      <x:c r="A1078" s="187" t="n">
        <x:v>43944</x:v>
      </x:c>
      <x:c r="B1078" s="195" t="n">
        <x:v>0.61</x:v>
      </x:c>
      <x:c r="C1078" s="195" t="n">
        <x:v>-0.44</x:v>
      </x:c>
      <x:c r="D1078" s="195" t="n">
        <x:f>IFERROR(B1078-C1078,"")</x:f>
        <x:v>1.05</x:v>
      </x:c>
    </x:row>
    <x:row r="1079">
      <x:c r="A1079" s="187" t="n">
        <x:v>43945</x:v>
      </x:c>
      <x:c r="B1079" s="195" t="n">
        <x:v>0.6</x:v>
      </x:c>
      <x:c r="C1079" s="195" t="n">
        <x:v>-0.51</x:v>
      </x:c>
      <x:c r="D1079" s="195" t="n">
        <x:f>IFERROR(B1079-C1079,"")</x:f>
        <x:v>1.1099999999999999</x:v>
      </x:c>
    </x:row>
    <x:row r="1080">
      <x:c r="A1080" s="187" t="n">
        <x:v>43948</x:v>
      </x:c>
      <x:c r="B1080" s="195" t="n">
        <x:v>0.67</x:v>
      </x:c>
      <x:c r="C1080" s="195" t="n">
        <x:v>-0.5</x:v>
      </x:c>
      <x:c r="D1080" s="195" t="n">
        <x:f>IFERROR(B1080-C1080,"")</x:f>
        <x:v>1.17</x:v>
      </x:c>
    </x:row>
    <x:row r="1081">
      <x:c r="A1081" s="187" t="n">
        <x:v>43949</x:v>
      </x:c>
      <x:c r="B1081" s="195" t="n">
        <x:v>0.62</x:v>
      </x:c>
      <x:c r="C1081" s="195" t="n">
        <x:v>-0.52</x:v>
      </x:c>
      <x:c r="D1081" s="195" t="n">
        <x:f>IFERROR(B1081-C1081,"")</x:f>
        <x:v>1.1400000000000001</x:v>
      </x:c>
    </x:row>
    <x:row r="1082">
      <x:c r="A1082" s="187" t="n">
        <x:v>43950</x:v>
      </x:c>
      <x:c r="B1082" s="195" t="n">
        <x:v>0.63</x:v>
      </x:c>
      <x:c r="C1082" s="195" t="n">
        <x:v>-0.51</x:v>
      </x:c>
      <x:c r="D1082" s="195" t="n">
        <x:f>IFERROR(B1082-C1082,"")</x:f>
        <x:v>1.1400000000000001</x:v>
      </x:c>
    </x:row>
    <x:row r="1083">
      <x:c r="A1083" s="187" t="n">
        <x:v>43951</x:v>
      </x:c>
      <x:c r="B1083" s="195" t="n">
        <x:v>0.64</x:v>
      </x:c>
      <x:c r="C1083" s="195" t="n">
        <x:v>-0.43</x:v>
      </x:c>
      <x:c r="D1083" s="195" t="n">
        <x:f>IFERROR(B1083-C1083,"")</x:f>
        <x:v>1.07</x:v>
      </x:c>
    </x:row>
    <x:row r="1084">
      <x:c r="A1084" s="187" t="n">
        <x:v>43952</x:v>
      </x:c>
      <x:c r="B1084" s="195" t="n">
        <x:v>0.64</x:v>
      </x:c>
      <x:c r="C1084" s="195" t="n">
        <x:v>-0.42</x:v>
      </x:c>
      <x:c r="D1084" s="195" t="n">
        <x:f>IFERROR(B1084-C1084,"")</x:f>
        <x:v>1.06</x:v>
      </x:c>
    </x:row>
    <x:row r="1085">
      <x:c r="A1085" s="187" t="n">
        <x:v>43955</x:v>
      </x:c>
      <x:c r="B1085" s="195" t="n">
        <x:v>0.64</x:v>
      </x:c>
      <x:c r="C1085" s="195" t="n">
        <x:v>-0.43</x:v>
      </x:c>
      <x:c r="D1085" s="195" t="n">
        <x:f>IFERROR(B1085-C1085,"")</x:f>
        <x:v>1.07</x:v>
      </x:c>
    </x:row>
    <x:row r="1086">
      <x:c r="A1086" s="187" t="n">
        <x:v>43956</x:v>
      </x:c>
      <x:c r="B1086" s="195" t="n">
        <x:v>0.66</x:v>
      </x:c>
      <x:c r="C1086" s="195" t="n">
        <x:v>-0.44</x:v>
      </x:c>
      <x:c r="D1086" s="195" t="n">
        <x:f>IFERROR(B1086-C1086,"")</x:f>
        <x:v>1.1</x:v>
      </x:c>
    </x:row>
    <x:row r="1087">
      <x:c r="A1087" s="187" t="n">
        <x:v>43957</x:v>
      </x:c>
      <x:c r="B1087" s="195" t="n">
        <x:v>0.72</x:v>
      </x:c>
      <x:c r="C1087" s="195" t="n">
        <x:v>-0.38</x:v>
      </x:c>
      <x:c r="D1087" s="195" t="n">
        <x:f>IFERROR(B1087-C1087,"")</x:f>
        <x:v>1.1</x:v>
      </x:c>
    </x:row>
    <x:row r="1088">
      <x:c r="A1088" s="187" t="n">
        <x:v>43958</x:v>
      </x:c>
      <x:c r="B1088" s="195" t="n">
        <x:v>0.63</x:v>
      </x:c>
      <x:c r="C1088" s="195" t="n">
        <x:v>-0.45</x:v>
      </x:c>
      <x:c r="D1088" s="195" t="n">
        <x:f>IFERROR(B1088-C1088,"")</x:f>
        <x:v>1.08</x:v>
      </x:c>
    </x:row>
    <x:row r="1089">
      <x:c r="A1089" s="187" t="n">
        <x:v>43959</x:v>
      </x:c>
      <x:c r="B1089" s="195" t="n">
        <x:v>0.69</x:v>
      </x:c>
      <x:c r="C1089" s="195" t="n">
        <x:v>-0.43</x:v>
      </x:c>
      <x:c r="D1089" s="195" t="n">
        <x:f>IFERROR(B1089-C1089,"")</x:f>
        <x:v>1.1199999999999999</x:v>
      </x:c>
    </x:row>
    <x:row r="1090">
      <x:c r="A1090" s="187" t="n">
        <x:v>43962</x:v>
      </x:c>
      <x:c r="B1090" s="195" t="n">
        <x:v>0.73</x:v>
      </x:c>
      <x:c r="C1090" s="195" t="n">
        <x:v>-0.4</x:v>
      </x:c>
      <x:c r="D1090" s="195" t="n">
        <x:f>IFERROR(B1090-C1090,"")</x:f>
        <x:v>1.13</x:v>
      </x:c>
    </x:row>
    <x:row r="1091">
      <x:c r="A1091" s="187" t="n">
        <x:v>43963</x:v>
      </x:c>
      <x:c r="B1091" s="195" t="n">
        <x:v>0.69</x:v>
      </x:c>
      <x:c r="C1091" s="195" t="n">
        <x:v>-0.4</x:v>
      </x:c>
      <x:c r="D1091" s="195" t="n">
        <x:f>IFERROR(B1091-C1091,"")</x:f>
        <x:v>1.0899999999999999</x:v>
      </x:c>
    </x:row>
    <x:row r="1092">
      <x:c r="A1092" s="187" t="n">
        <x:v>43964</x:v>
      </x:c>
      <x:c r="B1092" s="195" t="n">
        <x:v>0.64</x:v>
      </x:c>
      <x:c r="C1092" s="195" t="n">
        <x:v>-0.43</x:v>
      </x:c>
      <x:c r="D1092" s="195" t="n">
        <x:f>IFERROR(B1092-C1092,"")</x:f>
        <x:v>1.07</x:v>
      </x:c>
    </x:row>
    <x:row r="1093">
      <x:c r="A1093" s="187" t="n">
        <x:v>43965</x:v>
      </x:c>
      <x:c r="B1093" s="195" t="n">
        <x:v>0.63</x:v>
      </x:c>
      <x:c r="C1093" s="195" t="n">
        <x:v>-0.43</x:v>
      </x:c>
      <x:c r="D1093" s="195" t="n">
        <x:f>IFERROR(B1093-C1093,"")</x:f>
        <x:v>1.06</x:v>
      </x:c>
    </x:row>
    <x:row r="1094">
      <x:c r="A1094" s="187" t="n">
        <x:v>43966</x:v>
      </x:c>
      <x:c r="B1094" s="195" t="n">
        <x:v>0.64</x:v>
      </x:c>
      <x:c r="C1094" s="195" t="n">
        <x:v>-0.45</x:v>
      </x:c>
      <x:c r="D1094" s="195" t="n">
        <x:f>IFERROR(B1094-C1094,"")</x:f>
        <x:v>1.09</x:v>
      </x:c>
    </x:row>
    <x:row r="1095">
      <x:c r="A1095" s="187" t="n">
        <x:v>43969</x:v>
      </x:c>
      <x:c r="B1095" s="195" t="n">
        <x:v>0.73</x:v>
      </x:c>
      <x:c r="C1095" s="195" t="n">
        <x:v>-0.44</x:v>
      </x:c>
      <x:c r="D1095" s="195" t="n">
        <x:f>IFERROR(B1095-C1095,"")</x:f>
        <x:v>1.17</x:v>
      </x:c>
    </x:row>
    <x:row r="1096">
      <x:c r="A1096" s="187" t="n">
        <x:v>43970</x:v>
      </x:c>
      <x:c r="B1096" s="195" t="n">
        <x:v>0.7</x:v>
      </x:c>
      <x:c r="C1096" s="195" t="n">
        <x:v>-0.45</x:v>
      </x:c>
      <x:c r="D1096" s="195" t="n">
        <x:f>IFERROR(B1096-C1096,"")</x:f>
        <x:v>1.15</x:v>
      </x:c>
    </x:row>
    <x:row r="1097">
      <x:c r="A1097" s="187" t="n">
        <x:v>43971</x:v>
      </x:c>
      <x:c r="B1097" s="195" t="n">
        <x:v>0.68</x:v>
      </x:c>
      <x:c r="C1097" s="195" t="n">
        <x:v>-0.48</x:v>
      </x:c>
      <x:c r="D1097" s="195" t="n">
        <x:f>IFERROR(B1097-C1097,"")</x:f>
        <x:v>1.1600000000000001</x:v>
      </x:c>
    </x:row>
    <x:row r="1098">
      <x:c r="A1098" s="187" t="n">
        <x:v>43972</x:v>
      </x:c>
      <x:c r="B1098" s="195" t="n">
        <x:v>0.68</x:v>
      </x:c>
      <x:c r="C1098" s="195" t="n">
        <x:v>-0.46</x:v>
      </x:c>
      <x:c r="D1098" s="195" t="n">
        <x:f>IFERROR(B1098-C1098,"")</x:f>
        <x:v>1.1400000000000001</x:v>
      </x:c>
    </x:row>
    <x:row r="1099">
      <x:c r="A1099" s="187" t="n">
        <x:v>43973</x:v>
      </x:c>
      <x:c r="B1099" s="195" t="n">
        <x:v>0.66</x:v>
      </x:c>
      <x:c r="C1099" s="195" t="n">
        <x:v>-0.46</x:v>
      </x:c>
      <x:c r="D1099" s="195" t="n">
        <x:f>IFERROR(B1099-C1099,"")</x:f>
        <x:v>1.12</x:v>
      </x:c>
    </x:row>
    <x:row r="1100">
      <x:c r="A1100" s="187" t="n">
        <x:v>43977</x:v>
      </x:c>
      <x:c r="B1100" s="195" t="n">
        <x:v>0.69</x:v>
      </x:c>
      <x:c r="C1100" s="195" t="n">
        <x:v>-0.44</x:v>
      </x:c>
      <x:c r="D1100" s="195" t="n">
        <x:f>IFERROR(B1100-C1100,"")</x:f>
        <x:v>1.13</x:v>
      </x:c>
    </x:row>
    <x:row r="1101">
      <x:c r="A1101" s="187" t="n">
        <x:v>43978</x:v>
      </x:c>
      <x:c r="B1101" s="195" t="n">
        <x:v>0.68</x:v>
      </x:c>
      <x:c r="C1101" s="195" t="n">
        <x:v>-0.46</x:v>
      </x:c>
      <x:c r="D1101" s="195" t="n">
        <x:f>IFERROR(B1101-C1101,"")</x:f>
        <x:v>1.1400000000000001</x:v>
      </x:c>
    </x:row>
    <x:row r="1102">
      <x:c r="A1102" s="187" t="n">
        <x:v>43979</x:v>
      </x:c>
      <x:c r="B1102" s="195" t="n">
        <x:v>0.7</x:v>
      </x:c>
      <x:c r="C1102" s="195" t="n">
        <x:v>-0.48</x:v>
      </x:c>
      <x:c r="D1102" s="195" t="n">
        <x:f>IFERROR(B1102-C1102,"")</x:f>
        <x:v>1.18</x:v>
      </x:c>
    </x:row>
    <x:row r="1103">
      <x:c r="A1103" s="187" t="n">
        <x:v>43980</x:v>
      </x:c>
      <x:c r="B1103" s="195" t="n">
        <x:v>0.65</x:v>
      </x:c>
      <x:c r="C1103" s="195" t="n">
        <x:v>-0.5</x:v>
      </x:c>
      <x:c r="D1103" s="195" t="n">
        <x:f>IFERROR(B1103-C1103,"")</x:f>
        <x:v>1.15</x:v>
      </x:c>
    </x:row>
    <x:row r="1104">
      <x:c r="A1104" s="187" t="n">
        <x:v>43983</x:v>
      </x:c>
      <x:c r="B1104" s="195" t="n">
        <x:v>0.66</x:v>
      </x:c>
      <x:c r="C1104" s="195" t="n">
        <x:v>-0.52</x:v>
      </x:c>
      <x:c r="D1104" s="195" t="n">
        <x:f>IFERROR(B1104-C1104,"")</x:f>
        <x:v>1.1800000000000002</x:v>
      </x:c>
    </x:row>
    <x:row r="1105">
      <x:c r="A1105" s="187" t="n">
        <x:v>43984</x:v>
      </x:c>
      <x:c r="B1105" s="195" t="n">
        <x:v>0.68</x:v>
      </x:c>
      <x:c r="C1105" s="195" t="n">
        <x:v>-0.5</x:v>
      </x:c>
      <x:c r="D1105" s="195" t="n">
        <x:f>IFERROR(B1105-C1105,"")</x:f>
        <x:v>1.1800000000000002</x:v>
      </x:c>
    </x:row>
    <x:row r="1106">
      <x:c r="A1106" s="187" t="n">
        <x:v>43985</x:v>
      </x:c>
      <x:c r="B1106" s="195" t="n">
        <x:v>0.77</x:v>
      </x:c>
      <x:c r="C1106" s="195" t="n">
        <x:v>-0.44</x:v>
      </x:c>
      <x:c r="D1106" s="195" t="n">
        <x:f>IFERROR(B1106-C1106,"")</x:f>
        <x:v>1.21</x:v>
      </x:c>
    </x:row>
    <x:row r="1107">
      <x:c r="A1107" s="187" t="n">
        <x:v>43986</x:v>
      </x:c>
      <x:c r="B1107" s="195" t="n">
        <x:v>0.82</x:v>
      </x:c>
      <x:c r="C1107" s="195" t="n">
        <x:v>-0.4</x:v>
      </x:c>
      <x:c r="D1107" s="195" t="n">
        <x:f>IFERROR(B1107-C1107,"")</x:f>
        <x:v>1.22</x:v>
      </x:c>
    </x:row>
    <x:row r="1108">
      <x:c r="A1108" s="187" t="n">
        <x:v>43987</x:v>
      </x:c>
      <x:c r="B1108" s="195" t="n">
        <x:v>0.91</x:v>
      </x:c>
      <x:c r="C1108" s="195" t="n">
        <x:v>-0.36</x:v>
      </x:c>
      <x:c r="D1108" s="195" t="n">
        <x:f>IFERROR(B1108-C1108,"")</x:f>
        <x:v>1.27</x:v>
      </x:c>
    </x:row>
    <x:row r="1109">
      <x:c r="A1109" s="187" t="n">
        <x:v>43990</x:v>
      </x:c>
      <x:c r="B1109" s="195" t="n">
        <x:v>0.88</x:v>
      </x:c>
      <x:c r="C1109" s="195" t="n">
        <x:v>-0.4</x:v>
      </x:c>
      <x:c r="D1109" s="195" t="n">
        <x:f>IFERROR(B1109-C1109,"")</x:f>
        <x:v>1.28</x:v>
      </x:c>
    </x:row>
    <x:row r="1110">
      <x:c r="A1110" s="187" t="n">
        <x:v>43991</x:v>
      </x:c>
      <x:c r="B1110" s="195" t="n">
        <x:v>0.84</x:v>
      </x:c>
      <x:c r="C1110" s="195" t="n">
        <x:v>-0.42</x:v>
      </x:c>
      <x:c r="D1110" s="195" t="n">
        <x:f>IFERROR(B1110-C1110,"")</x:f>
        <x:v>1.26</x:v>
      </x:c>
    </x:row>
    <x:row r="1111">
      <x:c r="A1111" s="187" t="n">
        <x:v>43992</x:v>
      </x:c>
      <x:c r="B1111" s="195" t="n">
        <x:v>0.75</x:v>
      </x:c>
      <x:c r="C1111" s="195" t="n">
        <x:v>-0.52</x:v>
      </x:c>
      <x:c r="D1111" s="195" t="n">
        <x:f>IFERROR(B1111-C1111,"")</x:f>
        <x:v>1.27</x:v>
      </x:c>
    </x:row>
    <x:row r="1112">
      <x:c r="A1112" s="187" t="n">
        <x:v>43993</x:v>
      </x:c>
      <x:c r="B1112" s="195" t="n">
        <x:v>0.66</x:v>
      </x:c>
      <x:c r="C1112" s="195" t="n">
        <x:v>-0.55</x:v>
      </x:c>
      <x:c r="D1112" s="195" t="n">
        <x:f>IFERROR(B1112-C1112,"")</x:f>
        <x:v>1.21</x:v>
      </x:c>
    </x:row>
    <x:row r="1113">
      <x:c r="A1113" s="187" t="n">
        <x:v>43994</x:v>
      </x:c>
      <x:c r="B1113" s="195" t="n">
        <x:v>0.71</x:v>
      </x:c>
      <x:c r="C1113" s="195" t="n">
        <x:v>-0.5</x:v>
      </x:c>
      <x:c r="D1113" s="195" t="n">
        <x:f>IFERROR(B1113-C1113,"")</x:f>
        <x:v>1.21</x:v>
      </x:c>
    </x:row>
    <x:row r="1114">
      <x:c r="A1114" s="187" t="n">
        <x:v>43997</x:v>
      </x:c>
      <x:c r="B1114" s="195" t="n">
        <x:v>0.71</x:v>
      </x:c>
      <x:c r="C1114" s="195" t="n">
        <x:v>-0.52</x:v>
      </x:c>
      <x:c r="D1114" s="195" t="n">
        <x:f>IFERROR(B1114-C1114,"")</x:f>
        <x:v>1.23</x:v>
      </x:c>
    </x:row>
    <x:row r="1115">
      <x:c r="A1115" s="187" t="n">
        <x:v>43998</x:v>
      </x:c>
      <x:c r="B1115" s="195" t="n">
        <x:v>0.75</x:v>
      </x:c>
      <x:c r="C1115" s="195" t="n">
        <x:v>-0.52</x:v>
      </x:c>
      <x:c r="D1115" s="195" t="n">
        <x:f>IFERROR(B1115-C1115,"")</x:f>
        <x:v>1.27</x:v>
      </x:c>
    </x:row>
    <x:row r="1116">
      <x:c r="A1116" s="187" t="n">
        <x:v>43999</x:v>
      </x:c>
      <x:c r="B1116" s="195" t="n">
        <x:v>0.74</x:v>
      </x:c>
      <x:c r="C1116" s="195" t="n">
        <x:v>-0.52</x:v>
      </x:c>
      <x:c r="D1116" s="195" t="n">
        <x:f>IFERROR(B1116-C1116,"")</x:f>
        <x:v>1.26</x:v>
      </x:c>
    </x:row>
    <x:row r="1117">
      <x:c r="A1117" s="187" t="n">
        <x:v>44000</x:v>
      </x:c>
      <x:c r="B1117" s="195" t="n">
        <x:v>0.71</x:v>
      </x:c>
      <x:c r="C1117" s="195" t="n">
        <x:v>-0.57</x:v>
      </x:c>
      <x:c r="D1117" s="195" t="n">
        <x:f>IFERROR(B1117-C1117,"")</x:f>
        <x:v>1.2799999999999998</x:v>
      </x:c>
    </x:row>
    <x:row r="1118">
      <x:c r="A1118" s="187" t="n">
        <x:v>44001</x:v>
      </x:c>
      <x:c r="B1118" s="195" t="n">
        <x:v>0.7</x:v>
      </x:c>
      <x:c r="C1118" s="195" t="n">
        <x:v>-0.6</x:v>
      </x:c>
      <x:c r="D1118" s="195" t="n">
        <x:f>IFERROR(B1118-C1118,"")</x:f>
        <x:v>1.2999999999999998</x:v>
      </x:c>
    </x:row>
    <x:row r="1119">
      <x:c r="A1119" s="187" t="n">
        <x:v>44004</x:v>
      </x:c>
      <x:c r="B1119" s="195" t="n">
        <x:v>0.71</x:v>
      </x:c>
      <x:c r="C1119" s="195" t="n">
        <x:v>-0.63</x:v>
      </x:c>
      <x:c r="D1119" s="195" t="n">
        <x:f>IFERROR(B1119-C1119,"")</x:f>
        <x:v>1.3399999999999999</x:v>
      </x:c>
    </x:row>
    <x:row r="1120">
      <x:c r="A1120" s="187" t="n">
        <x:v>44005</x:v>
      </x:c>
      <x:c r="B1120" s="195" t="n">
        <x:v>0.72</x:v>
      </x:c>
      <x:c r="C1120" s="195" t="n">
        <x:v>-0.66</x:v>
      </x:c>
      <x:c r="D1120" s="195" t="n">
        <x:f>IFERROR(B1120-C1120,"")</x:f>
        <x:v>1.38</x:v>
      </x:c>
    </x:row>
    <x:row r="1121">
      <x:c r="A1121" s="187" t="n">
        <x:v>44006</x:v>
      </x:c>
      <x:c r="B1121" s="195" t="n">
        <x:v>0.69</x:v>
      </x:c>
      <x:c r="C1121" s="195" t="n">
        <x:v>-0.64</x:v>
      </x:c>
      <x:c r="D1121" s="195" t="n">
        <x:f>IFERROR(B1121-C1121,"")</x:f>
        <x:v>1.33</x:v>
      </x:c>
    </x:row>
    <x:row r="1122">
      <x:c r="A1122" s="187" t="n">
        <x:v>44007</x:v>
      </x:c>
      <x:c r="B1122" s="195" t="n">
        <x:v>0.68</x:v>
      </x:c>
      <x:c r="C1122" s="195" t="n">
        <x:v>-0.65</x:v>
      </x:c>
      <x:c r="D1122" s="195" t="n">
        <x:f>IFERROR(B1122-C1122,"")</x:f>
        <x:v>1.33</x:v>
      </x:c>
    </x:row>
    <x:row r="1123">
      <x:c r="A1123" s="187" t="n">
        <x:v>44008</x:v>
      </x:c>
      <x:c r="B1123" s="195" t="n">
        <x:v>0.64</x:v>
      </x:c>
      <x:c r="C1123" s="195" t="n">
        <x:v>-0.68</x:v>
      </x:c>
      <x:c r="D1123" s="195" t="n">
        <x:f>IFERROR(B1123-C1123,"")</x:f>
        <x:v>1.32</x:v>
      </x:c>
    </x:row>
    <x:row r="1124">
      <x:c r="A1124" s="187" t="n">
        <x:v>44011</x:v>
      </x:c>
      <x:c r="B1124" s="195" t="n">
        <x:v>0.64</x:v>
      </x:c>
      <x:c r="C1124" s="195" t="n">
        <x:v>-0.7</x:v>
      </x:c>
      <x:c r="D1124" s="195" t="n">
        <x:f>IFERROR(B1124-C1124,"")</x:f>
        <x:v>1.3399999999999999</x:v>
      </x:c>
    </x:row>
    <x:row r="1125">
      <x:c r="A1125" s="187" t="n">
        <x:v>44012</x:v>
      </x:c>
      <x:c r="B1125" s="195" t="n">
        <x:v>0.66</x:v>
      </x:c>
      <x:c r="C1125" s="195" t="n">
        <x:v>-0.68</x:v>
      </x:c>
      <x:c r="D1125" s="195" t="n">
        <x:f>IFERROR(B1125-C1125,"")</x:f>
        <x:v>1.34</x:v>
      </x:c>
    </x:row>
    <x:row r="1126">
      <x:c r="A1126" s="187" t="n">
        <x:v>44013</x:v>
      </x:c>
      <x:c r="B1126" s="195" t="n">
        <x:v>0.69</x:v>
      </x:c>
      <x:c r="C1126" s="195" t="n">
        <x:v>-0.68</x:v>
      </x:c>
      <x:c r="D1126" s="195" t="n">
        <x:f>IFERROR(B1126-C1126,"")</x:f>
        <x:v>1.37</x:v>
      </x:c>
    </x:row>
    <x:row r="1127">
      <x:c r="A1127" s="187" t="n">
        <x:v>44014</x:v>
      </x:c>
      <x:c r="B1127" s="195" t="n">
        <x:v>0.68</x:v>
      </x:c>
      <x:c r="C1127" s="195" t="n">
        <x:v>-0.73</x:v>
      </x:c>
      <x:c r="D1127" s="195" t="n">
        <x:f>IFERROR(B1127-C1127,"")</x:f>
        <x:v>1.4100000000000001</x:v>
      </x:c>
    </x:row>
    <x:row r="1128">
      <x:c r="A1128" s="187" t="n">
        <x:v>44018</x:v>
      </x:c>
      <x:c r="B1128" s="195" t="n">
        <x:v>0.69</x:v>
      </x:c>
      <x:c r="C1128" s="195" t="n">
        <x:v>-0.76</x:v>
      </x:c>
      <x:c r="D1128" s="195" t="n">
        <x:f>IFERROR(B1128-C1128,"")</x:f>
        <x:v>1.45</x:v>
      </x:c>
    </x:row>
    <x:row r="1129">
      <x:c r="A1129" s="187" t="n">
        <x:v>44019</x:v>
      </x:c>
      <x:c r="B1129" s="195" t="n">
        <x:v>0.65</x:v>
      </x:c>
      <x:c r="C1129" s="195" t="n">
        <x:v>-0.78</x:v>
      </x:c>
      <x:c r="D1129" s="195" t="n">
        <x:f>IFERROR(B1129-C1129,"")</x:f>
        <x:v>1.4300000000000002</x:v>
      </x:c>
    </x:row>
    <x:row r="1130">
      <x:c r="A1130" s="187" t="n">
        <x:v>44020</x:v>
      </x:c>
      <x:c r="B1130" s="195" t="n">
        <x:v>0.67</x:v>
      </x:c>
      <x:c r="C1130" s="195" t="n">
        <x:v>-0.75</x:v>
      </x:c>
      <x:c r="D1130" s="195" t="n">
        <x:f>IFERROR(B1130-C1130,"")</x:f>
        <x:v>1.42</x:v>
      </x:c>
    </x:row>
    <x:row r="1131">
      <x:c r="A1131" s="187" t="n">
        <x:v>44021</x:v>
      </x:c>
      <x:c r="B1131" s="195" t="n">
        <x:v>0.62</x:v>
      </x:c>
      <x:c r="C1131" s="195" t="n">
        <x:v>-0.77</x:v>
      </x:c>
      <x:c r="D1131" s="195" t="n">
        <x:f>IFERROR(B1131-C1131,"")</x:f>
        <x:v>1.3900000000000001</x:v>
      </x:c>
    </x:row>
    <x:row r="1132">
      <x:c r="A1132" s="187" t="n">
        <x:v>44022</x:v>
      </x:c>
      <x:c r="B1132" s="195" t="n">
        <x:v>0.65</x:v>
      </x:c>
      <x:c r="C1132" s="195" t="n">
        <x:v>-0.76</x:v>
      </x:c>
      <x:c r="D1132" s="195" t="n">
        <x:f>IFERROR(B1132-C1132,"")</x:f>
        <x:v>1.4100000000000001</x:v>
      </x:c>
    </x:row>
    <x:row r="1133">
      <x:c r="A1133" s="187" t="n">
        <x:v>44025</x:v>
      </x:c>
      <x:c r="B1133" s="195" t="n">
        <x:v>0.64</x:v>
      </x:c>
      <x:c r="C1133" s="195" t="n">
        <x:v>-0.78</x:v>
      </x:c>
      <x:c r="D1133" s="195" t="n">
        <x:f>IFERROR(B1133-C1133,"")</x:f>
        <x:v>1.42</x:v>
      </x:c>
    </x:row>
    <x:row r="1134">
      <x:c r="A1134" s="187" t="n">
        <x:v>44026</x:v>
      </x:c>
      <x:c r="B1134" s="195" t="n">
        <x:v>0.63</x:v>
      </x:c>
      <x:c r="C1134" s="195" t="n">
        <x:v>-0.78</x:v>
      </x:c>
      <x:c r="D1134" s="195" t="n">
        <x:f>IFERROR(B1134-C1134,"")</x:f>
        <x:v>1.4100000000000001</x:v>
      </x:c>
    </x:row>
    <x:row r="1135">
      <x:c r="A1135" s="187" t="n">
        <x:v>44027</x:v>
      </x:c>
      <x:c r="B1135" s="195" t="n">
        <x:v>0.64</x:v>
      </x:c>
      <x:c r="C1135" s="195" t="n">
        <x:v>-0.77</x:v>
      </x:c>
      <x:c r="D1135" s="195" t="n">
        <x:f>IFERROR(B1135-C1135,"")</x:f>
        <x:v>1.4100000000000001</x:v>
      </x:c>
    </x:row>
    <x:row r="1136">
      <x:c r="A1136" s="187" t="n">
        <x:v>44028</x:v>
      </x:c>
      <x:c r="B1136" s="195" t="n">
        <x:v>0.62</x:v>
      </x:c>
      <x:c r="C1136" s="195" t="n">
        <x:v>-0.79</x:v>
      </x:c>
      <x:c r="D1136" s="195" t="n">
        <x:f>IFERROR(B1136-C1136,"")</x:f>
        <x:v>1.4100000000000001</x:v>
      </x:c>
    </x:row>
    <x:row r="1137">
      <x:c r="A1137" s="187" t="n">
        <x:v>44029</x:v>
      </x:c>
      <x:c r="B1137" s="195" t="n">
        <x:v>0.64</x:v>
      </x:c>
      <x:c r="C1137" s="195" t="n">
        <x:v>-0.82</x:v>
      </x:c>
      <x:c r="D1137" s="195" t="n">
        <x:f>IFERROR(B1137-C1137,"")</x:f>
        <x:v>1.46</x:v>
      </x:c>
    </x:row>
    <x:row r="1138">
      <x:c r="A1138" s="187" t="n">
        <x:v>44032</x:v>
      </x:c>
      <x:c r="B1138" s="195" t="n">
        <x:v>0.62</x:v>
      </x:c>
      <x:c r="C1138" s="195" t="n">
        <x:v>-0.84</x:v>
      </x:c>
      <x:c r="D1138" s="195" t="n">
        <x:f>IFERROR(B1138-C1138,"")</x:f>
        <x:v>1.46</x:v>
      </x:c>
    </x:row>
    <x:row r="1139">
      <x:c r="A1139" s="187" t="n">
        <x:v>44033</x:v>
      </x:c>
      <x:c r="B1139" s="195" t="n">
        <x:v>0.61</x:v>
      </x:c>
      <x:c r="C1139" s="195" t="n">
        <x:v>-0.87</x:v>
      </x:c>
      <x:c r="D1139" s="195" t="n">
        <x:f>IFERROR(B1139-C1139,"")</x:f>
        <x:v>1.48</x:v>
      </x:c>
    </x:row>
    <x:row r="1140">
      <x:c r="A1140" s="187" t="n">
        <x:v>44034</x:v>
      </x:c>
      <x:c r="B1140" s="195" t="n">
        <x:v>0.6</x:v>
      </x:c>
      <x:c r="C1140" s="195" t="n">
        <x:v>-0.88</x:v>
      </x:c>
      <x:c r="D1140" s="195" t="n">
        <x:f>IFERROR(B1140-C1140,"")</x:f>
        <x:v>1.48</x:v>
      </x:c>
    </x:row>
    <x:row r="1141">
      <x:c r="A1141" s="187" t="n">
        <x:v>44035</x:v>
      </x:c>
      <x:c r="B1141" s="195" t="n">
        <x:v>0.59</x:v>
      </x:c>
      <x:c r="C1141" s="195" t="n">
        <x:v>-0.9</x:v>
      </x:c>
      <x:c r="D1141" s="195" t="n">
        <x:f>IFERROR(B1141-C1141,"")</x:f>
        <x:v>1.49</x:v>
      </x:c>
    </x:row>
    <x:row r="1142">
      <x:c r="A1142" s="187" t="n">
        <x:v>44036</x:v>
      </x:c>
      <x:c r="B1142" s="195" t="n">
        <x:v>0.59</x:v>
      </x:c>
      <x:c r="C1142" s="195" t="n">
        <x:v>-0.92</x:v>
      </x:c>
      <x:c r="D1142" s="195" t="n">
        <x:f>IFERROR(B1142-C1142,"")</x:f>
        <x:v>1.51</x:v>
      </x:c>
    </x:row>
    <x:row r="1143">
      <x:c r="A1143" s="187" t="n">
        <x:v>44039</x:v>
      </x:c>
      <x:c r="B1143" s="195" t="n">
        <x:v>0.62</x:v>
      </x:c>
      <x:c r="C1143" s="195" t="n">
        <x:v>-0.9</x:v>
      </x:c>
      <x:c r="D1143" s="195" t="n">
        <x:f>IFERROR(B1143-C1143,"")</x:f>
        <x:v>1.52</x:v>
      </x:c>
    </x:row>
    <x:row r="1144">
      <x:c r="A1144" s="187" t="n">
        <x:v>44040</x:v>
      </x:c>
      <x:c r="B1144" s="195" t="n">
        <x:v>0.59</x:v>
      </x:c>
      <x:c r="C1144" s="195" t="n">
        <x:v>-0.92</x:v>
      </x:c>
      <x:c r="D1144" s="195" t="n">
        <x:f>IFERROR(B1144-C1144,"")</x:f>
        <x:v>1.51</x:v>
      </x:c>
    </x:row>
    <x:row r="1145">
      <x:c r="A1145" s="187" t="n">
        <x:v>44041</x:v>
      </x:c>
      <x:c r="B1145" s="195" t="n">
        <x:v>0.58</x:v>
      </x:c>
      <x:c r="C1145" s="195" t="n">
        <x:v>-0.95</x:v>
      </x:c>
      <x:c r="D1145" s="195" t="n">
        <x:f>IFERROR(B1145-C1145,"")</x:f>
        <x:v>1.5299999999999998</x:v>
      </x:c>
    </x:row>
    <x:row r="1146">
      <x:c r="A1146" s="187" t="n">
        <x:v>44042</x:v>
      </x:c>
      <x:c r="B1146" s="195" t="n">
        <x:v>0.55</x:v>
      </x:c>
      <x:c r="C1146" s="195" t="n">
        <x:v>-0.97</x:v>
      </x:c>
      <x:c r="D1146" s="195" t="n">
        <x:f>IFERROR(B1146-C1146,"")</x:f>
        <x:v>1.52</x:v>
      </x:c>
    </x:row>
    <x:row r="1147">
      <x:c r="A1147" s="187" t="n">
        <x:v>44043</x:v>
      </x:c>
      <x:c r="B1147" s="195" t="n">
        <x:v>0.55</x:v>
      </x:c>
      <x:c r="C1147" s="195" t="n">
        <x:v>-1</x:v>
      </x:c>
      <x:c r="D1147" s="195" t="n">
        <x:f>IFERROR(B1147-C1147,"")</x:f>
        <x:v>1.55</x:v>
      </x:c>
    </x:row>
    <x:row r="1148">
      <x:c r="A1148" s="187" t="n">
        <x:v>44046</x:v>
      </x:c>
      <x:c r="B1148" s="195" t="n">
        <x:v>0.56</x:v>
      </x:c>
      <x:c r="C1148" s="195" t="n">
        <x:v>-1.02</x:v>
      </x:c>
      <x:c r="D1148" s="195" t="n">
        <x:f>IFERROR(B1148-C1148,"")</x:f>
        <x:v>1.58</x:v>
      </x:c>
    </x:row>
    <x:row r="1149">
      <x:c r="A1149" s="187" t="n">
        <x:v>44047</x:v>
      </x:c>
      <x:c r="B1149" s="195" t="n">
        <x:v>0.52</x:v>
      </x:c>
      <x:c r="C1149" s="195" t="n">
        <x:v>-1.05</x:v>
      </x:c>
      <x:c r="D1149" s="195" t="n">
        <x:f>IFERROR(B1149-C1149,"")</x:f>
        <x:v>1.57</x:v>
      </x:c>
    </x:row>
    <x:row r="1150">
      <x:c r="A1150" s="187" t="n">
        <x:v>44048</x:v>
      </x:c>
      <x:c r="B1150" s="195" t="n">
        <x:v>0.55</x:v>
      </x:c>
      <x:c r="C1150" s="195" t="n">
        <x:v>-1.06</x:v>
      </x:c>
      <x:c r="D1150" s="195" t="n">
        <x:f>IFERROR(B1150-C1150,"")</x:f>
        <x:v>1.61</x:v>
      </x:c>
    </x:row>
    <x:row r="1151">
      <x:c r="A1151" s="187" t="n">
        <x:v>44049</x:v>
      </x:c>
      <x:c r="B1151" s="195" t="n">
        <x:v>0.55</x:v>
      </x:c>
      <x:c r="C1151" s="195" t="n">
        <x:v>-1.08</x:v>
      </x:c>
      <x:c r="D1151" s="195" t="n">
        <x:f>IFERROR(B1151-C1151,"")</x:f>
        <x:v>1.6300000000000001</x:v>
      </x:c>
    </x:row>
    <x:row r="1152">
      <x:c r="A1152" s="187" t="n">
        <x:v>44050</x:v>
      </x:c>
      <x:c r="B1152" s="195" t="n">
        <x:v>0.57</x:v>
      </x:c>
      <x:c r="C1152" s="195" t="n">
        <x:v>-1.04</x:v>
      </x:c>
      <x:c r="D1152" s="195" t="n">
        <x:f>IFERROR(B1152-C1152,"")</x:f>
        <x:v>1.6099999999999999</x:v>
      </x:c>
    </x:row>
    <x:row r="1153">
      <x:c r="A1153" s="187" t="n">
        <x:v>44053</x:v>
      </x:c>
      <x:c r="B1153" s="195" t="n">
        <x:v>0.59</x:v>
      </x:c>
      <x:c r="C1153" s="195" t="n">
        <x:v>-1.02</x:v>
      </x:c>
      <x:c r="D1153" s="195" t="n">
        <x:f>IFERROR(B1153-C1153,"")</x:f>
        <x:v>1.6099999999999999</x:v>
      </x:c>
    </x:row>
    <x:row r="1154">
      <x:c r="A1154" s="187" t="n">
        <x:v>44054</x:v>
      </x:c>
      <x:c r="B1154" s="195" t="n">
        <x:v>0.64</x:v>
      </x:c>
      <x:c r="C1154" s="195" t="n">
        <x:v>-0.99</x:v>
      </x:c>
      <x:c r="D1154" s="195" t="n">
        <x:f>IFERROR(B1154-C1154,"")</x:f>
        <x:v>1.63</x:v>
      </x:c>
    </x:row>
    <x:row r="1155">
      <x:c r="A1155" s="187" t="n">
        <x:v>44055</x:v>
      </x:c>
      <x:c r="B1155" s="195" t="n">
        <x:v>0.69</x:v>
      </x:c>
      <x:c r="C1155" s="195" t="n">
        <x:v>-0.98</x:v>
      </x:c>
      <x:c r="D1155" s="195" t="n">
        <x:f>IFERROR(B1155-C1155,"")</x:f>
        <x:v>1.67</x:v>
      </x:c>
    </x:row>
    <x:row r="1156">
      <x:c r="A1156" s="187" t="n">
        <x:v>44056</x:v>
      </x:c>
      <x:c r="B1156" s="195" t="n">
        <x:v>0.71</x:v>
      </x:c>
      <x:c r="C1156" s="195" t="n">
        <x:v>-0.96</x:v>
      </x:c>
      <x:c r="D1156" s="195" t="n">
        <x:f>IFERROR(B1156-C1156,"")</x:f>
        <x:v>1.67</x:v>
      </x:c>
    </x:row>
    <x:row r="1157">
      <x:c r="A1157" s="187" t="n">
        <x:v>44057</x:v>
      </x:c>
      <x:c r="B1157" s="195" t="n">
        <x:v>0.71</x:v>
      </x:c>
      <x:c r="C1157" s="195" t="n">
        <x:v>-0.94</x:v>
      </x:c>
      <x:c r="D1157" s="195" t="n">
        <x:f>IFERROR(B1157-C1157,"")</x:f>
        <x:v>1.65</x:v>
      </x:c>
    </x:row>
    <x:row r="1158">
      <x:c r="A1158" s="187" t="n">
        <x:v>44060</x:v>
      </x:c>
      <x:c r="B1158" s="195" t="n">
        <x:v>0.69</x:v>
      </x:c>
      <x:c r="C1158" s="195" t="n">
        <x:v>-0.97</x:v>
      </x:c>
      <x:c r="D1158" s="195" t="n">
        <x:f>IFERROR(B1158-C1158,"")</x:f>
        <x:v>1.66</x:v>
      </x:c>
    </x:row>
    <x:row r="1159">
      <x:c r="A1159" s="187" t="n">
        <x:v>44061</x:v>
      </x:c>
      <x:c r="B1159" s="195" t="n">
        <x:v>0.67</x:v>
      </x:c>
      <x:c r="C1159" s="195" t="n">
        <x:v>-1.01</x:v>
      </x:c>
      <x:c r="D1159" s="195" t="n">
        <x:f>IFERROR(B1159-C1159,"")</x:f>
        <x:v>1.6800000000000002</x:v>
      </x:c>
    </x:row>
    <x:row r="1160">
      <x:c r="A1160" s="187" t="n">
        <x:v>44062</x:v>
      </x:c>
      <x:c r="B1160" s="195" t="n">
        <x:v>0.68</x:v>
      </x:c>
      <x:c r="C1160" s="195" t="n">
        <x:v>-0.99</x:v>
      </x:c>
      <x:c r="D1160" s="195" t="n">
        <x:f>IFERROR(B1160-C1160,"")</x:f>
        <x:v>1.67</x:v>
      </x:c>
    </x:row>
    <x:row r="1161">
      <x:c r="A1161" s="187" t="n">
        <x:v>44063</x:v>
      </x:c>
      <x:c r="B1161" s="195" t="n">
        <x:v>0.65</x:v>
      </x:c>
      <x:c r="C1161" s="195" t="n">
        <x:v>-0.97</x:v>
      </x:c>
      <x:c r="D1161" s="195" t="n">
        <x:f>IFERROR(B1161-C1161,"")</x:f>
        <x:v>1.62</x:v>
      </x:c>
    </x:row>
    <x:row r="1162">
      <x:c r="A1162" s="187" t="n">
        <x:v>44064</x:v>
      </x:c>
      <x:c r="B1162" s="195" t="n">
        <x:v>0.64</x:v>
      </x:c>
      <x:c r="C1162" s="195" t="n">
        <x:v>-1</x:v>
      </x:c>
      <x:c r="D1162" s="195" t="n">
        <x:f>IFERROR(B1162-C1162,"")</x:f>
        <x:v>1.6400000000000001</x:v>
      </x:c>
    </x:row>
    <x:row r="1163">
      <x:c r="A1163" s="187" t="n">
        <x:v>44067</x:v>
      </x:c>
      <x:c r="B1163" s="195" t="n">
        <x:v>0.65</x:v>
      </x:c>
      <x:c r="C1163" s="195" t="n">
        <x:v>-1.02</x:v>
      </x:c>
      <x:c r="D1163" s="195" t="n">
        <x:f>IFERROR(B1163-C1163,"")</x:f>
        <x:v>1.67</x:v>
      </x:c>
    </x:row>
    <x:row r="1164">
      <x:c r="A1164" s="187" t="n">
        <x:v>44068</x:v>
      </x:c>
      <x:c r="B1164" s="195" t="n">
        <x:v>0.69</x:v>
      </x:c>
      <x:c r="C1164" s="195" t="n">
        <x:v>-1.01</x:v>
      </x:c>
      <x:c r="D1164" s="195" t="n">
        <x:f>IFERROR(B1164-C1164,"")</x:f>
        <x:v>1.7</x:v>
      </x:c>
    </x:row>
    <x:row r="1165">
      <x:c r="A1165" s="187" t="n">
        <x:v>44069</x:v>
      </x:c>
      <x:c r="B1165" s="195" t="n">
        <x:v>0.69</x:v>
      </x:c>
      <x:c r="C1165" s="195" t="n">
        <x:v>-1.03</x:v>
      </x:c>
      <x:c r="D1165" s="195" t="n">
        <x:f>IFERROR(B1165-C1165,"")</x:f>
        <x:v>1.72</x:v>
      </x:c>
    </x:row>
    <x:row r="1166">
      <x:c r="A1166" s="187" t="n">
        <x:v>44070</x:v>
      </x:c>
      <x:c r="B1166" s="195" t="n">
        <x:v>0.74</x:v>
      </x:c>
      <x:c r="C1166" s="195" t="n">
        <x:v>-0.99</x:v>
      </x:c>
      <x:c r="D1166" s="195" t="n">
        <x:f>IFERROR(B1166-C1166,"")</x:f>
        <x:v>1.73</x:v>
      </x:c>
    </x:row>
    <x:row r="1167">
      <x:c r="A1167" s="187" t="n">
        <x:v>44071</x:v>
      </x:c>
      <x:c r="B1167" s="195" t="n">
        <x:v>0.74</x:v>
      </x:c>
      <x:c r="C1167" s="195" t="n">
        <x:v>-1.03</x:v>
      </x:c>
      <x:c r="D1167" s="195" t="n">
        <x:f>IFERROR(B1167-C1167,"")</x:f>
        <x:v>1.77</x:v>
      </x:c>
    </x:row>
    <x:row r="1168">
      <x:c r="A1168" s="187" t="n">
        <x:v>44074</x:v>
      </x:c>
      <x:c r="B1168" s="195" t="n">
        <x:v>0.72</x:v>
      </x:c>
      <x:c r="C1168" s="195" t="n">
        <x:v>-1.08</x:v>
      </x:c>
      <x:c r="D1168" s="195" t="n">
        <x:f>IFERROR(B1168-C1168,"")</x:f>
        <x:v>1.8</x:v>
      </x:c>
    </x:row>
    <x:row r="1169">
      <x:c r="A1169" s="187" t="n">
        <x:v>44075</x:v>
      </x:c>
      <x:c r="B1169" s="195" t="n">
        <x:v>0.68</x:v>
      </x:c>
      <x:c r="C1169" s="195" t="n">
        <x:v>-1.08</x:v>
      </x:c>
      <x:c r="D1169" s="195" t="n">
        <x:f>IFERROR(B1169-C1169,"")</x:f>
        <x:v>1.7600000000000002</x:v>
      </x:c>
    </x:row>
    <x:row r="1170">
      <x:c r="A1170" s="187" t="n">
        <x:v>44076</x:v>
      </x:c>
      <x:c r="B1170" s="195" t="n">
        <x:v>0.66</x:v>
      </x:c>
      <x:c r="C1170" s="195" t="n">
        <x:v>-1.07</x:v>
      </x:c>
      <x:c r="D1170" s="195" t="n">
        <x:f>IFERROR(B1170-C1170,"")</x:f>
        <x:v>1.73</x:v>
      </x:c>
    </x:row>
    <x:row r="1171">
      <x:c r="A1171" s="187" t="n">
        <x:v>44077</x:v>
      </x:c>
      <x:c r="B1171" s="195" t="n">
        <x:v>0.63</x:v>
      </x:c>
      <x:c r="C1171" s="195" t="n">
        <x:v>-1.02</x:v>
      </x:c>
      <x:c r="D1171" s="195" t="n">
        <x:f>IFERROR(B1171-C1171,"")</x:f>
        <x:v>1.65</x:v>
      </x:c>
    </x:row>
    <x:row r="1172">
      <x:c r="A1172" s="187" t="n">
        <x:v>44078</x:v>
      </x:c>
      <x:c r="B1172" s="195" t="n">
        <x:v>0.72</x:v>
      </x:c>
      <x:c r="C1172" s="195" t="n">
        <x:v>-0.98</x:v>
      </x:c>
      <x:c r="D1172" s="195" t="n">
        <x:f>IFERROR(B1172-C1172,"")</x:f>
        <x:v>1.7</x:v>
      </x:c>
    </x:row>
    <x:row r="1173">
      <x:c r="A1173" s="187" t="n">
        <x:v>44082</x:v>
      </x:c>
      <x:c r="B1173" s="195" t="n">
        <x:v>0.69</x:v>
      </x:c>
      <x:c r="C1173" s="195" t="n">
        <x:v>-0.99</x:v>
      </x:c>
      <x:c r="D1173" s="195" t="n">
        <x:f>IFERROR(B1173-C1173,"")</x:f>
        <x:v>1.68</x:v>
      </x:c>
    </x:row>
    <x:row r="1174">
      <x:c r="A1174" s="187" t="n">
        <x:v>44083</x:v>
      </x:c>
      <x:c r="B1174" s="195" t="n">
        <x:v>0.71</x:v>
      </x:c>
      <x:c r="C1174" s="195" t="n">
        <x:v>-1</x:v>
      </x:c>
      <x:c r="D1174" s="195" t="n">
        <x:f>IFERROR(B1174-C1174,"")</x:f>
        <x:v>1.71</x:v>
      </x:c>
    </x:row>
    <x:row r="1175">
      <x:c r="A1175" s="187" t="n">
        <x:v>44084</x:v>
      </x:c>
      <x:c r="B1175" s="195" t="n">
        <x:v>0.68</x:v>
      </x:c>
      <x:c r="C1175" s="195" t="n">
        <x:v>-1.01</x:v>
      </x:c>
      <x:c r="D1175" s="195" t="n">
        <x:f>IFERROR(B1175-C1175,"")</x:f>
        <x:v>1.69</x:v>
      </x:c>
    </x:row>
    <x:row r="1176">
      <x:c r="A1176" s="187" t="n">
        <x:v>44085</x:v>
      </x:c>
      <x:c r="B1176" s="195" t="n">
        <x:v>0.67</x:v>
      </x:c>
      <x:c r="C1176" s="195" t="n">
        <x:v>-0.98</x:v>
      </x:c>
      <x:c r="D1176" s="195" t="n">
        <x:f>IFERROR(B1176-C1176,"")</x:f>
        <x:v>1.65</x:v>
      </x:c>
    </x:row>
    <x:row r="1177">
      <x:c r="A1177" s="187" t="n">
        <x:v>44088</x:v>
      </x:c>
      <x:c r="B1177" s="195" t="n">
        <x:v>0.68</x:v>
      </x:c>
      <x:c r="C1177" s="195" t="n">
        <x:v>-0.97</x:v>
      </x:c>
      <x:c r="D1177" s="195" t="n">
        <x:f>IFERROR(B1177-C1177,"")</x:f>
        <x:v>1.65</x:v>
      </x:c>
    </x:row>
    <x:row r="1178">
      <x:c r="A1178" s="187" t="n">
        <x:v>44089</x:v>
      </x:c>
      <x:c r="B1178" s="195" t="n">
        <x:v>0.68</x:v>
      </x:c>
      <x:c r="C1178" s="195" t="n">
        <x:v>-0.99</x:v>
      </x:c>
      <x:c r="D1178" s="195" t="n">
        <x:f>IFERROR(B1178-C1178,"")</x:f>
        <x:v>1.67</x:v>
      </x:c>
    </x:row>
    <x:row r="1179">
      <x:c r="A1179" s="187" t="n">
        <x:v>44090</x:v>
      </x:c>
      <x:c r="B1179" s="195" t="n">
        <x:v>0.69</x:v>
      </x:c>
      <x:c r="C1179" s="195" t="n">
        <x:v>-0.99</x:v>
      </x:c>
      <x:c r="D1179" s="195" t="n">
        <x:f>IFERROR(B1179-C1179,"")</x:f>
        <x:v>1.68</x:v>
      </x:c>
    </x:row>
    <x:row r="1180">
      <x:c r="A1180" s="187" t="n">
        <x:v>44091</x:v>
      </x:c>
      <x:c r="B1180" s="195" t="n">
        <x:v>0.69</x:v>
      </x:c>
      <x:c r="C1180" s="195" t="n">
        <x:v>-0.97</x:v>
      </x:c>
      <x:c r="D1180" s="195" t="n">
        <x:f>IFERROR(B1180-C1180,"")</x:f>
        <x:v>1.66</x:v>
      </x:c>
    </x:row>
    <x:row r="1181">
      <x:c r="A1181" s="187" t="n">
        <x:v>44092</x:v>
      </x:c>
      <x:c r="B1181" s="195" t="n">
        <x:v>0.7</x:v>
      </x:c>
      <x:c r="C1181" s="195" t="n">
        <x:v>-0.97</x:v>
      </x:c>
      <x:c r="D1181" s="195" t="n">
        <x:f>IFERROR(B1181-C1181,"")</x:f>
        <x:v>1.67</x:v>
      </x:c>
    </x:row>
    <x:row r="1182">
      <x:c r="A1182" s="187" t="n">
        <x:v>44095</x:v>
      </x:c>
      <x:c r="B1182" s="195" t="n">
        <x:v>0.68</x:v>
      </x:c>
      <x:c r="C1182" s="195" t="n">
        <x:v>-0.94</x:v>
      </x:c>
      <x:c r="D1182" s="195" t="n">
        <x:f>IFERROR(B1182-C1182,"")</x:f>
        <x:v>1.62</x:v>
      </x:c>
    </x:row>
    <x:row r="1183">
      <x:c r="A1183" s="187" t="n">
        <x:v>44096</x:v>
      </x:c>
      <x:c r="B1183" s="195" t="n">
        <x:v>0.68</x:v>
      </x:c>
      <x:c r="C1183" s="195" t="n">
        <x:v>-0.94</x:v>
      </x:c>
      <x:c r="D1183" s="195" t="n">
        <x:f>IFERROR(B1183-C1183,"")</x:f>
        <x:v>1.62</x:v>
      </x:c>
    </x:row>
    <x:row r="1184">
      <x:c r="A1184" s="187" t="n">
        <x:v>44097</x:v>
      </x:c>
      <x:c r="B1184" s="195" t="n">
        <x:v>0.68</x:v>
      </x:c>
      <x:c r="C1184" s="195" t="n">
        <x:v>-0.92</x:v>
      </x:c>
      <x:c r="D1184" s="195" t="n">
        <x:f>IFERROR(B1184-C1184,"")</x:f>
        <x:v>1.6</x:v>
      </x:c>
    </x:row>
    <x:row r="1185">
      <x:c r="A1185" s="187" t="n">
        <x:v>44098</x:v>
      </x:c>
      <x:c r="B1185" s="195" t="n">
        <x:v>0.67</x:v>
      </x:c>
      <x:c r="C1185" s="195" t="n">
        <x:v>-0.91</x:v>
      </x:c>
      <x:c r="D1185" s="195" t="n">
        <x:f>IFERROR(B1185-C1185,"")</x:f>
        <x:v>1.58</x:v>
      </x:c>
    </x:row>
    <x:row r="1186">
      <x:c r="A1186" s="187" t="n">
        <x:v>44099</x:v>
      </x:c>
      <x:c r="B1186" s="195" t="n">
        <x:v>0.66</x:v>
      </x:c>
      <x:c r="C1186" s="195" t="n">
        <x:v>-0.92</x:v>
      </x:c>
      <x:c r="D1186" s="195" t="n">
        <x:f>IFERROR(B1186-C1186,"")</x:f>
        <x:v>1.58</x:v>
      </x:c>
    </x:row>
    <x:row r="1187">
      <x:c r="A1187" s="187" t="n">
        <x:v>44102</x:v>
      </x:c>
      <x:c r="B1187" s="195" t="n">
        <x:v>0.67</x:v>
      </x:c>
      <x:c r="C1187" s="195" t="n">
        <x:v>-0.94</x:v>
      </x:c>
      <x:c r="D1187" s="195" t="n">
        <x:f>IFERROR(B1187-C1187,"")</x:f>
        <x:v>1.6099999999999999</x:v>
      </x:c>
    </x:row>
    <x:row r="1188">
      <x:c r="A1188" s="187" t="n">
        <x:v>44103</x:v>
      </x:c>
      <x:c r="B1188" s="195" t="n">
        <x:v>0.66</x:v>
      </x:c>
      <x:c r="C1188" s="195" t="n">
        <x:v>-0.98</x:v>
      </x:c>
      <x:c r="D1188" s="195" t="n">
        <x:f>IFERROR(B1188-C1188,"")</x:f>
        <x:v>1.6400000000000001</x:v>
      </x:c>
    </x:row>
    <x:row r="1189">
      <x:c r="A1189" s="187" t="n">
        <x:v>44104</x:v>
      </x:c>
      <x:c r="B1189" s="195" t="n">
        <x:v>0.69</x:v>
      </x:c>
      <x:c r="C1189" s="195" t="n">
        <x:v>-0.94</x:v>
      </x:c>
      <x:c r="D1189" s="195" t="n">
        <x:f>IFERROR(B1189-C1189,"")</x:f>
        <x:v>1.63</x:v>
      </x:c>
    </x:row>
    <x:row r="1190">
      <x:c r="A1190" s="187" t="n">
        <x:v>44105</x:v>
      </x:c>
      <x:c r="B1190" s="195" t="n">
        <x:v>0.68</x:v>
      </x:c>
      <x:c r="C1190" s="195" t="n">
        <x:v>-0.95</x:v>
      </x:c>
      <x:c r="D1190" s="195" t="n">
        <x:f>IFERROR(B1190-C1190,"")</x:f>
        <x:v>1.63</x:v>
      </x:c>
    </x:row>
    <x:row r="1191">
      <x:c r="A1191" s="187" t="n">
        <x:v>44106</x:v>
      </x:c>
      <x:c r="B1191" s="195" t="n">
        <x:v>0.7</x:v>
      </x:c>
      <x:c r="C1191" s="195" t="n">
        <x:v>-0.94</x:v>
      </x:c>
      <x:c r="D1191" s="195" t="n">
        <x:f>IFERROR(B1191-C1191,"")</x:f>
        <x:v>1.64</x:v>
      </x:c>
    </x:row>
    <x:row r="1192">
      <x:c r="A1192" s="187" t="n">
        <x:v>44109</x:v>
      </x:c>
      <x:c r="B1192" s="195" t="n">
        <x:v>0.78</x:v>
      </x:c>
      <x:c r="C1192" s="195" t="n">
        <x:v>-0.9</x:v>
      </x:c>
      <x:c r="D1192" s="195" t="n">
        <x:f>IFERROR(B1192-C1192,"")</x:f>
        <x:v>1.6800000000000002</x:v>
      </x:c>
    </x:row>
    <x:row r="1193">
      <x:c r="A1193" s="187" t="n">
        <x:v>44110</x:v>
      </x:c>
      <x:c r="B1193" s="195" t="n">
        <x:v>0.76</x:v>
      </x:c>
      <x:c r="C1193" s="195" t="n">
        <x:v>-0.9</x:v>
      </x:c>
      <x:c r="D1193" s="195" t="n">
        <x:f>IFERROR(B1193-C1193,"")</x:f>
        <x:v>1.6600000000000001</x:v>
      </x:c>
    </x:row>
    <x:row r="1194">
      <x:c r="A1194" s="187" t="n">
        <x:v>44111</x:v>
      </x:c>
      <x:c r="B1194" s="195" t="n">
        <x:v>0.81</x:v>
      </x:c>
      <x:c r="C1194" s="195" t="n">
        <x:v>-0.9</x:v>
      </x:c>
      <x:c r="D1194" s="195" t="n">
        <x:f>IFERROR(B1194-C1194,"")</x:f>
        <x:v>1.71</x:v>
      </x:c>
    </x:row>
    <x:row r="1195">
      <x:c r="A1195" s="187" t="n">
        <x:v>44112</x:v>
      </x:c>
      <x:c r="B1195" s="195" t="n">
        <x:v>0.78</x:v>
      </x:c>
      <x:c r="C1195" s="195" t="n">
        <x:v>-0.94</x:v>
      </x:c>
      <x:c r="D1195" s="195" t="n">
        <x:f>IFERROR(B1195-C1195,"")</x:f>
        <x:v>1.72</x:v>
      </x:c>
    </x:row>
    <x:row r="1196">
      <x:c r="A1196" s="187" t="n">
        <x:v>44113</x:v>
      </x:c>
      <x:c r="B1196" s="195" t="n">
        <x:v>0.79</x:v>
      </x:c>
      <x:c r="C1196" s="195" t="n">
        <x:v>-0.94</x:v>
      </x:c>
      <x:c r="D1196" s="195" t="n">
        <x:f>IFERROR(B1196-C1196,"")</x:f>
        <x:v>1.73</x:v>
      </x:c>
    </x:row>
    <x:row r="1197">
      <x:c r="A1197" s="187" t="n">
        <x:v>44117</x:v>
      </x:c>
      <x:c r="B1197" s="195" t="n">
        <x:v>0.74</x:v>
      </x:c>
      <x:c r="C1197" s="195" t="n">
        <x:v>-0.96</x:v>
      </x:c>
      <x:c r="D1197" s="195" t="n">
        <x:f>IFERROR(B1197-C1197,"")</x:f>
        <x:v>1.7</x:v>
      </x:c>
    </x:row>
    <x:row r="1198">
      <x:c r="A1198" s="187" t="n">
        <x:v>44118</x:v>
      </x:c>
      <x:c r="B1198" s="195" t="n">
        <x:v>0.73</x:v>
      </x:c>
      <x:c r="C1198" s="195" t="n">
        <x:v>-0.96</x:v>
      </x:c>
      <x:c r="D1198" s="195" t="n">
        <x:f>IFERROR(B1198-C1198,"")</x:f>
        <x:v>1.69</x:v>
      </x:c>
    </x:row>
    <x:row r="1199">
      <x:c r="A1199" s="187" t="n">
        <x:v>44119</x:v>
      </x:c>
      <x:c r="B1199" s="195" t="n">
        <x:v>0.74</x:v>
      </x:c>
      <x:c r="C1199" s="195" t="n">
        <x:v>-0.95</x:v>
      </x:c>
      <x:c r="D1199" s="195" t="n">
        <x:f>IFERROR(B1199-C1199,"")</x:f>
        <x:v>1.69</x:v>
      </x:c>
    </x:row>
    <x:row r="1200">
      <x:c r="A1200" s="187" t="n">
        <x:v>44120</x:v>
      </x:c>
      <x:c r="B1200" s="195" t="n">
        <x:v>0.76</x:v>
      </x:c>
      <x:c r="C1200" s="195" t="n">
        <x:v>-0.95</x:v>
      </x:c>
      <x:c r="D1200" s="195" t="n">
        <x:f>IFERROR(B1200-C1200,"")</x:f>
        <x:v>1.71</x:v>
      </x:c>
    </x:row>
    <x:row r="1201">
      <x:c r="A1201" s="187" t="n">
        <x:v>44123</x:v>
      </x:c>
      <x:c r="B1201" s="195" t="n">
        <x:v>0.78</x:v>
      </x:c>
      <x:c r="C1201" s="195" t="n">
        <x:v>-0.93</x:v>
      </x:c>
      <x:c r="D1201" s="195" t="n">
        <x:f>IFERROR(B1201-C1201,"")</x:f>
        <x:v>1.71</x:v>
      </x:c>
    </x:row>
    <x:row r="1202">
      <x:c r="A1202" s="187" t="n">
        <x:v>44124</x:v>
      </x:c>
      <x:c r="B1202" s="195" t="n">
        <x:v>0.81</x:v>
      </x:c>
      <x:c r="C1202" s="195" t="n">
        <x:v>-0.91</x:v>
      </x:c>
      <x:c r="D1202" s="195" t="n">
        <x:f>IFERROR(B1202-C1202,"")</x:f>
        <x:v>1.7200000000000002</x:v>
      </x:c>
    </x:row>
    <x:row r="1203">
      <x:c r="A1203" s="187" t="n">
        <x:v>44125</x:v>
      </x:c>
      <x:c r="B1203" s="195" t="n">
        <x:v>0.83</x:v>
      </x:c>
      <x:c r="C1203" s="195" t="n">
        <x:v>-0.91</x:v>
      </x:c>
      <x:c r="D1203" s="195" t="n">
        <x:f>IFERROR(B1203-C1203,"")</x:f>
        <x:v>1.74</x:v>
      </x:c>
    </x:row>
    <x:row r="1204">
      <x:c r="A1204" s="187" t="n">
        <x:v>44126</x:v>
      </x:c>
      <x:c r="B1204" s="195" t="n">
        <x:v>0.87</x:v>
      </x:c>
      <x:c r="C1204" s="195" t="n">
        <x:v>-0.89</x:v>
      </x:c>
      <x:c r="D1204" s="195" t="n">
        <x:f>IFERROR(B1204-C1204,"")</x:f>
        <x:v>1.76</x:v>
      </x:c>
    </x:row>
    <x:row r="1205">
      <x:c r="A1205" s="187" t="n">
        <x:v>44127</x:v>
      </x:c>
      <x:c r="B1205" s="195" t="n">
        <x:v>0.85</x:v>
      </x:c>
      <x:c r="C1205" s="195" t="n">
        <x:v>-0.9</x:v>
      </x:c>
      <x:c r="D1205" s="195" t="n">
        <x:f>IFERROR(B1205-C1205,"")</x:f>
        <x:v>1.75</x:v>
      </x:c>
    </x:row>
    <x:row r="1206">
      <x:c r="A1206" s="187" t="n">
        <x:v>44130</x:v>
      </x:c>
      <x:c r="B1206" s="195" t="n">
        <x:v>0.81</x:v>
      </x:c>
      <x:c r="C1206" s="195" t="n">
        <x:v>-0.91</x:v>
      </x:c>
      <x:c r="D1206" s="195" t="n">
        <x:f>IFERROR(B1206-C1206,"")</x:f>
        <x:v>1.7200000000000002</x:v>
      </x:c>
    </x:row>
    <x:row r="1207">
      <x:c r="A1207" s="187" t="n">
        <x:v>44131</x:v>
      </x:c>
      <x:c r="B1207" s="195" t="n">
        <x:v>0.79</x:v>
      </x:c>
      <x:c r="C1207" s="195" t="n">
        <x:v>-0.92</x:v>
      </x:c>
      <x:c r="D1207" s="195" t="n">
        <x:f>IFERROR(B1207-C1207,"")</x:f>
        <x:v>1.71</x:v>
      </x:c>
    </x:row>
    <x:row r="1208">
      <x:c r="A1208" s="187" t="n">
        <x:v>44132</x:v>
      </x:c>
      <x:c r="B1208" s="195" t="n">
        <x:v>0.79</x:v>
      </x:c>
      <x:c r="C1208" s="195" t="n">
        <x:v>-0.91</x:v>
      </x:c>
      <x:c r="D1208" s="195" t="n">
        <x:f>IFERROR(B1208-C1208,"")</x:f>
        <x:v>1.7000000000000002</x:v>
      </x:c>
    </x:row>
    <x:row r="1209">
      <x:c r="A1209" s="187" t="n">
        <x:v>44133</x:v>
      </x:c>
      <x:c r="B1209" s="195" t="n">
        <x:v>0.85</x:v>
      </x:c>
      <x:c r="C1209" s="195" t="n">
        <x:v>-0.86</x:v>
      </x:c>
      <x:c r="D1209" s="195" t="n">
        <x:f>IFERROR(B1209-C1209,"")</x:f>
        <x:v>1.71</x:v>
      </x:c>
    </x:row>
    <x:row r="1210">
      <x:c r="A1210" s="187" t="n">
        <x:v>44134</x:v>
      </x:c>
      <x:c r="B1210" s="195" t="n">
        <x:v>0.88</x:v>
      </x:c>
      <x:c r="C1210" s="195" t="n">
        <x:v>-0.82</x:v>
      </x:c>
      <x:c r="D1210" s="195" t="n">
        <x:f>IFERROR(B1210-C1210,"")</x:f>
        <x:v>1.7</x:v>
      </x:c>
    </x:row>
    <x:row r="1211">
      <x:c r="A1211" s="187" t="n">
        <x:v>44137</x:v>
      </x:c>
      <x:c r="B1211" s="195" t="n">
        <x:v>0.87</x:v>
      </x:c>
      <x:c r="C1211" s="195" t="n">
        <x:v>-0.84</x:v>
      </x:c>
      <x:c r="D1211" s="195" t="n">
        <x:f>IFERROR(B1211-C1211,"")</x:f>
        <x:v>1.71</x:v>
      </x:c>
    </x:row>
    <x:row r="1212">
      <x:c r="A1212" s="187" t="n">
        <x:v>44138</x:v>
      </x:c>
      <x:c r="B1212" s="195" t="n">
        <x:v>0.9</x:v>
      </x:c>
      <x:c r="C1212" s="195" t="n">
        <x:v>-0.82</x:v>
      </x:c>
      <x:c r="D1212" s="195" t="n">
        <x:f>IFERROR(B1212-C1212,"")</x:f>
        <x:v>1.72</x:v>
      </x:c>
    </x:row>
    <x:row r="1213">
      <x:c r="A1213" s="187" t="n">
        <x:v>44139</x:v>
      </x:c>
      <x:c r="B1213" s="195" t="n">
        <x:v>0.78</x:v>
      </x:c>
      <x:c r="C1213" s="195" t="n">
        <x:v>-0.86</x:v>
      </x:c>
      <x:c r="D1213" s="195" t="n">
        <x:f>IFERROR(B1213-C1213,"")</x:f>
        <x:v>1.6400000000000001</x:v>
      </x:c>
    </x:row>
    <x:row r="1214">
      <x:c r="A1214" s="187" t="n">
        <x:v>44140</x:v>
      </x:c>
      <x:c r="B1214" s="195" t="n">
        <x:v>0.79</x:v>
      </x:c>
      <x:c r="C1214" s="195" t="n">
        <x:v>-0.87</x:v>
      </x:c>
      <x:c r="D1214" s="195" t="n">
        <x:f>IFERROR(B1214-C1214,"")</x:f>
        <x:v>1.6600000000000001</x:v>
      </x:c>
    </x:row>
    <x:row r="1215">
      <x:c r="A1215" s="187" t="n">
        <x:v>44141</x:v>
      </x:c>
      <x:c r="B1215" s="195" t="n">
        <x:v>0.83</x:v>
      </x:c>
      <x:c r="C1215" s="195" t="n">
        <x:v>-0.82</x:v>
      </x:c>
      <x:c r="D1215" s="195" t="n">
        <x:f>IFERROR(B1215-C1215,"")</x:f>
        <x:v>1.65</x:v>
      </x:c>
    </x:row>
    <x:row r="1216">
      <x:c r="A1216" s="187" t="n">
        <x:v>44144</x:v>
      </x:c>
      <x:c r="B1216" s="195" t="n">
        <x:v>0.96</x:v>
      </x:c>
      <x:c r="C1216" s="195" t="n">
        <x:v>-0.77</x:v>
      </x:c>
      <x:c r="D1216" s="195" t="n">
        <x:f>IFERROR(B1216-C1216,"")</x:f>
        <x:v>1.73</x:v>
      </x:c>
    </x:row>
    <x:row r="1217">
      <x:c r="A1217" s="187" t="n">
        <x:v>44145</x:v>
      </x:c>
      <x:c r="B1217" s="195" t="n">
        <x:v>0.98</x:v>
      </x:c>
      <x:c r="C1217" s="195" t="n">
        <x:v>-0.78</x:v>
      </x:c>
      <x:c r="D1217" s="195" t="n">
        <x:f>IFERROR(B1217-C1217,"")</x:f>
        <x:v>1.76</x:v>
      </x:c>
    </x:row>
    <x:row r="1218">
      <x:c r="A1218" s="187" t="n">
        <x:v>44147</x:v>
      </x:c>
      <x:c r="B1218" s="195" t="n">
        <x:v>0.88</x:v>
      </x:c>
      <x:c r="C1218" s="195" t="n">
        <x:v>-0.83</x:v>
      </x:c>
      <x:c r="D1218" s="195" t="n">
        <x:f>IFERROR(B1218-C1218,"")</x:f>
        <x:v>1.71</x:v>
      </x:c>
    </x:row>
    <x:row r="1219">
      <x:c r="A1219" s="187" t="n">
        <x:v>44148</x:v>
      </x:c>
      <x:c r="B1219" s="195" t="n">
        <x:v>0.89</x:v>
      </x:c>
      <x:c r="C1219" s="195" t="n">
        <x:v>-0.83</x:v>
      </x:c>
      <x:c r="D1219" s="195" t="n">
        <x:f>IFERROR(B1219-C1219,"")</x:f>
        <x:v>1.72</x:v>
      </x:c>
    </x:row>
    <x:row r="1220">
      <x:c r="A1220" s="187" t="n">
        <x:v>44151</x:v>
      </x:c>
      <x:c r="B1220" s="195" t="n">
        <x:v>0.91</x:v>
      </x:c>
      <x:c r="C1220" s="195" t="n">
        <x:v>-0.81</x:v>
      </x:c>
      <x:c r="D1220" s="195" t="n">
        <x:f>IFERROR(B1220-C1220,"")</x:f>
        <x:v>1.7200000000000002</x:v>
      </x:c>
    </x:row>
    <x:row r="1221">
      <x:c r="A1221" s="187" t="n">
        <x:v>44152</x:v>
      </x:c>
      <x:c r="B1221" s="195" t="n">
        <x:v>0.87</x:v>
      </x:c>
      <x:c r="C1221" s="195" t="n">
        <x:v>-0.83</x:v>
      </x:c>
      <x:c r="D1221" s="195" t="n">
        <x:f>IFERROR(B1221-C1221,"")</x:f>
        <x:v>1.7</x:v>
      </x:c>
    </x:row>
    <x:row r="1222">
      <x:c r="A1222" s="187" t="n">
        <x:v>44153</x:v>
      </x:c>
      <x:c r="B1222" s="195" t="n">
        <x:v>0.88</x:v>
      </x:c>
      <x:c r="C1222" s="195" t="n">
        <x:v>-0.82</x:v>
      </x:c>
      <x:c r="D1222" s="195" t="n">
        <x:f>IFERROR(B1222-C1222,"")</x:f>
        <x:v>1.7</x:v>
      </x:c>
    </x:row>
    <x:row r="1223">
      <x:c r="A1223" s="187" t="n">
        <x:v>44154</x:v>
      </x:c>
      <x:c r="B1223" s="195" t="n">
        <x:v>0.86</x:v>
      </x:c>
      <x:c r="C1223" s="195" t="n">
        <x:v>-0.84</x:v>
      </x:c>
      <x:c r="D1223" s="195" t="n">
        <x:f>IFERROR(B1223-C1223,"")</x:f>
        <x:v>1.7</x:v>
      </x:c>
    </x:row>
    <x:row r="1224">
      <x:c r="A1224" s="187" t="n">
        <x:v>44155</x:v>
      </x:c>
      <x:c r="B1224" s="195" t="n">
        <x:v>0.83</x:v>
      </x:c>
      <x:c r="C1224" s="195" t="n">
        <x:v>-0.86</x:v>
      </x:c>
      <x:c r="D1224" s="195" t="n">
        <x:f>IFERROR(B1224-C1224,"")</x:f>
        <x:v>1.69</x:v>
      </x:c>
    </x:row>
    <x:row r="1225">
      <x:c r="A1225" s="187" t="n">
        <x:v>44158</x:v>
      </x:c>
      <x:c r="B1225" s="195" t="n">
        <x:v>0.86</x:v>
      </x:c>
      <x:c r="C1225" s="195" t="n">
        <x:v>-0.85</x:v>
      </x:c>
      <x:c r="D1225" s="195" t="n">
        <x:f>IFERROR(B1225-C1225,"")</x:f>
        <x:v>1.71</x:v>
      </x:c>
    </x:row>
    <x:row r="1226">
      <x:c r="A1226" s="187" t="n">
        <x:v>44159</x:v>
      </x:c>
      <x:c r="B1226" s="195" t="n">
        <x:v>0.88</x:v>
      </x:c>
      <x:c r="C1226" s="195" t="n">
        <x:v>-0.86</x:v>
      </x:c>
      <x:c r="D1226" s="195" t="n">
        <x:f>IFERROR(B1226-C1226,"")</x:f>
        <x:v>1.74</x:v>
      </x:c>
    </x:row>
    <x:row r="1227">
      <x:c r="A1227" s="187" t="n">
        <x:v>44160</x:v>
      </x:c>
      <x:c r="B1227" s="195" t="n">
        <x:v>0.88</x:v>
      </x:c>
      <x:c r="C1227" s="195" t="n">
        <x:v>-0.87</x:v>
      </x:c>
      <x:c r="D1227" s="195" t="n">
        <x:f>IFERROR(B1227-C1227,"")</x:f>
        <x:v>1.75</x:v>
      </x:c>
    </x:row>
    <x:row r="1228">
      <x:c r="A1228" s="187" t="n">
        <x:v>44162</x:v>
      </x:c>
      <x:c r="B1228" s="195" t="n">
        <x:v>0.84</x:v>
      </x:c>
      <x:c r="C1228" s="195" t="n">
        <x:v>-0.91</x:v>
      </x:c>
      <x:c r="D1228" s="195" t="n">
        <x:f>IFERROR(B1228-C1228,"")</x:f>
        <x:v>1.75</x:v>
      </x:c>
    </x:row>
    <x:row r="1229">
      <x:c r="A1229" s="187" t="n">
        <x:v>44165</x:v>
      </x:c>
      <x:c r="B1229" s="195" t="n">
        <x:v>0.84</x:v>
      </x:c>
      <x:c r="C1229" s="195" t="n">
        <x:v>-0.93</x:v>
      </x:c>
      <x:c r="D1229" s="195" t="n">
        <x:f>IFERROR(B1229-C1229,"")</x:f>
        <x:v>1.77</x:v>
      </x:c>
    </x:row>
    <x:row r="1230">
      <x:c r="A1230" s="187" t="n">
        <x:v>44166</x:v>
      </x:c>
      <x:c r="B1230" s="195" t="n">
        <x:v>0.92</x:v>
      </x:c>
      <x:c r="C1230" s="195" t="n">
        <x:v>-0.89</x:v>
      </x:c>
      <x:c r="D1230" s="195" t="n">
        <x:f>IFERROR(B1230-C1230,"")</x:f>
        <x:v>1.81</x:v>
      </x:c>
    </x:row>
    <x:row r="1231">
      <x:c r="A1231" s="187" t="n">
        <x:v>44167</x:v>
      </x:c>
      <x:c r="B1231" s="195" t="n">
        <x:v>0.95</x:v>
      </x:c>
      <x:c r="C1231" s="195" t="n">
        <x:v>-0.9</x:v>
      </x:c>
      <x:c r="D1231" s="195" t="n">
        <x:f>IFERROR(B1231-C1231,"")</x:f>
        <x:v>1.85</x:v>
      </x:c>
    </x:row>
    <x:row r="1232">
      <x:c r="A1232" s="187" t="n">
        <x:v>44168</x:v>
      </x:c>
      <x:c r="B1232" s="195" t="n">
        <x:v>0.92</x:v>
      </x:c>
      <x:c r="C1232" s="195" t="n">
        <x:v>-0.94</x:v>
      </x:c>
      <x:c r="D1232" s="195" t="n">
        <x:f>IFERROR(B1232-C1232,"")</x:f>
        <x:v>1.8599999999999999</x:v>
      </x:c>
    </x:row>
    <x:row r="1233">
      <x:c r="A1233" s="187" t="n">
        <x:v>44169</x:v>
      </x:c>
      <x:c r="B1233" s="195" t="n">
        <x:v>0.97</x:v>
      </x:c>
      <x:c r="C1233" s="195" t="n">
        <x:v>-0.92</x:v>
      </x:c>
      <x:c r="D1233" s="195" t="n">
        <x:f>IFERROR(B1233-C1233,"")</x:f>
        <x:v>1.8900000000000001</x:v>
      </x:c>
    </x:row>
    <x:row r="1234">
      <x:c r="A1234" s="187" t="n">
        <x:v>44172</x:v>
      </x:c>
      <x:c r="B1234" s="195" t="n">
        <x:v>0.94</x:v>
      </x:c>
      <x:c r="C1234" s="195" t="n">
        <x:v>-0.94</x:v>
      </x:c>
      <x:c r="D1234" s="195" t="n">
        <x:f>IFERROR(B1234-C1234,"")</x:f>
        <x:v>1.88</x:v>
      </x:c>
    </x:row>
    <x:row r="1235">
      <x:c r="A1235" s="187" t="n">
        <x:v>44173</x:v>
      </x:c>
      <x:c r="B1235" s="195" t="n">
        <x:v>0.92</x:v>
      </x:c>
      <x:c r="C1235" s="195" t="n">
        <x:v>-0.97</x:v>
      </x:c>
      <x:c r="D1235" s="195" t="n">
        <x:f>IFERROR(B1235-C1235,"")</x:f>
        <x:v>1.8900000000000001</x:v>
      </x:c>
    </x:row>
    <x:row r="1236">
      <x:c r="A1236" s="187" t="n">
        <x:v>44174</x:v>
      </x:c>
      <x:c r="B1236" s="195" t="n">
        <x:v>0.95</x:v>
      </x:c>
      <x:c r="C1236" s="195" t="n">
        <x:v>-0.96</x:v>
      </x:c>
      <x:c r="D1236" s="195" t="n">
        <x:f>IFERROR(B1236-C1236,"")</x:f>
        <x:v>1.91</x:v>
      </x:c>
    </x:row>
    <x:row r="1237">
      <x:c r="A1237" s="187" t="n">
        <x:v>44175</x:v>
      </x:c>
      <x:c r="B1237" s="195" t="n">
        <x:v>0.92</x:v>
      </x:c>
      <x:c r="C1237" s="195" t="n">
        <x:v>-0.96</x:v>
      </x:c>
      <x:c r="D1237" s="195" t="n">
        <x:f>IFERROR(B1237-C1237,"")</x:f>
        <x:v>1.88</x:v>
      </x:c>
    </x:row>
    <x:row r="1238">
      <x:c r="A1238" s="187" t="n">
        <x:v>44176</x:v>
      </x:c>
      <x:c r="B1238" s="195" t="n">
        <x:v>0.9</x:v>
      </x:c>
      <x:c r="C1238" s="195" t="n">
        <x:v>-0.97</x:v>
      </x:c>
      <x:c r="D1238" s="195" t="n">
        <x:f>IFERROR(B1238-C1238,"")</x:f>
        <x:v>1.87</x:v>
      </x:c>
    </x:row>
    <x:row r="1239">
      <x:c r="A1239" s="187" t="n">
        <x:v>44179</x:v>
      </x:c>
      <x:c r="B1239" s="195" t="n">
        <x:v>0.9</x:v>
      </x:c>
      <x:c r="C1239" s="195" t="n">
        <x:v>-0.98</x:v>
      </x:c>
      <x:c r="D1239" s="195" t="n">
        <x:f>IFERROR(B1239-C1239,"")</x:f>
        <x:v>1.88</x:v>
      </x:c>
    </x:row>
    <x:row r="1240">
      <x:c r="A1240" s="187" t="n">
        <x:v>44180</x:v>
      </x:c>
      <x:c r="B1240" s="195" t="n">
        <x:v>0.92</x:v>
      </x:c>
      <x:c r="C1240" s="195" t="n">
        <x:v>-0.99</x:v>
      </x:c>
      <x:c r="D1240" s="195" t="n">
        <x:f>IFERROR(B1240-C1240,"")</x:f>
        <x:v>1.9100000000000001</x:v>
      </x:c>
    </x:row>
    <x:row r="1241">
      <x:c r="A1241" s="187" t="n">
        <x:v>44181</x:v>
      </x:c>
      <x:c r="B1241" s="195" t="n">
        <x:v>0.92</x:v>
      </x:c>
      <x:c r="C1241" s="195" t="n">
        <x:v>-1</x:v>
      </x:c>
      <x:c r="D1241" s="195" t="n">
        <x:f>IFERROR(B1241-C1241,"")</x:f>
        <x:v>1.92</x:v>
      </x:c>
    </x:row>
    <x:row r="1242">
      <x:c r="A1242" s="187" t="n">
        <x:v>44182</x:v>
      </x:c>
      <x:c r="B1242" s="195" t="n">
        <x:v>0.94</x:v>
      </x:c>
      <x:c r="C1242" s="195" t="n">
        <x:v>-1</x:v>
      </x:c>
      <x:c r="D1242" s="195" t="n">
        <x:f>IFERROR(B1242-C1242,"")</x:f>
        <x:v>1.94</x:v>
      </x:c>
    </x:row>
    <x:row r="1243">
      <x:c r="A1243" s="187" t="n">
        <x:v>44183</x:v>
      </x:c>
      <x:c r="B1243" s="195" t="n">
        <x:v>0.95</x:v>
      </x:c>
      <x:c r="C1243" s="195" t="n">
        <x:v>-1</x:v>
      </x:c>
      <x:c r="D1243" s="195" t="n">
        <x:f>IFERROR(B1243-C1243,"")</x:f>
        <x:v>1.95</x:v>
      </x:c>
    </x:row>
    <x:row r="1244">
      <x:c r="A1244" s="187" t="n">
        <x:v>44186</x:v>
      </x:c>
      <x:c r="B1244" s="195" t="n">
        <x:v>0.95</x:v>
      </x:c>
      <x:c r="C1244" s="195" t="n">
        <x:v>-1</x:v>
      </x:c>
      <x:c r="D1244" s="195" t="n">
        <x:f>IFERROR(B1244-C1244,"")</x:f>
        <x:v>1.95</x:v>
      </x:c>
    </x:row>
    <x:row r="1245">
      <x:c r="A1245" s="187" t="n">
        <x:v>44187</x:v>
      </x:c>
      <x:c r="B1245" s="195" t="n">
        <x:v>0.93</x:v>
      </x:c>
      <x:c r="C1245" s="195" t="n">
        <x:v>-1.01</x:v>
      </x:c>
      <x:c r="D1245" s="195" t="n">
        <x:f>IFERROR(B1245-C1245,"")</x:f>
        <x:v>1.94</x:v>
      </x:c>
    </x:row>
    <x:row r="1246">
      <x:c r="A1246" s="187" t="n">
        <x:v>44188</x:v>
      </x:c>
      <x:c r="B1246" s="195" t="n">
        <x:v>0.96</x:v>
      </x:c>
      <x:c r="C1246" s="195" t="n">
        <x:v>-1.01</x:v>
      </x:c>
      <x:c r="D1246" s="195" t="n">
        <x:f>IFERROR(B1246-C1246,"")</x:f>
        <x:v>1.97</x:v>
      </x:c>
    </x:row>
    <x:row r="1247">
      <x:c r="A1247" s="187" t="n">
        <x:v>44189</x:v>
      </x:c>
      <x:c r="B1247" s="195" t="n">
        <x:v>0.94</x:v>
      </x:c>
      <x:c r="C1247" s="195" t="n">
        <x:v>-1.03</x:v>
      </x:c>
      <x:c r="D1247" s="195" t="n">
        <x:f>IFERROR(B1247-C1247,"")</x:f>
        <x:v>1.97</x:v>
      </x:c>
    </x:row>
    <x:row r="1248">
      <x:c r="A1248" s="187" t="n">
        <x:v>44193</x:v>
      </x:c>
      <x:c r="B1248" s="195" t="n">
        <x:v>0.94</x:v>
      </x:c>
      <x:c r="C1248" s="195" t="n">
        <x:v>-1.03</x:v>
      </x:c>
      <x:c r="D1248" s="195" t="n">
        <x:f>IFERROR(B1248-C1248,"")</x:f>
        <x:v>1.97</x:v>
      </x:c>
    </x:row>
    <x:row r="1249">
      <x:c r="A1249" s="187" t="n">
        <x:v>44194</x:v>
      </x:c>
      <x:c r="B1249" s="195" t="n">
        <x:v>0.94</x:v>
      </x:c>
      <x:c r="C1249" s="195" t="n">
        <x:v>-1.02</x:v>
      </x:c>
      <x:c r="D1249" s="195" t="n">
        <x:f>IFERROR(B1249-C1249,"")</x:f>
        <x:v>1.96</x:v>
      </x:c>
    </x:row>
    <x:row r="1250">
      <x:c r="A1250" s="187" t="n">
        <x:v>44195</x:v>
      </x:c>
      <x:c r="B1250" s="195" t="n">
        <x:v>0.93</x:v>
      </x:c>
      <x:c r="C1250" s="195" t="n">
        <x:v>-1.03</x:v>
      </x:c>
      <x:c r="D1250" s="195" t="n">
        <x:f>IFERROR(B1250-C1250,"")</x:f>
        <x:v>1.96</x:v>
      </x:c>
    </x:row>
    <x:row r="1251">
      <x:c r="A1251" s="187" t="n">
        <x:v>44196</x:v>
      </x:c>
      <x:c r="B1251" s="195" t="n">
        <x:v>0.93</x:v>
      </x:c>
      <x:c r="C1251" s="195" t="n">
        <x:v>-1.06</x:v>
      </x:c>
      <x:c r="D1251" s="195" t="n">
        <x:f>IFERROR(B1251-C1251,"")</x:f>
        <x:v>1.9900000000000002</x:v>
      </x:c>
    </x:row>
    <x:row r="1252">
      <x:c r="A1252" s="187" t="n">
        <x:v>44200</x:v>
      </x:c>
      <x:c r="B1252" s="195" t="n">
        <x:v>0.93</x:v>
      </x:c>
      <x:c r="C1252" s="195" t="n">
        <x:v>-1.08</x:v>
      </x:c>
      <x:c r="D1252" s="195" t="n">
        <x:f>IFERROR(B1252-C1252,"")</x:f>
        <x:v>2.0100000000000002</x:v>
      </x:c>
    </x:row>
    <x:row r="1253">
      <x:c r="A1253" s="187" t="n">
        <x:v>44201</x:v>
      </x:c>
      <x:c r="B1253" s="195" t="n">
        <x:v>0.96</x:v>
      </x:c>
      <x:c r="C1253" s="195" t="n">
        <x:v>-1.07</x:v>
      </x:c>
      <x:c r="D1253" s="195" t="n">
        <x:f>IFERROR(B1253-C1253,"")</x:f>
        <x:v>2.0300000000000002</x:v>
      </x:c>
    </x:row>
    <x:row r="1254">
      <x:c r="A1254" s="187" t="n">
        <x:v>44202</x:v>
      </x:c>
      <x:c r="B1254" s="195" t="n">
        <x:v>1.04</x:v>
      </x:c>
      <x:c r="C1254" s="195" t="n">
        <x:v>-1.02</x:v>
      </x:c>
      <x:c r="D1254" s="195" t="n">
        <x:f>IFERROR(B1254-C1254,"")</x:f>
        <x:v>2.06</x:v>
      </x:c>
    </x:row>
    <x:row r="1255">
      <x:c r="A1255" s="187" t="n">
        <x:v>44203</x:v>
      </x:c>
      <x:c r="B1255" s="195" t="n">
        <x:v>1.08</x:v>
      </x:c>
      <x:c r="C1255" s="195" t="n">
        <x:v>-1.01</x:v>
      </x:c>
      <x:c r="D1255" s="195" t="n">
        <x:f>IFERROR(B1255-C1255,"")</x:f>
        <x:v>2.09</x:v>
      </x:c>
    </x:row>
    <x:row r="1256">
      <x:c r="A1256" s="187" t="n">
        <x:v>44204</x:v>
      </x:c>
      <x:c r="B1256" s="195" t="n">
        <x:v>1.13</x:v>
      </x:c>
      <x:c r="C1256" s="195" t="n">
        <x:v>-0.93</x:v>
      </x:c>
      <x:c r="D1256" s="195" t="n">
        <x:f>IFERROR(B1256-C1256,"")</x:f>
        <x:v>2.06</x:v>
      </x:c>
    </x:row>
    <x:row r="1257">
      <x:c r="A1257" s="187" t="n">
        <x:v>44207</x:v>
      </x:c>
      <x:c r="B1257" s="195" t="n">
        <x:v>1.15</x:v>
      </x:c>
      <x:c r="C1257" s="195" t="n">
        <x:v>-0.91</x:v>
      </x:c>
      <x:c r="D1257" s="195" t="n">
        <x:f>IFERROR(B1257-C1257,"")</x:f>
        <x:v>2.06</x:v>
      </x:c>
    </x:row>
    <x:row r="1258">
      <x:c r="A1258" s="187" t="n">
        <x:v>44208</x:v>
      </x:c>
      <x:c r="B1258" s="195" t="n">
        <x:v>1.15</x:v>
      </x:c>
      <x:c r="C1258" s="195" t="n">
        <x:v>-0.93</x:v>
      </x:c>
      <x:c r="D1258" s="195" t="n">
        <x:f>IFERROR(B1258-C1258,"")</x:f>
        <x:v>2.08</x:v>
      </x:c>
    </x:row>
    <x:row r="1259">
      <x:c r="A1259" s="187" t="n">
        <x:v>44209</x:v>
      </x:c>
      <x:c r="B1259" s="195" t="n">
        <x:v>1.1</x:v>
      </x:c>
      <x:c r="C1259" s="195" t="n">
        <x:v>-0.96</x:v>
      </x:c>
      <x:c r="D1259" s="195" t="n">
        <x:f>IFERROR(B1259-C1259,"")</x:f>
        <x:v>2.06</x:v>
      </x:c>
    </x:row>
    <x:row r="1260">
      <x:c r="A1260" s="187" t="n">
        <x:v>44210</x:v>
      </x:c>
      <x:c r="B1260" s="195" t="n">
        <x:v>1.15</x:v>
      </x:c>
      <x:c r="C1260" s="195" t="n">
        <x:v>-0.94</x:v>
      </x:c>
      <x:c r="D1260" s="195" t="n">
        <x:f>IFERROR(B1260-C1260,"")</x:f>
        <x:v>2.09</x:v>
      </x:c>
    </x:row>
    <x:row r="1261">
      <x:c r="A1261" s="187" t="n">
        <x:v>44211</x:v>
      </x:c>
      <x:c r="B1261" s="195" t="n">
        <x:v>1.11</x:v>
      </x:c>
      <x:c r="C1261" s="195" t="n">
        <x:v>-0.99</x:v>
      </x:c>
      <x:c r="D1261" s="195" t="n">
        <x:f>IFERROR(B1261-C1261,"")</x:f>
        <x:v>2.1</x:v>
      </x:c>
    </x:row>
    <x:row r="1262">
      <x:c r="A1262" s="187" t="n">
        <x:v>44215</x:v>
      </x:c>
      <x:c r="B1262" s="195" t="n">
        <x:v>1.1</x:v>
      </x:c>
      <x:c r="C1262" s="195" t="n">
        <x:v>-1</x:v>
      </x:c>
      <x:c r="D1262" s="195" t="n">
        <x:f>IFERROR(B1262-C1262,"")</x:f>
        <x:v>2.1</x:v>
      </x:c>
    </x:row>
    <x:row r="1263">
      <x:c r="A1263" s="187" t="n">
        <x:v>44216</x:v>
      </x:c>
      <x:c r="B1263" s="195" t="n">
        <x:v>1.1</x:v>
      </x:c>
      <x:c r="C1263" s="195" t="n">
        <x:v>-1.02</x:v>
      </x:c>
      <x:c r="D1263" s="195" t="n">
        <x:f>IFERROR(B1263-C1263,"")</x:f>
        <x:v>2.12</x:v>
      </x:c>
    </x:row>
    <x:row r="1264">
      <x:c r="A1264" s="187" t="n">
        <x:v>44217</x:v>
      </x:c>
      <x:c r="B1264" s="195" t="n">
        <x:v>1.12</x:v>
      </x:c>
      <x:c r="C1264" s="195" t="n">
        <x:v>-0.98</x:v>
      </x:c>
      <x:c r="D1264" s="195" t="n">
        <x:f>IFERROR(B1264-C1264,"")</x:f>
        <x:v>2.1</x:v>
      </x:c>
    </x:row>
    <x:row r="1265">
      <x:c r="A1265" s="187" t="n">
        <x:v>44218</x:v>
      </x:c>
      <x:c r="B1265" s="195" t="n">
        <x:v>1.1</x:v>
      </x:c>
      <x:c r="C1265" s="195" t="n">
        <x:v>-0.99</x:v>
      </x:c>
      <x:c r="D1265" s="195" t="n">
        <x:f>IFERROR(B1265-C1265,"")</x:f>
        <x:v>2.09</x:v>
      </x:c>
    </x:row>
    <x:row r="1266">
      <x:c r="A1266" s="187" t="n">
        <x:v>44221</x:v>
      </x:c>
      <x:c r="B1266" s="195" t="n">
        <x:v>1.05</x:v>
      </x:c>
      <x:c r="C1266" s="195" t="n">
        <x:v>-1.03</x:v>
      </x:c>
      <x:c r="D1266" s="195" t="n">
        <x:f>IFERROR(B1266-C1266,"")</x:f>
        <x:v>2.08</x:v>
      </x:c>
    </x:row>
    <x:row r="1267">
      <x:c r="A1267" s="187" t="n">
        <x:v>44222</x:v>
      </x:c>
      <x:c r="B1267" s="195" t="n">
        <x:v>1.05</x:v>
      </x:c>
      <x:c r="C1267" s="195" t="n">
        <x:v>-1.03</x:v>
      </x:c>
      <x:c r="D1267" s="195" t="n">
        <x:f>IFERROR(B1267-C1267,"")</x:f>
        <x:v>2.08</x:v>
      </x:c>
    </x:row>
    <x:row r="1268">
      <x:c r="A1268" s="187" t="n">
        <x:v>44223</x:v>
      </x:c>
      <x:c r="B1268" s="195" t="n">
        <x:v>1.04</x:v>
      </x:c>
      <x:c r="C1268" s="195" t="n">
        <x:v>-1.04</x:v>
      </x:c>
      <x:c r="D1268" s="195" t="n">
        <x:f>IFERROR(B1268-C1268,"")</x:f>
        <x:v>2.08</x:v>
      </x:c>
    </x:row>
    <x:row r="1269">
      <x:c r="A1269" s="187" t="n">
        <x:v>44224</x:v>
      </x:c>
      <x:c r="B1269" s="195" t="n">
        <x:v>1.07</x:v>
      </x:c>
      <x:c r="C1269" s="195" t="n">
        <x:v>-1.06</x:v>
      </x:c>
      <x:c r="D1269" s="195" t="n">
        <x:f>IFERROR(B1269-C1269,"")</x:f>
        <x:v>2.13</x:v>
      </x:c>
    </x:row>
    <x:row r="1270">
      <x:c r="A1270" s="187" t="n">
        <x:v>44225</x:v>
      </x:c>
      <x:c r="B1270" s="195" t="n">
        <x:v>1.11</x:v>
      </x:c>
      <x:c r="C1270" s="195" t="n">
        <x:v>-1.02</x:v>
      </x:c>
      <x:c r="D1270" s="195" t="n">
        <x:f>IFERROR(B1270-C1270,"")</x:f>
        <x:v>2.13</x:v>
      </x:c>
    </x:row>
    <x:row r="1271">
      <x:c r="A1271" s="187" t="n">
        <x:v>44228</x:v>
      </x:c>
      <x:c r="B1271" s="195" t="n">
        <x:v>1.09</x:v>
      </x:c>
      <x:c r="C1271" s="195" t="n">
        <x:v>-1.02</x:v>
      </x:c>
      <x:c r="D1271" s="195" t="n">
        <x:f>IFERROR(B1271-C1271,"")</x:f>
        <x:v>2.1100000000000003</x:v>
      </x:c>
    </x:row>
    <x:row r="1272">
      <x:c r="A1272" s="187" t="n">
        <x:v>44229</x:v>
      </x:c>
      <x:c r="B1272" s="195" t="n">
        <x:v>1.12</x:v>
      </x:c>
      <x:c r="C1272" s="195" t="n">
        <x:v>-1.03</x:v>
      </x:c>
      <x:c r="D1272" s="195" t="n">
        <x:f>IFERROR(B1272-C1272,"")</x:f>
        <x:v>2.1500000000000004</x:v>
      </x:c>
    </x:row>
    <x:row r="1273">
      <x:c r="A1273" s="187" t="n">
        <x:v>44230</x:v>
      </x:c>
      <x:c r="B1273" s="195" t="n">
        <x:v>1.15</x:v>
      </x:c>
      <x:c r="C1273" s="195" t="n">
        <x:v>-1.04</x:v>
      </x:c>
      <x:c r="D1273" s="195" t="n">
        <x:f>IFERROR(B1273-C1273,"")</x:f>
        <x:v>2.19</x:v>
      </x:c>
    </x:row>
    <x:row r="1274">
      <x:c r="A1274" s="187" t="n">
        <x:v>44231</x:v>
      </x:c>
      <x:c r="B1274" s="195" t="n">
        <x:v>1.15</x:v>
      </x:c>
      <x:c r="C1274" s="195" t="n">
        <x:v>-1.02</x:v>
      </x:c>
      <x:c r="D1274" s="195" t="n">
        <x:f>IFERROR(B1274-C1274,"")</x:f>
        <x:v>2.17</x:v>
      </x:c>
    </x:row>
    <x:row r="1275">
      <x:c r="A1275" s="187" t="n">
        <x:v>44232</x:v>
      </x:c>
      <x:c r="B1275" s="195" t="n">
        <x:v>1.19</x:v>
      </x:c>
      <x:c r="C1275" s="195" t="n">
        <x:v>-1.02</x:v>
      </x:c>
      <x:c r="D1275" s="195" t="n">
        <x:f>IFERROR(B1275-C1275,"")</x:f>
        <x:v>2.21</x:v>
      </x:c>
    </x:row>
    <x:row r="1276">
      <x:c r="A1276" s="187" t="n">
        <x:v>44235</x:v>
      </x:c>
      <x:c r="B1276" s="195" t="n">
        <x:v>1.19</x:v>
      </x:c>
      <x:c r="C1276" s="195" t="n">
        <x:v>-1.03</x:v>
      </x:c>
      <x:c r="D1276" s="195" t="n">
        <x:f>IFERROR(B1276-C1276,"")</x:f>
        <x:v>2.2199999999999998</x:v>
      </x:c>
    </x:row>
    <x:row r="1277">
      <x:c r="A1277" s="187" t="n">
        <x:v>44236</x:v>
      </x:c>
      <x:c r="B1277" s="195" t="n">
        <x:v>1.18</x:v>
      </x:c>
      <x:c r="C1277" s="195" t="n">
        <x:v>-1.04</x:v>
      </x:c>
      <x:c r="D1277" s="195" t="n">
        <x:f>IFERROR(B1277-C1277,"")</x:f>
        <x:v>2.2199999999999998</x:v>
      </x:c>
    </x:row>
    <x:row r="1278">
      <x:c r="A1278" s="187" t="n">
        <x:v>44237</x:v>
      </x:c>
      <x:c r="B1278" s="195" t="n">
        <x:v>1.15</x:v>
      </x:c>
      <x:c r="C1278" s="195" t="n">
        <x:v>-1.06</x:v>
      </x:c>
      <x:c r="D1278" s="195" t="n">
        <x:f>IFERROR(B1278-C1278,"")</x:f>
        <x:v>2.21</x:v>
      </x:c>
    </x:row>
    <x:row r="1279">
      <x:c r="A1279" s="187" t="n">
        <x:v>44238</x:v>
      </x:c>
      <x:c r="B1279" s="195" t="n">
        <x:v>1.16</x:v>
      </x:c>
      <x:c r="C1279" s="195" t="n">
        <x:v>-1.04</x:v>
      </x:c>
      <x:c r="D1279" s="195" t="n">
        <x:f>IFERROR(B1279-C1279,"")</x:f>
        <x:v>2.2</x:v>
      </x:c>
    </x:row>
    <x:row r="1280">
      <x:c r="A1280" s="187" t="n">
        <x:v>44239</x:v>
      </x:c>
      <x:c r="B1280" s="195" t="n">
        <x:v>1.2</x:v>
      </x:c>
      <x:c r="C1280" s="195" t="n">
        <x:v>-1.01</x:v>
      </x:c>
      <x:c r="D1280" s="195" t="n">
        <x:f>IFERROR(B1280-C1280,"")</x:f>
        <x:v>2.21</x:v>
      </x:c>
    </x:row>
    <x:row r="1281">
      <x:c r="A1281" s="187" t="n">
        <x:v>44243</x:v>
      </x:c>
      <x:c r="B1281" s="195" t="n">
        <x:v>1.3</x:v>
      </x:c>
      <x:c r="C1281" s="195" t="n">
        <x:v>-0.94</x:v>
      </x:c>
      <x:c r="D1281" s="195" t="n">
        <x:f>IFERROR(B1281-C1281,"")</x:f>
        <x:v>2.24</x:v>
      </x:c>
    </x:row>
    <x:row r="1282">
      <x:c r="A1282" s="187" t="n">
        <x:v>44244</x:v>
      </x:c>
      <x:c r="B1282" s="195" t="n">
        <x:v>1.29</x:v>
      </x:c>
      <x:c r="C1282" s="195" t="n">
        <x:v>-0.92</x:v>
      </x:c>
      <x:c r="D1282" s="195" t="n">
        <x:f>IFERROR(B1282-C1282,"")</x:f>
        <x:v>2.21</x:v>
      </x:c>
    </x:row>
    <x:row r="1283">
      <x:c r="A1283" s="187" t="n">
        <x:v>44245</x:v>
      </x:c>
      <x:c r="B1283" s="195" t="n">
        <x:v>1.29</x:v>
      </x:c>
      <x:c r="C1283" s="195" t="n">
        <x:v>-0.87</x:v>
      </x:c>
      <x:c r="D1283" s="195" t="n">
        <x:f>IFERROR(B1283-C1283,"")</x:f>
        <x:v>2.16</x:v>
      </x:c>
    </x:row>
    <x:row r="1284">
      <x:c r="A1284" s="187" t="n">
        <x:v>44246</x:v>
      </x:c>
      <x:c r="B1284" s="195" t="n">
        <x:v>1.34</x:v>
      </x:c>
      <x:c r="C1284" s="195" t="n">
        <x:v>-0.8</x:v>
      </x:c>
      <x:c r="D1284" s="195" t="n">
        <x:f>IFERROR(B1284-C1284,"")</x:f>
        <x:v>2.14</x:v>
      </x:c>
    </x:row>
    <x:row r="1285">
      <x:c r="A1285" s="187" t="n">
        <x:v>44249</x:v>
      </x:c>
      <x:c r="B1285" s="195" t="n">
        <x:v>1.37</x:v>
      </x:c>
      <x:c r="C1285" s="195" t="n">
        <x:v>-0.79</x:v>
      </x:c>
      <x:c r="D1285" s="195" t="n">
        <x:f>IFERROR(B1285-C1285,"")</x:f>
        <x:v>2.16</x:v>
      </x:c>
    </x:row>
    <x:row r="1286">
      <x:c r="A1286" s="187" t="n">
        <x:v>44250</x:v>
      </x:c>
      <x:c r="B1286" s="195" t="n">
        <x:v>1.37</x:v>
      </x:c>
      <x:c r="C1286" s="195" t="n">
        <x:v>-0.79</x:v>
      </x:c>
      <x:c r="D1286" s="195" t="n">
        <x:f>IFERROR(B1286-C1286,"")</x:f>
        <x:v>2.16</x:v>
      </x:c>
    </x:row>
    <x:row r="1287">
      <x:c r="A1287" s="187" t="n">
        <x:v>44251</x:v>
      </x:c>
      <x:c r="B1287" s="195" t="n">
        <x:v>1.38</x:v>
      </x:c>
      <x:c r="C1287" s="195" t="n">
        <x:v>-0.79</x:v>
      </x:c>
      <x:c r="D1287" s="195" t="n">
        <x:f>IFERROR(B1287-C1287,"")</x:f>
        <x:v>2.17</x:v>
      </x:c>
    </x:row>
    <x:row r="1288">
      <x:c r="A1288" s="187" t="n">
        <x:v>44252</x:v>
      </x:c>
      <x:c r="B1288" s="195" t="n">
        <x:v>1.54</x:v>
      </x:c>
      <x:c r="C1288" s="195" t="n">
        <x:v>-0.6</x:v>
      </x:c>
      <x:c r="D1288" s="195" t="n">
        <x:f>IFERROR(B1288-C1288,"")</x:f>
        <x:v>2.14</x:v>
      </x:c>
    </x:row>
    <x:row r="1289">
      <x:c r="A1289" s="187" t="n">
        <x:v>44253</x:v>
      </x:c>
      <x:c r="B1289" s="195" t="n">
        <x:v>1.44</x:v>
      </x:c>
      <x:c r="C1289" s="195" t="n">
        <x:v>-0.71</x:v>
      </x:c>
      <x:c r="D1289" s="195" t="n">
        <x:f>IFERROR(B1289-C1289,"")</x:f>
        <x:v>2.15</x:v>
      </x:c>
    </x:row>
    <x:row r="1290">
      <x:c r="A1290" s="187" t="n">
        <x:v>44256</x:v>
      </x:c>
      <x:c r="B1290" s="195" t="n">
        <x:v>1.45</x:v>
      </x:c>
      <x:c r="C1290" s="195" t="n">
        <x:v>-0.71</x:v>
      </x:c>
      <x:c r="D1290" s="195" t="n">
        <x:f>IFERROR(B1290-C1290,"")</x:f>
        <x:v>2.16</x:v>
      </x:c>
    </x:row>
    <x:row r="1291">
      <x:c r="A1291" s="187" t="n">
        <x:v>44257</x:v>
      </x:c>
      <x:c r="B1291" s="195" t="n">
        <x:v>1.42</x:v>
      </x:c>
      <x:c r="C1291" s="195" t="n">
        <x:v>-0.78</x:v>
      </x:c>
      <x:c r="D1291" s="195" t="n">
        <x:f>IFERROR(B1291-C1291,"")</x:f>
        <x:v>2.2</x:v>
      </x:c>
    </x:row>
    <x:row r="1292">
      <x:c r="A1292" s="187" t="n">
        <x:v>44258</x:v>
      </x:c>
      <x:c r="B1292" s="195" t="n">
        <x:v>1.47</x:v>
      </x:c>
      <x:c r="C1292" s="195" t="n">
        <x:v>-0.74</x:v>
      </x:c>
      <x:c r="D1292" s="195" t="n">
        <x:f>IFERROR(B1292-C1292,"")</x:f>
        <x:v>2.21</x:v>
      </x:c>
    </x:row>
    <x:row r="1293">
      <x:c r="A1293" s="187" t="n">
        <x:v>44259</x:v>
      </x:c>
      <x:c r="B1293" s="195" t="n">
        <x:v>1.54</x:v>
      </x:c>
      <x:c r="C1293" s="195" t="n">
        <x:v>-0.66</x:v>
      </x:c>
      <x:c r="D1293" s="195" t="n">
        <x:f>IFERROR(B1293-C1293,"")</x:f>
        <x:v>2.2</x:v>
      </x:c>
    </x:row>
    <x:row r="1294">
      <x:c r="A1294" s="187" t="n">
        <x:v>44260</x:v>
      </x:c>
      <x:c r="B1294" s="195" t="n">
        <x:v>1.56</x:v>
      </x:c>
      <x:c r="C1294" s="195" t="n">
        <x:v>-0.66</x:v>
      </x:c>
      <x:c r="D1294" s="195" t="n">
        <x:f>IFERROR(B1294-C1294,"")</x:f>
        <x:v>2.22</x:v>
      </x:c>
    </x:row>
    <x:row r="1295">
      <x:c r="A1295" s="187" t="n">
        <x:v>44263</x:v>
      </x:c>
      <x:c r="B1295" s="195" t="n">
        <x:v>1.59</x:v>
      </x:c>
      <x:c r="C1295" s="195" t="n">
        <x:v>-0.62</x:v>
      </x:c>
      <x:c r="D1295" s="195" t="n">
        <x:f>IFERROR(B1295-C1295,"")</x:f>
        <x:v>2.21</x:v>
      </x:c>
    </x:row>
    <x:row r="1296">
      <x:c r="A1296" s="187" t="n">
        <x:v>44264</x:v>
      </x:c>
      <x:c r="B1296" s="195" t="n">
        <x:v>1.55</x:v>
      </x:c>
      <x:c r="C1296" s="195" t="n">
        <x:v>-0.66</x:v>
      </x:c>
      <x:c r="D1296" s="195" t="n">
        <x:f>IFERROR(B1296-C1296,"")</x:f>
        <x:v>2.21</x:v>
      </x:c>
    </x:row>
    <x:row r="1297">
      <x:c r="A1297" s="187" t="n">
        <x:v>44265</x:v>
      </x:c>
      <x:c r="B1297" s="195" t="n">
        <x:v>1.53</x:v>
      </x:c>
      <x:c r="C1297" s="195" t="n">
        <x:v>-0.73</x:v>
      </x:c>
      <x:c r="D1297" s="195" t="n">
        <x:f>IFERROR(B1297-C1297,"")</x:f>
        <x:v>2.26</x:v>
      </x:c>
    </x:row>
    <x:row r="1298">
      <x:c r="A1298" s="187" t="n">
        <x:v>44266</x:v>
      </x:c>
      <x:c r="B1298" s="195" t="n">
        <x:v>1.54</x:v>
      </x:c>
      <x:c r="C1298" s="195" t="n">
        <x:v>-0.74</x:v>
      </x:c>
      <x:c r="D1298" s="195" t="n">
        <x:f>IFERROR(B1298-C1298,"")</x:f>
        <x:v>2.2800000000000002</x:v>
      </x:c>
    </x:row>
    <x:row r="1299">
      <x:c r="A1299" s="187" t="n">
        <x:v>44267</x:v>
      </x:c>
      <x:c r="B1299" s="195" t="n">
        <x:v>1.64</x:v>
      </x:c>
      <x:c r="C1299" s="195" t="n">
        <x:v>-0.62</x:v>
      </x:c>
      <x:c r="D1299" s="195" t="n">
        <x:f>IFERROR(B1299-C1299,"")</x:f>
        <x:v>2.26</x:v>
      </x:c>
    </x:row>
    <x:row r="1300">
      <x:c r="A1300" s="187" t="n">
        <x:v>44270</x:v>
      </x:c>
      <x:c r="B1300" s="195" t="n">
        <x:v>1.62</x:v>
      </x:c>
      <x:c r="C1300" s="195" t="n">
        <x:v>-0.65</x:v>
      </x:c>
      <x:c r="D1300" s="195" t="n">
        <x:f>IFERROR(B1300-C1300,"")</x:f>
        <x:v>2.27</x:v>
      </x:c>
    </x:row>
    <x:row r="1301">
      <x:c r="A1301" s="187" t="n">
        <x:v>44271</x:v>
      </x:c>
      <x:c r="B1301" s="195" t="n">
        <x:v>1.62</x:v>
      </x:c>
      <x:c r="C1301" s="195" t="n">
        <x:v>-0.68</x:v>
      </x:c>
      <x:c r="D1301" s="195" t="n">
        <x:f>IFERROR(B1301-C1301,"")</x:f>
        <x:v>2.3000000000000003</x:v>
      </x:c>
    </x:row>
    <x:row r="1302">
      <x:c r="A1302" s="187" t="n">
        <x:v>44272</x:v>
      </x:c>
      <x:c r="B1302" s="195" t="n">
        <x:v>1.63</x:v>
      </x:c>
      <x:c r="C1302" s="195" t="n">
        <x:v>-0.67</x:v>
      </x:c>
      <x:c r="D1302" s="195" t="n">
        <x:f>IFERROR(B1302-C1302,"")</x:f>
        <x:v>2.3</x:v>
      </x:c>
    </x:row>
    <x:row r="1303">
      <x:c r="A1303" s="187" t="n">
        <x:v>44273</x:v>
      </x:c>
      <x:c r="B1303" s="195" t="n">
        <x:v>1.71</x:v>
      </x:c>
      <x:c r="C1303" s="195" t="n">
        <x:v>-0.56</x:v>
      </x:c>
      <x:c r="D1303" s="195" t="n">
        <x:f>IFERROR(B1303-C1303,"")</x:f>
        <x:v>2.27</x:v>
      </x:c>
    </x:row>
    <x:row r="1304">
      <x:c r="A1304" s="187" t="n">
        <x:v>44274</x:v>
      </x:c>
      <x:c r="B1304" s="195" t="n">
        <x:v>1.74</x:v>
      </x:c>
      <x:c r="C1304" s="195" t="n">
        <x:v>-0.57</x:v>
      </x:c>
      <x:c r="D1304" s="195" t="n">
        <x:f>IFERROR(B1304-C1304,"")</x:f>
        <x:v>2.31</x:v>
      </x:c>
    </x:row>
    <x:row r="1305">
      <x:c r="A1305" s="187" t="n">
        <x:v>44277</x:v>
      </x:c>
      <x:c r="B1305" s="195" t="n">
        <x:v>1.69</x:v>
      </x:c>
      <x:c r="C1305" s="195" t="n">
        <x:v>-0.64</x:v>
      </x:c>
      <x:c r="D1305" s="195" t="n">
        <x:f>IFERROR(B1305-C1305,"")</x:f>
        <x:v>2.33</x:v>
      </x:c>
    </x:row>
    <x:row r="1306">
      <x:c r="A1306" s="187" t="n">
        <x:v>44278</x:v>
      </x:c>
      <x:c r="B1306" s="195" t="n">
        <x:v>1.63</x:v>
      </x:c>
      <x:c r="C1306" s="195" t="n">
        <x:v>-0.66</x:v>
      </x:c>
      <x:c r="D1306" s="195" t="n">
        <x:f>IFERROR(B1306-C1306,"")</x:f>
        <x:v>2.29</x:v>
      </x:c>
    </x:row>
    <x:row r="1307">
      <x:c r="A1307" s="187" t="n">
        <x:v>44279</x:v>
      </x:c>
      <x:c r="B1307" s="195" t="n">
        <x:v>1.62</x:v>
      </x:c>
      <x:c r="C1307" s="195" t="n">
        <x:v>-0.69</x:v>
      </x:c>
      <x:c r="D1307" s="195" t="n">
        <x:f>IFERROR(B1307-C1307,"")</x:f>
        <x:v>2.31</x:v>
      </x:c>
    </x:row>
    <x:row r="1308">
      <x:c r="A1308" s="187" t="n">
        <x:v>44280</x:v>
      </x:c>
      <x:c r="B1308" s="195" t="n">
        <x:v>1.63</x:v>
      </x:c>
      <x:c r="C1308" s="195" t="n">
        <x:v>-0.69</x:v>
      </x:c>
      <x:c r="D1308" s="195" t="n">
        <x:f>IFERROR(B1308-C1308,"")</x:f>
        <x:v>2.32</x:v>
      </x:c>
    </x:row>
    <x:row r="1309">
      <x:c r="A1309" s="187" t="n">
        <x:v>44281</x:v>
      </x:c>
      <x:c r="B1309" s="195" t="n">
        <x:v>1.67</x:v>
      </x:c>
      <x:c r="C1309" s="195" t="n">
        <x:v>-0.67</x:v>
      </x:c>
      <x:c r="D1309" s="195" t="n">
        <x:f>IFERROR(B1309-C1309,"")</x:f>
        <x:v>2.34</x:v>
      </x:c>
    </x:row>
    <x:row r="1310">
      <x:c r="A1310" s="187" t="n">
        <x:v>44284</x:v>
      </x:c>
      <x:c r="B1310" s="195" t="n">
        <x:v>1.73</x:v>
      </x:c>
      <x:c r="C1310" s="195" t="n">
        <x:v>-0.63</x:v>
      </x:c>
      <x:c r="D1310" s="195" t="n">
        <x:f>IFERROR(B1310-C1310,"")</x:f>
        <x:v>2.36</x:v>
      </x:c>
    </x:row>
    <x:row r="1311">
      <x:c r="A1311" s="187" t="n">
        <x:v>44285</x:v>
      </x:c>
      <x:c r="B1311" s="195" t="n">
        <x:v>1.73</x:v>
      </x:c>
      <x:c r="C1311" s="195" t="n">
        <x:v>-0.62</x:v>
      </x:c>
      <x:c r="D1311" s="195" t="n">
        <x:f>IFERROR(B1311-C1311,"")</x:f>
        <x:v>2.35</x:v>
      </x:c>
    </x:row>
    <x:row r="1312">
      <x:c r="A1312" s="187" t="n">
        <x:v>44286</x:v>
      </x:c>
      <x:c r="B1312" s="195" t="n">
        <x:v>1.74</x:v>
      </x:c>
      <x:c r="C1312" s="195" t="n">
        <x:v>-0.63</x:v>
      </x:c>
      <x:c r="D1312" s="195" t="n">
        <x:f>IFERROR(B1312-C1312,"")</x:f>
        <x:v>2.37</x:v>
      </x:c>
    </x:row>
    <x:row r="1313">
      <x:c r="A1313" s="187" t="n">
        <x:v>44287</x:v>
      </x:c>
      <x:c r="B1313" s="195" t="n">
        <x:v>1.69</x:v>
      </x:c>
      <x:c r="C1313" s="195" t="n">
        <x:v>-0.66</x:v>
      </x:c>
      <x:c r="D1313" s="195" t="n">
        <x:f>IFERROR(B1313-C1313,"")</x:f>
        <x:v>2.35</x:v>
      </x:c>
    </x:row>
    <x:row r="1314">
      <x:c r="A1314" s="187" t="n">
        <x:v>44288</x:v>
      </x:c>
      <x:c r="B1314" s="195" t="n">
        <x:v>1.72</x:v>
      </x:c>
      <x:c r="C1314" s="195" t="n">
        <x:v>-0.64</x:v>
      </x:c>
      <x:c r="D1314" s="195" t="n">
        <x:f>IFERROR(B1314-C1314,"")</x:f>
        <x:v>2.36</x:v>
      </x:c>
    </x:row>
    <x:row r="1315">
      <x:c r="A1315" s="187" t="n">
        <x:v>44291</x:v>
      </x:c>
      <x:c r="B1315" s="195" t="n">
        <x:v>1.73</x:v>
      </x:c>
      <x:c r="C1315" s="195" t="n">
        <x:v>-0.62</x:v>
      </x:c>
      <x:c r="D1315" s="195" t="n">
        <x:f>IFERROR(B1315-C1315,"")</x:f>
        <x:v>2.35</x:v>
      </x:c>
    </x:row>
    <x:row r="1316">
      <x:c r="A1316" s="187" t="n">
        <x:v>44292</x:v>
      </x:c>
      <x:c r="B1316" s="195" t="n">
        <x:v>1.67</x:v>
      </x:c>
      <x:c r="C1316" s="195" t="n">
        <x:v>-0.65</x:v>
      </x:c>
      <x:c r="D1316" s="195" t="n">
        <x:f>IFERROR(B1316-C1316,"")</x:f>
        <x:v>2.32</x:v>
      </x:c>
    </x:row>
    <x:row r="1317">
      <x:c r="A1317" s="187" t="n">
        <x:v>44293</x:v>
      </x:c>
      <x:c r="B1317" s="195" t="n">
        <x:v>1.68</x:v>
      </x:c>
      <x:c r="C1317" s="195" t="n">
        <x:v>-0.66</x:v>
      </x:c>
      <x:c r="D1317" s="195" t="n">
        <x:f>IFERROR(B1317-C1317,"")</x:f>
        <x:v>2.34</x:v>
      </x:c>
    </x:row>
    <x:row r="1318">
      <x:c r="A1318" s="187" t="n">
        <x:v>44294</x:v>
      </x:c>
      <x:c r="B1318" s="195" t="n">
        <x:v>1.64</x:v>
      </x:c>
      <x:c r="C1318" s="195" t="n">
        <x:v>-0.69</x:v>
      </x:c>
      <x:c r="D1318" s="195" t="n">
        <x:f>IFERROR(B1318-C1318,"")</x:f>
        <x:v>2.33</x:v>
      </x:c>
    </x:row>
    <x:row r="1319">
      <x:c r="A1319" s="187" t="n">
        <x:v>44295</x:v>
      </x:c>
      <x:c r="B1319" s="195" t="n">
        <x:v>1.67</x:v>
      </x:c>
      <x:c r="C1319" s="195" t="n">
        <x:v>-0.64</x:v>
      </x:c>
      <x:c r="D1319" s="195" t="n">
        <x:f>IFERROR(B1319-C1319,"")</x:f>
        <x:v>2.31</x:v>
      </x:c>
    </x:row>
    <x:row r="1320">
      <x:c r="A1320" s="187" t="n">
        <x:v>44298</x:v>
      </x:c>
      <x:c r="B1320" s="195" t="n">
        <x:v>1.69</x:v>
      </x:c>
      <x:c r="C1320" s="195" t="n">
        <x:v>-0.64</x:v>
      </x:c>
      <x:c r="D1320" s="195" t="n">
        <x:f>IFERROR(B1320-C1320,"")</x:f>
        <x:v>2.33</x:v>
      </x:c>
    </x:row>
    <x:row r="1321">
      <x:c r="A1321" s="187" t="n">
        <x:v>44299</x:v>
      </x:c>
      <x:c r="B1321" s="195" t="n">
        <x:v>1.64</x:v>
      </x:c>
      <x:c r="C1321" s="195" t="n">
        <x:v>-0.69</x:v>
      </x:c>
      <x:c r="D1321" s="195" t="n">
        <x:f>IFERROR(B1321-C1321,"")</x:f>
        <x:v>2.33</x:v>
      </x:c>
    </x:row>
    <x:row r="1322">
      <x:c r="A1322" s="187" t="n">
        <x:v>44300</x:v>
      </x:c>
      <x:c r="B1322" s="195" t="n">
        <x:v>1.64</x:v>
      </x:c>
      <x:c r="C1322" s="195" t="n">
        <x:v>-0.69</x:v>
      </x:c>
      <x:c r="D1322" s="195" t="n">
        <x:f>IFERROR(B1322-C1322,"")</x:f>
        <x:v>2.33</x:v>
      </x:c>
    </x:row>
    <x:row r="1323">
      <x:c r="A1323" s="187" t="n">
        <x:v>44301</x:v>
      </x:c>
      <x:c r="B1323" s="195" t="n">
        <x:v>1.56</x:v>
      </x:c>
      <x:c r="C1323" s="195" t="n">
        <x:v>-0.77</x:v>
      </x:c>
      <x:c r="D1323" s="195" t="n">
        <x:f>IFERROR(B1323-C1323,"")</x:f>
        <x:v>2.33</x:v>
      </x:c>
    </x:row>
    <x:row r="1324">
      <x:c r="A1324" s="187" t="n">
        <x:v>44302</x:v>
      </x:c>
      <x:c r="B1324" s="195" t="n">
        <x:v>1.59</x:v>
      </x:c>
      <x:c r="C1324" s="195" t="n">
        <x:v>-0.77</x:v>
      </x:c>
      <x:c r="D1324" s="195" t="n">
        <x:f>IFERROR(B1324-C1324,"")</x:f>
        <x:v>2.3600000000000003</x:v>
      </x:c>
    </x:row>
    <x:row r="1325">
      <x:c r="A1325" s="187" t="n">
        <x:v>44305</x:v>
      </x:c>
      <x:c r="B1325" s="195" t="n">
        <x:v>1.61</x:v>
      </x:c>
      <x:c r="C1325" s="195" t="n">
        <x:v>-0.73</x:v>
      </x:c>
      <x:c r="D1325" s="195" t="n">
        <x:f>IFERROR(B1325-C1325,"")</x:f>
        <x:v>2.34</x:v>
      </x:c>
    </x:row>
    <x:row r="1326">
      <x:c r="A1326" s="187" t="n">
        <x:v>44306</x:v>
      </x:c>
      <x:c r="B1326" s="195" t="n">
        <x:v>1.58</x:v>
      </x:c>
      <x:c r="C1326" s="195" t="n">
        <x:v>-0.74</x:v>
      </x:c>
      <x:c r="D1326" s="195" t="n">
        <x:f>IFERROR(B1326-C1326,"")</x:f>
        <x:v>2.3200000000000003</x:v>
      </x:c>
    </x:row>
    <x:row r="1327">
      <x:c r="A1327" s="187" t="n">
        <x:v>44307</x:v>
      </x:c>
      <x:c r="B1327" s="195" t="n">
        <x:v>1.57</x:v>
      </x:c>
      <x:c r="C1327" s="195" t="n">
        <x:v>-0.76</x:v>
      </x:c>
      <x:c r="D1327" s="195" t="n">
        <x:f>IFERROR(B1327-C1327,"")</x:f>
        <x:v>2.33</x:v>
      </x:c>
    </x:row>
    <x:row r="1328">
      <x:c r="A1328" s="187" t="n">
        <x:v>44308</x:v>
      </x:c>
      <x:c r="B1328" s="195" t="n">
        <x:v>1.57</x:v>
      </x:c>
      <x:c r="C1328" s="195" t="n">
        <x:v>-0.76</x:v>
      </x:c>
      <x:c r="D1328" s="195" t="n">
        <x:f>IFERROR(B1328-C1328,"")</x:f>
        <x:v>2.33</x:v>
      </x:c>
    </x:row>
    <x:row r="1329">
      <x:c r="A1329" s="187" t="n">
        <x:v>44309</x:v>
      </x:c>
      <x:c r="B1329" s="195" t="n">
        <x:v>1.58</x:v>
      </x:c>
      <x:c r="C1329" s="195" t="n">
        <x:v>-0.76</x:v>
      </x:c>
      <x:c r="D1329" s="195" t="n">
        <x:f>IFERROR(B1329-C1329,"")</x:f>
        <x:v>2.34</x:v>
      </x:c>
    </x:row>
    <x:row r="1330">
      <x:c r="A1330" s="187" t="n">
        <x:v>44312</x:v>
      </x:c>
      <x:c r="B1330" s="195" t="n">
        <x:v>1.58</x:v>
      </x:c>
      <x:c r="C1330" s="195" t="n">
        <x:v>-0.78</x:v>
      </x:c>
      <x:c r="D1330" s="195" t="n">
        <x:f>IFERROR(B1330-C1330,"")</x:f>
        <x:v>2.3600000000000003</x:v>
      </x:c>
    </x:row>
    <x:row r="1331">
      <x:c r="A1331" s="187" t="n">
        <x:v>44313</x:v>
      </x:c>
      <x:c r="B1331" s="195" t="n">
        <x:v>1.63</x:v>
      </x:c>
      <x:c r="C1331" s="195" t="n">
        <x:v>-0.76</x:v>
      </x:c>
      <x:c r="D1331" s="195" t="n">
        <x:f>IFERROR(B1331-C1331,"")</x:f>
        <x:v>2.3899999999999997</x:v>
      </x:c>
    </x:row>
    <x:row r="1332">
      <x:c r="A1332" s="187" t="n">
        <x:v>44314</x:v>
      </x:c>
      <x:c r="B1332" s="195" t="n">
        <x:v>1.63</x:v>
      </x:c>
      <x:c r="C1332" s="195" t="n">
        <x:v>-0.78</x:v>
      </x:c>
      <x:c r="D1332" s="195" t="n">
        <x:f>IFERROR(B1332-C1332,"")</x:f>
        <x:v>2.41</x:v>
      </x:c>
    </x:row>
    <x:row r="1333">
      <x:c r="A1333" s="187" t="n">
        <x:v>44315</x:v>
      </x:c>
      <x:c r="B1333" s="195" t="n">
        <x:v>1.65</x:v>
      </x:c>
      <x:c r="C1333" s="195" t="n">
        <x:v>-0.77</x:v>
      </x:c>
      <x:c r="D1333" s="195" t="n">
        <x:f>IFERROR(B1333-C1333,"")</x:f>
        <x:v>2.42</x:v>
      </x:c>
    </x:row>
    <x:row r="1334">
      <x:c r="A1334" s="187" t="n">
        <x:v>44316</x:v>
      </x:c>
      <x:c r="B1334" s="195" t="n">
        <x:v>1.65</x:v>
      </x:c>
      <x:c r="C1334" s="195" t="n">
        <x:v>-0.76</x:v>
      </x:c>
      <x:c r="D1334" s="195" t="n">
        <x:f>IFERROR(B1334-C1334,"")</x:f>
        <x:v>2.41</x:v>
      </x:c>
    </x:row>
    <x:row r="1335">
      <x:c r="A1335" s="187" t="n">
        <x:v>44319</x:v>
      </x:c>
      <x:c r="B1335" s="195" t="n">
        <x:v>1.63</x:v>
      </x:c>
      <x:c r="C1335" s="195" t="n">
        <x:v>-0.79</x:v>
      </x:c>
      <x:c r="D1335" s="195" t="n">
        <x:f>IFERROR(B1335-C1335,"")</x:f>
        <x:v>2.42</x:v>
      </x:c>
    </x:row>
    <x:row r="1336">
      <x:c r="A1336" s="187" t="n">
        <x:v>44320</x:v>
      </x:c>
      <x:c r="B1336" s="195" t="n">
        <x:v>1.61</x:v>
      </x:c>
      <x:c r="C1336" s="195" t="n">
        <x:v>-0.81</x:v>
      </x:c>
      <x:c r="D1336" s="195" t="n">
        <x:f>IFERROR(B1336-C1336,"")</x:f>
        <x:v>2.42</x:v>
      </x:c>
    </x:row>
    <x:row r="1337">
      <x:c r="A1337" s="187" t="n">
        <x:v>44321</x:v>
      </x:c>
      <x:c r="B1337" s="195" t="n">
        <x:v>1.59</x:v>
      </x:c>
      <x:c r="C1337" s="195" t="n">
        <x:v>-0.88</x:v>
      </x:c>
      <x:c r="D1337" s="195" t="n">
        <x:f>IFERROR(B1337-C1337,"")</x:f>
        <x:v>2.47</x:v>
      </x:c>
    </x:row>
    <x:row r="1338">
      <x:c r="A1338" s="187" t="n">
        <x:v>44322</x:v>
      </x:c>
      <x:c r="B1338" s="195" t="n">
        <x:v>1.58</x:v>
      </x:c>
      <x:c r="C1338" s="195" t="n">
        <x:v>-0.87</x:v>
      </x:c>
      <x:c r="D1338" s="195" t="n">
        <x:f>IFERROR(B1338-C1338,"")</x:f>
        <x:v>2.45</x:v>
      </x:c>
    </x:row>
    <x:row r="1339">
      <x:c r="A1339" s="187" t="n">
        <x:v>44323</x:v>
      </x:c>
      <x:c r="B1339" s="195" t="n">
        <x:v>1.6</x:v>
      </x:c>
      <x:c r="C1339" s="195" t="n">
        <x:v>-0.89</x:v>
      </x:c>
      <x:c r="D1339" s="195" t="n">
        <x:f>IFERROR(B1339-C1339,"")</x:f>
        <x:v>2.49</x:v>
      </x:c>
    </x:row>
    <x:row r="1340">
      <x:c r="A1340" s="187" t="n">
        <x:v>44326</x:v>
      </x:c>
      <x:c r="B1340" s="195" t="n">
        <x:v>1.63</x:v>
      </x:c>
      <x:c r="C1340" s="195" t="n">
        <x:v>-0.91</x:v>
      </x:c>
      <x:c r="D1340" s="195" t="n">
        <x:f>IFERROR(B1340-C1340,"")</x:f>
        <x:v>2.54</x:v>
      </x:c>
    </x:row>
    <x:row r="1341">
      <x:c r="A1341" s="187" t="n">
        <x:v>44327</x:v>
      </x:c>
      <x:c r="B1341" s="195" t="n">
        <x:v>1.64</x:v>
      </x:c>
      <x:c r="C1341" s="195" t="n">
        <x:v>-0.89</x:v>
      </x:c>
      <x:c r="D1341" s="195" t="n">
        <x:f>IFERROR(B1341-C1341,"")</x:f>
        <x:v>2.53</x:v>
      </x:c>
    </x:row>
    <x:row r="1342">
      <x:c r="A1342" s="187" t="n">
        <x:v>44328</x:v>
      </x:c>
      <x:c r="B1342" s="195" t="n">
        <x:v>1.69</x:v>
      </x:c>
      <x:c r="C1342" s="195" t="n">
        <x:v>-0.85</x:v>
      </x:c>
      <x:c r="D1342" s="195" t="n">
        <x:f>IFERROR(B1342-C1342,"")</x:f>
        <x:v>2.54</x:v>
      </x:c>
    </x:row>
    <x:row r="1343">
      <x:c r="A1343" s="187" t="n">
        <x:v>44329</x:v>
      </x:c>
      <x:c r="B1343" s="195" t="n">
        <x:v>1.66</x:v>
      </x:c>
      <x:c r="C1343" s="195" t="n">
        <x:v>-0.85</x:v>
      </x:c>
      <x:c r="D1343" s="195" t="n">
        <x:f>IFERROR(B1343-C1343,"")</x:f>
        <x:v>2.51</x:v>
      </x:c>
    </x:row>
    <x:row r="1344">
      <x:c r="A1344" s="187" t="n">
        <x:v>44330</x:v>
      </x:c>
      <x:c r="B1344" s="195" t="n">
        <x:v>1.63</x:v>
      </x:c>
      <x:c r="C1344" s="195" t="n">
        <x:v>-0.88</x:v>
      </x:c>
      <x:c r="D1344" s="195" t="n">
        <x:f>IFERROR(B1344-C1344,"")</x:f>
        <x:v>2.51</x:v>
      </x:c>
    </x:row>
    <x:row r="1345">
      <x:c r="A1345" s="187" t="n">
        <x:v>44333</x:v>
      </x:c>
      <x:c r="B1345" s="195" t="n">
        <x:v>1.64</x:v>
      </x:c>
      <x:c r="C1345" s="195" t="n">
        <x:v>-0.9</x:v>
      </x:c>
      <x:c r="D1345" s="195" t="n">
        <x:f>IFERROR(B1345-C1345,"")</x:f>
        <x:v>2.54</x:v>
      </x:c>
    </x:row>
    <x:row r="1346">
      <x:c r="A1346" s="187" t="n">
        <x:v>44334</x:v>
      </x:c>
      <x:c r="B1346" s="195" t="n">
        <x:v>1.64</x:v>
      </x:c>
      <x:c r="C1346" s="195" t="n">
        <x:v>-0.88</x:v>
      </x:c>
      <x:c r="D1346" s="195" t="n">
        <x:f>IFERROR(B1346-C1346,"")</x:f>
        <x:v>2.52</x:v>
      </x:c>
    </x:row>
    <x:row r="1347">
      <x:c r="A1347" s="187" t="n">
        <x:v>44335</x:v>
      </x:c>
      <x:c r="B1347" s="195" t="n">
        <x:v>1.68</x:v>
      </x:c>
      <x:c r="C1347" s="195" t="n">
        <x:v>-0.8</x:v>
      </x:c>
      <x:c r="D1347" s="195" t="n">
        <x:f>IFERROR(B1347-C1347,"")</x:f>
        <x:v>2.48</x:v>
      </x:c>
    </x:row>
    <x:row r="1348">
      <x:c r="A1348" s="187" t="n">
        <x:v>44336</x:v>
      </x:c>
      <x:c r="B1348" s="195" t="n">
        <x:v>1.63</x:v>
      </x:c>
      <x:c r="C1348" s="195" t="n">
        <x:v>-0.78</x:v>
      </x:c>
      <x:c r="D1348" s="195" t="n">
        <x:f>IFERROR(B1348-C1348,"")</x:f>
        <x:v>2.41</x:v>
      </x:c>
    </x:row>
    <x:row r="1349">
      <x:c r="A1349" s="187" t="n">
        <x:v>44337</x:v>
      </x:c>
      <x:c r="B1349" s="195" t="n">
        <x:v>1.63</x:v>
      </x:c>
      <x:c r="C1349" s="195" t="n">
        <x:v>-0.8</x:v>
      </x:c>
      <x:c r="D1349" s="195" t="n">
        <x:f>IFERROR(B1349-C1349,"")</x:f>
        <x:v>2.4299999999999997</x:v>
      </x:c>
    </x:row>
    <x:row r="1350">
      <x:c r="A1350" s="187" t="n">
        <x:v>44340</x:v>
      </x:c>
      <x:c r="B1350" s="195" t="n">
        <x:v>1.61</x:v>
      </x:c>
      <x:c r="C1350" s="195" t="n">
        <x:v>-0.83</x:v>
      </x:c>
      <x:c r="D1350" s="195" t="n">
        <x:f>IFERROR(B1350-C1350,"")</x:f>
        <x:v>2.44</x:v>
      </x:c>
    </x:row>
    <x:row r="1351">
      <x:c r="A1351" s="187" t="n">
        <x:v>44341</x:v>
      </x:c>
      <x:c r="B1351" s="195" t="n">
        <x:v>1.56</x:v>
      </x:c>
      <x:c r="C1351" s="195" t="n">
        <x:v>-0.86</x:v>
      </x:c>
      <x:c r="D1351" s="195" t="n">
        <x:f>IFERROR(B1351-C1351,"")</x:f>
        <x:v>2.42</x:v>
      </x:c>
    </x:row>
    <x:row r="1352">
      <x:c r="A1352" s="187" t="n">
        <x:v>44342</x:v>
      </x:c>
      <x:c r="B1352" s="195" t="n">
        <x:v>1.58</x:v>
      </x:c>
      <x:c r="C1352" s="195" t="n">
        <x:v>-0.82</x:v>
      </x:c>
      <x:c r="D1352" s="195" t="n">
        <x:f>IFERROR(B1352-C1352,"")</x:f>
        <x:v>2.4</x:v>
      </x:c>
    </x:row>
    <x:row r="1353">
      <x:c r="A1353" s="187" t="n">
        <x:v>44343</x:v>
      </x:c>
      <x:c r="B1353" s="195" t="n">
        <x:v>1.61</x:v>
      </x:c>
      <x:c r="C1353" s="195" t="n">
        <x:v>-0.81</x:v>
      </x:c>
      <x:c r="D1353" s="195" t="n">
        <x:f>IFERROR(B1353-C1353,"")</x:f>
        <x:v>2.42</x:v>
      </x:c>
    </x:row>
    <x:row r="1354">
      <x:c r="A1354" s="187" t="n">
        <x:v>44344</x:v>
      </x:c>
      <x:c r="B1354" s="195" t="n">
        <x:v>1.58</x:v>
      </x:c>
      <x:c r="C1354" s="195" t="n">
        <x:v>-0.84</x:v>
      </x:c>
      <x:c r="D1354" s="195" t="n">
        <x:f>IFERROR(B1354-C1354,"")</x:f>
        <x:v>2.42</x:v>
      </x:c>
    </x:row>
    <x:row r="1355">
      <x:c r="A1355" s="187" t="n">
        <x:v>44348</x:v>
      </x:c>
      <x:c r="B1355" s="195" t="n">
        <x:v>1.62</x:v>
      </x:c>
      <x:c r="C1355" s="195" t="n">
        <x:v>-0.84</x:v>
      </x:c>
      <x:c r="D1355" s="195" t="n">
        <x:f>IFERROR(B1355-C1355,"")</x:f>
        <x:v>2.46</x:v>
      </x:c>
    </x:row>
    <x:row r="1356">
      <x:c r="A1356" s="187" t="n">
        <x:v>44349</x:v>
      </x:c>
      <x:c r="B1356" s="195" t="n">
        <x:v>1.59</x:v>
      </x:c>
      <x:c r="C1356" s="195" t="n">
        <x:v>-0.85</x:v>
      </x:c>
      <x:c r="D1356" s="195" t="n">
        <x:f>IFERROR(B1356-C1356,"")</x:f>
        <x:v>2.44</x:v>
      </x:c>
    </x:row>
    <x:row r="1357">
      <x:c r="A1357" s="187" t="n">
        <x:v>44350</x:v>
      </x:c>
      <x:c r="B1357" s="195" t="n">
        <x:v>1.63</x:v>
      </x:c>
      <x:c r="C1357" s="195" t="n">
        <x:v>-0.79</x:v>
      </x:c>
      <x:c r="D1357" s="195" t="n">
        <x:f>IFERROR(B1357-C1357,"")</x:f>
        <x:v>2.42</x:v>
      </x:c>
    </x:row>
    <x:row r="1358">
      <x:c r="A1358" s="187" t="n">
        <x:v>44351</x:v>
      </x:c>
      <x:c r="B1358" s="195" t="n">
        <x:v>1.56</x:v>
      </x:c>
      <x:c r="C1358" s="195" t="n">
        <x:v>-0.84</x:v>
      </x:c>
      <x:c r="D1358" s="195" t="n">
        <x:f>IFERROR(B1358-C1358,"")</x:f>
        <x:v>2.4</x:v>
      </x:c>
    </x:row>
    <x:row r="1359">
      <x:c r="A1359" s="187" t="n">
        <x:v>44354</x:v>
      </x:c>
      <x:c r="B1359" s="195" t="n">
        <x:v>1.57</x:v>
      </x:c>
      <x:c r="C1359" s="195" t="n">
        <x:v>-0.82</x:v>
      </x:c>
      <x:c r="D1359" s="195" t="n">
        <x:f>IFERROR(B1359-C1359,"")</x:f>
        <x:v>2.39</x:v>
      </x:c>
    </x:row>
    <x:row r="1360">
      <x:c r="A1360" s="187" t="n">
        <x:v>44355</x:v>
      </x:c>
      <x:c r="B1360" s="195" t="n">
        <x:v>1.53</x:v>
      </x:c>
      <x:c r="C1360" s="195" t="n">
        <x:v>-0.83</x:v>
      </x:c>
      <x:c r="D1360" s="195" t="n">
        <x:f>IFERROR(B1360-C1360,"")</x:f>
        <x:v>2.36</x:v>
      </x:c>
    </x:row>
    <x:row r="1361">
      <x:c r="A1361" s="187" t="n">
        <x:v>44356</x:v>
      </x:c>
      <x:c r="B1361" s="195" t="n">
        <x:v>1.5</x:v>
      </x:c>
      <x:c r="C1361" s="195" t="n">
        <x:v>-0.82</x:v>
      </x:c>
      <x:c r="D1361" s="195" t="n">
        <x:f>IFERROR(B1361-C1361,"")</x:f>
        <x:v>2.32</x:v>
      </x:c>
    </x:row>
    <x:row r="1362">
      <x:c r="A1362" s="187" t="n">
        <x:v>44357</x:v>
      </x:c>
      <x:c r="B1362" s="195" t="n">
        <x:v>1.45</x:v>
      </x:c>
      <x:c r="C1362" s="195" t="n">
        <x:v>-0.9</x:v>
      </x:c>
      <x:c r="D1362" s="195" t="n">
        <x:f>IFERROR(B1362-C1362,"")</x:f>
        <x:v>2.35</x:v>
      </x:c>
    </x:row>
    <x:row r="1363">
      <x:c r="A1363" s="187" t="n">
        <x:v>44358</x:v>
      </x:c>
      <x:c r="B1363" s="195" t="n">
        <x:v>1.47</x:v>
      </x:c>
      <x:c r="C1363" s="195" t="n">
        <x:v>-0.85</x:v>
      </x:c>
      <x:c r="D1363" s="195" t="n">
        <x:f>IFERROR(B1363-C1363,"")</x:f>
        <x:v>2.32</x:v>
      </x:c>
    </x:row>
    <x:row r="1364">
      <x:c r="A1364" s="187" t="n">
        <x:v>44361</x:v>
      </x:c>
      <x:c r="B1364" s="195" t="n">
        <x:v>1.51</x:v>
      </x:c>
      <x:c r="C1364" s="195" t="n">
        <x:v>-0.85</x:v>
      </x:c>
      <x:c r="D1364" s="195" t="n">
        <x:f>IFERROR(B1364-C1364,"")</x:f>
        <x:v>2.36</x:v>
      </x:c>
    </x:row>
    <x:row r="1365">
      <x:c r="A1365" s="187" t="n">
        <x:v>44362</x:v>
      </x:c>
      <x:c r="B1365" s="195" t="n">
        <x:v>1.51</x:v>
      </x:c>
      <x:c r="C1365" s="195" t="n">
        <x:v>-0.87</x:v>
      </x:c>
      <x:c r="D1365" s="195" t="n">
        <x:f>IFERROR(B1365-C1365,"")</x:f>
        <x:v>2.38</x:v>
      </x:c>
    </x:row>
    <x:row r="1366">
      <x:c r="A1366" s="187" t="n">
        <x:v>44363</x:v>
      </x:c>
      <x:c r="B1366" s="195" t="n">
        <x:v>1.57</x:v>
      </x:c>
      <x:c r="C1366" s="195" t="n">
        <x:v>-0.75</x:v>
      </x:c>
      <x:c r="D1366" s="195" t="n">
        <x:f>IFERROR(B1366-C1366,"")</x:f>
        <x:v>2.3200000000000003</x:v>
      </x:c>
    </x:row>
    <x:row r="1367">
      <x:c r="A1367" s="187" t="n">
        <x:v>44364</x:v>
      </x:c>
      <x:c r="B1367" s="195" t="n">
        <x:v>1.52</x:v>
      </x:c>
      <x:c r="C1367" s="195" t="n">
        <x:v>-0.75</x:v>
      </x:c>
      <x:c r="D1367" s="195" t="n">
        <x:f>IFERROR(B1367-C1367,"")</x:f>
        <x:v>2.27</x:v>
      </x:c>
    </x:row>
    <x:row r="1368">
      <x:c r="A1368" s="187" t="n">
        <x:v>44365</x:v>
      </x:c>
      <x:c r="B1368" s="195" t="n">
        <x:v>1.45</x:v>
      </x:c>
      <x:c r="C1368" s="195" t="n">
        <x:v>-0.79</x:v>
      </x:c>
      <x:c r="D1368" s="195" t="n">
        <x:f>IFERROR(B1368-C1368,"")</x:f>
        <x:v>2.24</x:v>
      </x:c>
    </x:row>
    <x:row r="1369">
      <x:c r="A1369" s="187" t="n">
        <x:v>44368</x:v>
      </x:c>
      <x:c r="B1369" s="195" t="n">
        <x:v>1.5</x:v>
      </x:c>
      <x:c r="C1369" s="195" t="n">
        <x:v>-0.75</x:v>
      </x:c>
      <x:c r="D1369" s="195" t="n">
        <x:f>IFERROR(B1369-C1369,"")</x:f>
        <x:v>2.25</x:v>
      </x:c>
    </x:row>
    <x:row r="1370">
      <x:c r="A1370" s="187" t="n">
        <x:v>44369</x:v>
      </x:c>
      <x:c r="B1370" s="195" t="n">
        <x:v>1.48</x:v>
      </x:c>
      <x:c r="C1370" s="195" t="n">
        <x:v>-0.83</x:v>
      </x:c>
      <x:c r="D1370" s="195" t="n">
        <x:f>IFERROR(B1370-C1370,"")</x:f>
        <x:v>2.31</x:v>
      </x:c>
    </x:row>
    <x:row r="1371">
      <x:c r="A1371" s="187" t="n">
        <x:v>44370</x:v>
      </x:c>
      <x:c r="B1371" s="195" t="n">
        <x:v>1.5</x:v>
      </x:c>
      <x:c r="C1371" s="195" t="n">
        <x:v>-0.84</x:v>
      </x:c>
      <x:c r="D1371" s="195" t="n">
        <x:f>IFERROR(B1371-C1371,"")</x:f>
        <x:v>2.34</x:v>
      </x:c>
    </x:row>
    <x:row r="1372">
      <x:c r="A1372" s="187" t="n">
        <x:v>44371</x:v>
      </x:c>
      <x:c r="B1372" s="195" t="n">
        <x:v>1.49</x:v>
      </x:c>
      <x:c r="C1372" s="195" t="n">
        <x:v>-0.81</x:v>
      </x:c>
      <x:c r="D1372" s="195" t="n">
        <x:f>IFERROR(B1372-C1372,"")</x:f>
        <x:v>2.3</x:v>
      </x:c>
    </x:row>
    <x:row r="1373">
      <x:c r="A1373" s="187" t="n">
        <x:v>44372</x:v>
      </x:c>
      <x:c r="B1373" s="195" t="n">
        <x:v>1.54</x:v>
      </x:c>
      <x:c r="C1373" s="195" t="n">
        <x:v>-0.8</x:v>
      </x:c>
      <x:c r="D1373" s="195" t="n">
        <x:f>IFERROR(B1373-C1373,"")</x:f>
        <x:v>2.34</x:v>
      </x:c>
    </x:row>
    <x:row r="1374">
      <x:c r="A1374" s="187" t="n">
        <x:v>44375</x:v>
      </x:c>
      <x:c r="B1374" s="195" t="n">
        <x:v>1.49</x:v>
      </x:c>
      <x:c r="C1374" s="195" t="n">
        <x:v>-0.84</x:v>
      </x:c>
      <x:c r="D1374" s="195" t="n">
        <x:f>IFERROR(B1374-C1374,"")</x:f>
        <x:v>2.33</x:v>
      </x:c>
    </x:row>
    <x:row r="1375">
      <x:c r="A1375" s="187" t="n">
        <x:v>44376</x:v>
      </x:c>
      <x:c r="B1375" s="195" t="n">
        <x:v>1.49</x:v>
      </x:c>
      <x:c r="C1375" s="195" t="n">
        <x:v>-0.83</x:v>
      </x:c>
      <x:c r="D1375" s="195" t="n">
        <x:f>IFERROR(B1375-C1375,"")</x:f>
        <x:v>2.32</x:v>
      </x:c>
    </x:row>
    <x:row r="1376">
      <x:c r="A1376" s="187" t="n">
        <x:v>44377</x:v>
      </x:c>
      <x:c r="B1376" s="195" t="n">
        <x:v>1.45</x:v>
      </x:c>
      <x:c r="C1376" s="195" t="n">
        <x:v>-0.87</x:v>
      </x:c>
      <x:c r="D1376" s="195" t="n">
        <x:f>IFERROR(B1376-C1376,"")</x:f>
        <x:v>2.32</x:v>
      </x:c>
    </x:row>
    <x:row r="1377">
      <x:c r="A1377" s="187" t="n">
        <x:v>44378</x:v>
      </x:c>
      <x:c r="B1377" s="195" t="n">
        <x:v>1.48</x:v>
      </x:c>
      <x:c r="C1377" s="195" t="n">
        <x:v>-0.87</x:v>
      </x:c>
      <x:c r="D1377" s="195" t="n">
        <x:f>IFERROR(B1377-C1377,"")</x:f>
        <x:v>2.35</x:v>
      </x:c>
    </x:row>
    <x:row r="1378">
      <x:c r="A1378" s="187" t="n">
        <x:v>44379</x:v>
      </x:c>
      <x:c r="B1378" s="195" t="n">
        <x:v>1.44</x:v>
      </x:c>
      <x:c r="C1378" s="195" t="n">
        <x:v>-0.89</x:v>
      </x:c>
      <x:c r="D1378" s="195" t="n">
        <x:f>IFERROR(B1378-C1378,"")</x:f>
        <x:v>2.33</x:v>
      </x:c>
    </x:row>
    <x:row r="1379">
      <x:c r="A1379" s="187" t="n">
        <x:v>44383</x:v>
      </x:c>
      <x:c r="B1379" s="195" t="n">
        <x:v>1.37</x:v>
      </x:c>
      <x:c r="C1379" s="195" t="n">
        <x:v>-0.94</x:v>
      </x:c>
      <x:c r="D1379" s="195" t="n">
        <x:f>IFERROR(B1379-C1379,"")</x:f>
        <x:v>2.31</x:v>
      </x:c>
    </x:row>
    <x:row r="1380">
      <x:c r="A1380" s="187" t="n">
        <x:v>44384</x:v>
      </x:c>
      <x:c r="B1380" s="195" t="n">
        <x:v>1.33</x:v>
      </x:c>
      <x:c r="C1380" s="195" t="n">
        <x:v>-0.95</x:v>
      </x:c>
      <x:c r="D1380" s="195" t="n">
        <x:f>IFERROR(B1380-C1380,"")</x:f>
        <x:v>2.2800000000000002</x:v>
      </x:c>
    </x:row>
    <x:row r="1381">
      <x:c r="A1381" s="187" t="n">
        <x:v>44385</x:v>
      </x:c>
      <x:c r="B1381" s="195" t="n">
        <x:v>1.3</x:v>
      </x:c>
      <x:c r="C1381" s="195" t="n">
        <x:v>-0.92</x:v>
      </x:c>
      <x:c r="D1381" s="195" t="n">
        <x:f>IFERROR(B1381-C1381,"")</x:f>
        <x:v>2.22</x:v>
      </x:c>
    </x:row>
    <x:row r="1382">
      <x:c r="A1382" s="187" t="n">
        <x:v>44386</x:v>
      </x:c>
      <x:c r="B1382" s="195" t="n">
        <x:v>1.37</x:v>
      </x:c>
      <x:c r="C1382" s="195" t="n">
        <x:v>-0.91</x:v>
      </x:c>
      <x:c r="D1382" s="195" t="n">
        <x:f>IFERROR(B1382-C1382,"")</x:f>
        <x:v>2.2800000000000002</x:v>
      </x:c>
    </x:row>
    <x:row r="1383">
      <x:c r="A1383" s="187" t="n">
        <x:v>44389</x:v>
      </x:c>
      <x:c r="B1383" s="195" t="n">
        <x:v>1.38</x:v>
      </x:c>
      <x:c r="C1383" s="195" t="n">
        <x:v>-0.95</x:v>
      </x:c>
      <x:c r="D1383" s="195" t="n">
        <x:f>IFERROR(B1383-C1383,"")</x:f>
        <x:v>2.33</x:v>
      </x:c>
    </x:row>
    <x:row r="1384">
      <x:c r="A1384" s="187" t="n">
        <x:v>44390</x:v>
      </x:c>
      <x:c r="B1384" s="195" t="n">
        <x:v>1.42</x:v>
      </x:c>
      <x:c r="C1384" s="195" t="n">
        <x:v>-0.94</x:v>
      </x:c>
      <x:c r="D1384" s="195" t="n">
        <x:f>IFERROR(B1384-C1384,"")</x:f>
        <x:v>2.36</x:v>
      </x:c>
    </x:row>
    <x:row r="1385">
      <x:c r="A1385" s="187" t="n">
        <x:v>44391</x:v>
      </x:c>
      <x:c r="B1385" s="195" t="n">
        <x:v>1.37</x:v>
      </x:c>
      <x:c r="C1385" s="195" t="n">
        <x:v>-0.97</x:v>
      </x:c>
      <x:c r="D1385" s="195" t="n">
        <x:f>IFERROR(B1385-C1385,"")</x:f>
        <x:v>2.34</x:v>
      </x:c>
    </x:row>
    <x:row r="1386">
      <x:c r="A1386" s="187" t="n">
        <x:v>44392</x:v>
      </x:c>
      <x:c r="B1386" s="195" t="n">
        <x:v>1.31</x:v>
      </x:c>
      <x:c r="C1386" s="195" t="n">
        <x:v>-1.01</x:v>
      </x:c>
      <x:c r="D1386" s="195" t="n">
        <x:f>IFERROR(B1386-C1386,"")</x:f>
        <x:v>2.3200000000000003</x:v>
      </x:c>
    </x:row>
    <x:row r="1387">
      <x:c r="A1387" s="187" t="n">
        <x:v>44393</x:v>
      </x:c>
      <x:c r="B1387" s="195" t="n">
        <x:v>1.31</x:v>
      </x:c>
      <x:c r="C1387" s="195" t="n">
        <x:v>-1.02</x:v>
      </x:c>
      <x:c r="D1387" s="195" t="n">
        <x:f>IFERROR(B1387-C1387,"")</x:f>
        <x:v>2.33</x:v>
      </x:c>
    </x:row>
    <x:row r="1388">
      <x:c r="A1388" s="187" t="n">
        <x:v>44396</x:v>
      </x:c>
      <x:c r="B1388" s="195" t="n">
        <x:v>1.19</x:v>
      </x:c>
      <x:c r="C1388" s="195" t="n">
        <x:v>-1.05</x:v>
      </x:c>
      <x:c r="D1388" s="195" t="n">
        <x:f>IFERROR(B1388-C1388,"")</x:f>
        <x:v>2.24</x:v>
      </x:c>
    </x:row>
    <x:row r="1389">
      <x:c r="A1389" s="187" t="n">
        <x:v>44397</x:v>
      </x:c>
      <x:c r="B1389" s="195" t="n">
        <x:v>1.23</x:v>
      </x:c>
      <x:c r="C1389" s="195" t="n">
        <x:v>-1.03</x:v>
      </x:c>
      <x:c r="D1389" s="195" t="n">
        <x:f>IFERROR(B1389-C1389,"")</x:f>
        <x:v>2.26</x:v>
      </x:c>
    </x:row>
    <x:row r="1390">
      <x:c r="A1390" s="187" t="n">
        <x:v>44398</x:v>
      </x:c>
      <x:c r="B1390" s="195" t="n">
        <x:v>1.3</x:v>
      </x:c>
      <x:c r="C1390" s="195" t="n">
        <x:v>-0.98</x:v>
      </x:c>
      <x:c r="D1390" s="195" t="n">
        <x:f>IFERROR(B1390-C1390,"")</x:f>
        <x:v>2.2800000000000002</x:v>
      </x:c>
    </x:row>
    <x:row r="1391">
      <x:c r="A1391" s="187" t="n">
        <x:v>44399</x:v>
      </x:c>
      <x:c r="B1391" s="195" t="n">
        <x:v>1.27</x:v>
      </x:c>
      <x:c r="C1391" s="195" t="n">
        <x:v>-1.01</x:v>
      </x:c>
      <x:c r="D1391" s="195" t="n">
        <x:f>IFERROR(B1391-C1391,"")</x:f>
        <x:v>2.2800000000000002</x:v>
      </x:c>
    </x:row>
    <x:row r="1392">
      <x:c r="A1392" s="187" t="n">
        <x:v>44400</x:v>
      </x:c>
      <x:c r="B1392" s="195" t="n">
        <x:v>1.3</x:v>
      </x:c>
      <x:c r="C1392" s="195" t="n">
        <x:v>-1.05</x:v>
      </x:c>
      <x:c r="D1392" s="195" t="n">
        <x:f>IFERROR(B1392-C1392,"")</x:f>
        <x:v>2.35</x:v>
      </x:c>
    </x:row>
    <x:row r="1393">
      <x:c r="A1393" s="187" t="n">
        <x:v>44403</x:v>
      </x:c>
      <x:c r="B1393" s="195" t="n">
        <x:v>1.29</x:v>
      </x:c>
      <x:c r="C1393" s="195" t="n">
        <x:v>-1.11</x:v>
      </x:c>
      <x:c r="D1393" s="195" t="n">
        <x:f>IFERROR(B1393-C1393,"")</x:f>
        <x:v>2.4000000000000004</x:v>
      </x:c>
    </x:row>
    <x:row r="1394">
      <x:c r="A1394" s="187" t="n">
        <x:v>44404</x:v>
      </x:c>
      <x:c r="B1394" s="195" t="n">
        <x:v>1.25</x:v>
      </x:c>
      <x:c r="C1394" s="195" t="n">
        <x:v>-1.13</x:v>
      </x:c>
      <x:c r="D1394" s="195" t="n">
        <x:f>IFERROR(B1394-C1394,"")</x:f>
        <x:v>2.38</x:v>
      </x:c>
    </x:row>
    <x:row r="1395">
      <x:c r="A1395" s="187" t="n">
        <x:v>44405</x:v>
      </x:c>
      <x:c r="B1395" s="195" t="n">
        <x:v>1.26</x:v>
      </x:c>
      <x:c r="C1395" s="195" t="n">
        <x:v>-1.15</x:v>
      </x:c>
      <x:c r="D1395" s="195" t="n">
        <x:f>IFERROR(B1395-C1395,"")</x:f>
        <x:v>2.41</x:v>
      </x:c>
    </x:row>
    <x:row r="1396">
      <x:c r="A1396" s="187" t="n">
        <x:v>44406</x:v>
      </x:c>
      <x:c r="B1396" s="195" t="n">
        <x:v>1.28</x:v>
      </x:c>
      <x:c r="C1396" s="195" t="n">
        <x:v>-1.15</x:v>
      </x:c>
      <x:c r="D1396" s="195" t="n">
        <x:f>IFERROR(B1396-C1396,"")</x:f>
        <x:v>2.4299999999999997</x:v>
      </x:c>
    </x:row>
    <x:row r="1397">
      <x:c r="A1397" s="187" t="n">
        <x:v>44407</x:v>
      </x:c>
      <x:c r="B1397" s="195" t="n">
        <x:v>1.24</x:v>
      </x:c>
      <x:c r="C1397" s="195" t="n">
        <x:v>-1.16</x:v>
      </x:c>
      <x:c r="D1397" s="195" t="n">
        <x:f>IFERROR(B1397-C1397,"")</x:f>
        <x:v>2.4</x:v>
      </x:c>
    </x:row>
    <x:row r="1398">
      <x:c r="A1398" s="187" t="n">
        <x:v>44410</x:v>
      </x:c>
      <x:c r="B1398" s="195" t="n">
        <x:v>1.2</x:v>
      </x:c>
      <x:c r="C1398" s="195" t="n">
        <x:v>-1.17</x:v>
      </x:c>
      <x:c r="D1398" s="195" t="n">
        <x:f>IFERROR(B1398-C1398,"")</x:f>
        <x:v>2.37</x:v>
      </x:c>
    </x:row>
    <x:row r="1399">
      <x:c r="A1399" s="187" t="n">
        <x:v>44411</x:v>
      </x:c>
      <x:c r="B1399" s="195" t="n">
        <x:v>1.19</x:v>
      </x:c>
      <x:c r="C1399" s="195" t="n">
        <x:v>-1.19</x:v>
      </x:c>
      <x:c r="D1399" s="195" t="n">
        <x:f>IFERROR(B1399-C1399,"")</x:f>
        <x:v>2.38</x:v>
      </x:c>
    </x:row>
    <x:row r="1400">
      <x:c r="A1400" s="187" t="n">
        <x:v>44412</x:v>
      </x:c>
      <x:c r="B1400" s="195" t="n">
        <x:v>1.19</x:v>
      </x:c>
      <x:c r="C1400" s="195" t="n">
        <x:v>-1.16</x:v>
      </x:c>
      <x:c r="D1400" s="195" t="n">
        <x:f>IFERROR(B1400-C1400,"")</x:f>
        <x:v>2.3499999999999996</x:v>
      </x:c>
    </x:row>
    <x:row r="1401">
      <x:c r="A1401" s="187" t="n">
        <x:v>44413</x:v>
      </x:c>
      <x:c r="B1401" s="195" t="n">
        <x:v>1.23</x:v>
      </x:c>
      <x:c r="C1401" s="195" t="n">
        <x:v>-1.1</x:v>
      </x:c>
      <x:c r="D1401" s="195" t="n">
        <x:f>IFERROR(B1401-C1401,"")</x:f>
        <x:v>2.33</x:v>
      </x:c>
    </x:row>
    <x:row r="1402">
      <x:c r="A1402" s="187" t="n">
        <x:v>44414</x:v>
      </x:c>
      <x:c r="B1402" s="195" t="n">
        <x:v>1.31</x:v>
      </x:c>
      <x:c r="C1402" s="195" t="n">
        <x:v>-1.06</x:v>
      </x:c>
      <x:c r="D1402" s="195" t="n">
        <x:f>IFERROR(B1402-C1402,"")</x:f>
        <x:v>2.37</x:v>
      </x:c>
    </x:row>
    <x:row r="1403">
      <x:c r="A1403" s="187" t="n">
        <x:v>44417</x:v>
      </x:c>
      <x:c r="B1403" s="195" t="n">
        <x:v>1.33</x:v>
      </x:c>
      <x:c r="C1403" s="195" t="n">
        <x:v>-1.04</x:v>
      </x:c>
      <x:c r="D1403" s="195" t="n">
        <x:f>IFERROR(B1403-C1403,"")</x:f>
        <x:v>2.37</x:v>
      </x:c>
    </x:row>
    <x:row r="1404">
      <x:c r="A1404" s="187" t="n">
        <x:v>44418</x:v>
      </x:c>
      <x:c r="B1404" s="195" t="n">
        <x:v>1.36</x:v>
      </x:c>
      <x:c r="C1404" s="195" t="n">
        <x:v>-1.04</x:v>
      </x:c>
      <x:c r="D1404" s="195" t="n">
        <x:f>IFERROR(B1404-C1404,"")</x:f>
        <x:v>2.4000000000000004</x:v>
      </x:c>
    </x:row>
    <x:row r="1405">
      <x:c r="A1405" s="187" t="n">
        <x:v>44419</x:v>
      </x:c>
      <x:c r="B1405" s="195" t="n">
        <x:v>1.35</x:v>
      </x:c>
      <x:c r="C1405" s="195" t="n">
        <x:v>-1.07</x:v>
      </x:c>
      <x:c r="D1405" s="195" t="n">
        <x:f>IFERROR(B1405-C1405,"")</x:f>
        <x:v>2.42</x:v>
      </x:c>
    </x:row>
    <x:row r="1406">
      <x:c r="A1406" s="187" t="n">
        <x:v>44420</x:v>
      </x:c>
      <x:c r="B1406" s="195" t="n">
        <x:v>1.36</x:v>
      </x:c>
      <x:c r="C1406" s="195" t="n">
        <x:v>-1.05</x:v>
      </x:c>
      <x:c r="D1406" s="195" t="n">
        <x:f>IFERROR(B1406-C1406,"")</x:f>
        <x:v>2.41</x:v>
      </x:c>
    </x:row>
    <x:row r="1407">
      <x:c r="A1407" s="187" t="n">
        <x:v>44421</x:v>
      </x:c>
      <x:c r="B1407" s="195" t="n">
        <x:v>1.29</x:v>
      </x:c>
      <x:c r="C1407" s="195" t="n">
        <x:v>-1.08</x:v>
      </x:c>
      <x:c r="D1407" s="195" t="n">
        <x:f>IFERROR(B1407-C1407,"")</x:f>
        <x:v>2.37</x:v>
      </x:c>
    </x:row>
    <x:row r="1408">
      <x:c r="A1408" s="187" t="n">
        <x:v>44424</x:v>
      </x:c>
      <x:c r="B1408" s="195" t="n">
        <x:v>1.26</x:v>
      </x:c>
      <x:c r="C1408" s="195" t="n">
        <x:v>-1.1</x:v>
      </x:c>
      <x:c r="D1408" s="195" t="n">
        <x:f>IFERROR(B1408-C1408,"")</x:f>
        <x:v>2.3600000000000003</x:v>
      </x:c>
    </x:row>
    <x:row r="1409">
      <x:c r="A1409" s="187" t="n">
        <x:v>44425</x:v>
      </x:c>
      <x:c r="B1409" s="195" t="n">
        <x:v>1.26</x:v>
      </x:c>
      <x:c r="C1409" s="195" t="n">
        <x:v>-1.07</x:v>
      </x:c>
      <x:c r="D1409" s="195" t="n">
        <x:f>IFERROR(B1409-C1409,"")</x:f>
        <x:v>2.33</x:v>
      </x:c>
    </x:row>
    <x:row r="1410">
      <x:c r="A1410" s="187" t="n">
        <x:v>44426</x:v>
      </x:c>
      <x:c r="B1410" s="195" t="n">
        <x:v>1.27</x:v>
      </x:c>
      <x:c r="C1410" s="195" t="n">
        <x:v>-1.05</x:v>
      </x:c>
      <x:c r="D1410" s="195" t="n">
        <x:f>IFERROR(B1410-C1410,"")</x:f>
        <x:v>2.3200000000000003</x:v>
      </x:c>
    </x:row>
    <x:row r="1411">
      <x:c r="A1411" s="187" t="n">
        <x:v>44427</x:v>
      </x:c>
      <x:c r="B1411" s="195" t="n">
        <x:v>1.24</x:v>
      </x:c>
      <x:c r="C1411" s="195" t="n">
        <x:v>-1.04</x:v>
      </x:c>
      <x:c r="D1411" s="195" t="n">
        <x:f>IFERROR(B1411-C1411,"")</x:f>
        <x:v>2.2800000000000002</x:v>
      </x:c>
    </x:row>
    <x:row r="1412">
      <x:c r="A1412" s="187" t="n">
        <x:v>44428</x:v>
      </x:c>
      <x:c r="B1412" s="195" t="n">
        <x:v>1.26</x:v>
      </x:c>
      <x:c r="C1412" s="195" t="n">
        <x:v>-1.01</x:v>
      </x:c>
      <x:c r="D1412" s="195" t="n">
        <x:f>IFERROR(B1412-C1412,"")</x:f>
        <x:v>2.27</x:v>
      </x:c>
    </x:row>
    <x:row r="1413">
      <x:c r="A1413" s="187" t="n">
        <x:v>44431</x:v>
      </x:c>
      <x:c r="B1413" s="195" t="n">
        <x:v>1.25</x:v>
      </x:c>
      <x:c r="C1413" s="195" t="n">
        <x:v>-1.02</x:v>
      </x:c>
      <x:c r="D1413" s="195" t="n">
        <x:f>IFERROR(B1413-C1413,"")</x:f>
        <x:v>2.27</x:v>
      </x:c>
    </x:row>
    <x:row r="1414">
      <x:c r="A1414" s="187" t="n">
        <x:v>44432</x:v>
      </x:c>
      <x:c r="B1414" s="195" t="n">
        <x:v>1.29</x:v>
      </x:c>
      <x:c r="C1414" s="195" t="n">
        <x:v>-1.01</x:v>
      </x:c>
      <x:c r="D1414" s="195" t="n">
        <x:f>IFERROR(B1414-C1414,"")</x:f>
        <x:v>2.3</x:v>
      </x:c>
    </x:row>
    <x:row r="1415">
      <x:c r="A1415" s="187" t="n">
        <x:v>44433</x:v>
      </x:c>
      <x:c r="B1415" s="195" t="n">
        <x:v>1.35</x:v>
      </x:c>
      <x:c r="C1415" s="195" t="n">
        <x:v>-1</x:v>
      </x:c>
      <x:c r="D1415" s="195" t="n">
        <x:f>IFERROR(B1415-C1415,"")</x:f>
        <x:v>2.35</x:v>
      </x:c>
    </x:row>
    <x:row r="1416">
      <x:c r="A1416" s="187" t="n">
        <x:v>44434</x:v>
      </x:c>
      <x:c r="B1416" s="195" t="n">
        <x:v>1.34</x:v>
      </x:c>
      <x:c r="C1416" s="195" t="n">
        <x:v>-0.99</x:v>
      </x:c>
      <x:c r="D1416" s="195" t="n">
        <x:f>IFERROR(B1416-C1416,"")</x:f>
        <x:v>2.33</x:v>
      </x:c>
    </x:row>
    <x:row r="1417">
      <x:c r="A1417" s="187" t="n">
        <x:v>44435</x:v>
      </x:c>
      <x:c r="B1417" s="195" t="n">
        <x:v>1.31</x:v>
      </x:c>
      <x:c r="C1417" s="195" t="n">
        <x:v>-1.08</x:v>
      </x:c>
      <x:c r="D1417" s="195" t="n">
        <x:f>IFERROR(B1417-C1417,"")</x:f>
        <x:v>2.39</x:v>
      </x:c>
    </x:row>
    <x:row r="1418">
      <x:c r="A1418" s="187" t="n">
        <x:v>44438</x:v>
      </x:c>
      <x:c r="B1418" s="195" t="n">
        <x:v>1.29</x:v>
      </x:c>
      <x:c r="C1418" s="195" t="n">
        <x:v>-1.08</x:v>
      </x:c>
      <x:c r="D1418" s="195" t="n">
        <x:f>IFERROR(B1418-C1418,"")</x:f>
        <x:v>2.37</x:v>
      </x:c>
    </x:row>
    <x:row r="1419">
      <x:c r="A1419" s="187" t="n">
        <x:v>44439</x:v>
      </x:c>
      <x:c r="B1419" s="195" t="n">
        <x:v>1.3</x:v>
      </x:c>
      <x:c r="C1419" s="195" t="n">
        <x:v>-1.03</x:v>
      </x:c>
      <x:c r="D1419" s="195" t="n">
        <x:f>IFERROR(B1419-C1419,"")</x:f>
        <x:v>2.33</x:v>
      </x:c>
    </x:row>
    <x:row r="1420">
      <x:c r="A1420" s="187" t="n">
        <x:v>44440</x:v>
      </x:c>
      <x:c r="B1420" s="195" t="n">
        <x:v>1.31</x:v>
      </x:c>
      <x:c r="C1420" s="195" t="n">
        <x:v>-1.03</x:v>
      </x:c>
      <x:c r="D1420" s="195" t="n">
        <x:f>IFERROR(B1420-C1420,"")</x:f>
        <x:v>2.34</x:v>
      </x:c>
    </x:row>
    <x:row r="1421">
      <x:c r="A1421" s="187" t="n">
        <x:v>44441</x:v>
      </x:c>
      <x:c r="B1421" s="195" t="n">
        <x:v>1.29</x:v>
      </x:c>
      <x:c r="C1421" s="195" t="n">
        <x:v>-1.03</x:v>
      </x:c>
      <x:c r="D1421" s="195" t="n">
        <x:f>IFERROR(B1421-C1421,"")</x:f>
        <x:v>2.3200000000000003</x:v>
      </x:c>
    </x:row>
    <x:row r="1422">
      <x:c r="A1422" s="187" t="n">
        <x:v>44442</x:v>
      </x:c>
      <x:c r="B1422" s="195" t="n">
        <x:v>1.33</x:v>
      </x:c>
      <x:c r="C1422" s="195" t="n">
        <x:v>-1.01</x:v>
      </x:c>
      <x:c r="D1422" s="195" t="n">
        <x:f>IFERROR(B1422-C1422,"")</x:f>
        <x:v>2.34</x:v>
      </x:c>
    </x:row>
    <x:row r="1423">
      <x:c r="A1423" s="187" t="n">
        <x:v>44446</x:v>
      </x:c>
      <x:c r="B1423" s="195" t="n">
        <x:v>1.38</x:v>
      </x:c>
      <x:c r="C1423" s="195" t="n">
        <x:v>-0.98</x:v>
      </x:c>
      <x:c r="D1423" s="195" t="n">
        <x:f>IFERROR(B1423-C1423,"")</x:f>
        <x:v>2.36</x:v>
      </x:c>
    </x:row>
    <x:row r="1424">
      <x:c r="A1424" s="187" t="n">
        <x:v>44447</x:v>
      </x:c>
      <x:c r="B1424" s="195" t="n">
        <x:v>1.35</x:v>
      </x:c>
      <x:c r="C1424" s="195" t="n">
        <x:v>-1.03</x:v>
      </x:c>
      <x:c r="D1424" s="195" t="n">
        <x:f>IFERROR(B1424-C1424,"")</x:f>
        <x:v>2.38</x:v>
      </x:c>
    </x:row>
    <x:row r="1425">
      <x:c r="A1425" s="187" t="n">
        <x:v>44448</x:v>
      </x:c>
      <x:c r="B1425" s="195" t="n">
        <x:v>1.3</x:v>
      </x:c>
      <x:c r="C1425" s="195" t="n">
        <x:v>-1.08</x:v>
      </x:c>
      <x:c r="D1425" s="195" t="n">
        <x:f>IFERROR(B1425-C1425,"")</x:f>
        <x:v>2.38</x:v>
      </x:c>
    </x:row>
    <x:row r="1426">
      <x:c r="A1426" s="187" t="n">
        <x:v>44449</x:v>
      </x:c>
      <x:c r="B1426" s="195" t="n">
        <x:v>1.35</x:v>
      </x:c>
      <x:c r="C1426" s="195" t="n">
        <x:v>-1.05</x:v>
      </x:c>
      <x:c r="D1426" s="195" t="n">
        <x:f>IFERROR(B1426-C1426,"")</x:f>
        <x:v>2.4000000000000004</x:v>
      </x:c>
    </x:row>
    <x:row r="1427">
      <x:c r="A1427" s="187" t="n">
        <x:v>44452</x:v>
      </x:c>
      <x:c r="B1427" s="195" t="n">
        <x:v>1.33</x:v>
      </x:c>
      <x:c r="C1427" s="195" t="n">
        <x:v>-1.04</x:v>
      </x:c>
      <x:c r="D1427" s="195" t="n">
        <x:f>IFERROR(B1427-C1427,"")</x:f>
        <x:v>2.37</x:v>
      </x:c>
    </x:row>
    <x:row r="1428">
      <x:c r="A1428" s="187" t="n">
        <x:v>44453</x:v>
      </x:c>
      <x:c r="B1428" s="195" t="n">
        <x:v>1.28</x:v>
      </x:c>
      <x:c r="C1428" s="195" t="n">
        <x:v>-1.05</x:v>
      </x:c>
      <x:c r="D1428" s="195" t="n">
        <x:f>IFERROR(B1428-C1428,"")</x:f>
        <x:v>2.33</x:v>
      </x:c>
    </x:row>
    <x:row r="1429">
      <x:c r="A1429" s="187" t="n">
        <x:v>44454</x:v>
      </x:c>
      <x:c r="B1429" s="195" t="n">
        <x:v>1.31</x:v>
      </x:c>
      <x:c r="C1429" s="195" t="n">
        <x:v>-1.04</x:v>
      </x:c>
      <x:c r="D1429" s="195" t="n">
        <x:f>IFERROR(B1429-C1429,"")</x:f>
        <x:v>2.35</x:v>
      </x:c>
    </x:row>
    <x:row r="1430">
      <x:c r="A1430" s="187" t="n">
        <x:v>44455</x:v>
      </x:c>
      <x:c r="B1430" s="195" t="n">
        <x:v>1.34</x:v>
      </x:c>
      <x:c r="C1430" s="195" t="n">
        <x:v>-1.01</x:v>
      </x:c>
      <x:c r="D1430" s="195" t="n">
        <x:f>IFERROR(B1430-C1430,"")</x:f>
        <x:v>2.35</x:v>
      </x:c>
    </x:row>
    <x:row r="1431">
      <x:c r="A1431" s="187" t="n">
        <x:v>44456</x:v>
      </x:c>
      <x:c r="B1431" s="195" t="n">
        <x:v>1.37</x:v>
      </x:c>
      <x:c r="C1431" s="195" t="n">
        <x:v>-0.96</x:v>
      </x:c>
      <x:c r="D1431" s="195" t="n">
        <x:f>IFERROR(B1431-C1431,"")</x:f>
        <x:v>2.33</x:v>
      </x:c>
    </x:row>
    <x:row r="1432">
      <x:c r="A1432" s="187" t="n">
        <x:v>44459</x:v>
      </x:c>
      <x:c r="B1432" s="195" t="n">
        <x:v>1.31</x:v>
      </x:c>
      <x:c r="C1432" s="195" t="n">
        <x:v>-0.98</x:v>
      </x:c>
      <x:c r="D1432" s="195" t="n">
        <x:f>IFERROR(B1432-C1432,"")</x:f>
        <x:v>2.29</x:v>
      </x:c>
    </x:row>
    <x:row r="1433">
      <x:c r="A1433" s="187" t="n">
        <x:v>44460</x:v>
      </x:c>
      <x:c r="B1433" s="195" t="n">
        <x:v>1.33</x:v>
      </x:c>
      <x:c r="C1433" s="195" t="n">
        <x:v>-0.96</x:v>
      </x:c>
      <x:c r="D1433" s="195" t="n">
        <x:f>IFERROR(B1433-C1433,"")</x:f>
        <x:v>2.29</x:v>
      </x:c>
    </x:row>
    <x:row r="1434">
      <x:c r="A1434" s="187" t="n">
        <x:v>44461</x:v>
      </x:c>
      <x:c r="B1434" s="195" t="n">
        <x:v>1.32</x:v>
      </x:c>
      <x:c r="C1434" s="195" t="n">
        <x:v>-0.96</x:v>
      </x:c>
      <x:c r="D1434" s="195" t="n">
        <x:f>IFERROR(B1434-C1434,"")</x:f>
        <x:v>2.2800000000000002</x:v>
      </x:c>
    </x:row>
    <x:row r="1435">
      <x:c r="A1435" s="187" t="n">
        <x:v>44462</x:v>
      </x:c>
      <x:c r="B1435" s="195" t="n">
        <x:v>1.41</x:v>
      </x:c>
      <x:c r="C1435" s="195" t="n">
        <x:v>-0.9</x:v>
      </x:c>
      <x:c r="D1435" s="195" t="n">
        <x:f>IFERROR(B1435-C1435,"")</x:f>
        <x:v>2.31</x:v>
      </x:c>
    </x:row>
    <x:row r="1436">
      <x:c r="A1436" s="187" t="n">
        <x:v>44463</x:v>
      </x:c>
      <x:c r="B1436" s="195" t="n">
        <x:v>1.47</x:v>
      </x:c>
      <x:c r="C1436" s="195" t="n">
        <x:v>-0.87</x:v>
      </x:c>
      <x:c r="D1436" s="195" t="n">
        <x:f>IFERROR(B1436-C1436,"")</x:f>
        <x:v>2.34</x:v>
      </x:c>
    </x:row>
    <x:row r="1437">
      <x:c r="A1437" s="187" t="n">
        <x:v>44466</x:v>
      </x:c>
      <x:c r="B1437" s="195" t="n">
        <x:v>1.48</x:v>
      </x:c>
      <x:c r="C1437" s="195" t="n">
        <x:v>-0.87</x:v>
      </x:c>
      <x:c r="D1437" s="195" t="n">
        <x:f>IFERROR(B1437-C1437,"")</x:f>
        <x:v>2.35</x:v>
      </x:c>
    </x:row>
    <x:row r="1438">
      <x:c r="A1438" s="187" t="n">
        <x:v>44467</x:v>
      </x:c>
      <x:c r="B1438" s="195" t="n">
        <x:v>1.54</x:v>
      </x:c>
      <x:c r="C1438" s="195" t="n">
        <x:v>-0.84</x:v>
      </x:c>
      <x:c r="D1438" s="195" t="n">
        <x:f>IFERROR(B1438-C1438,"")</x:f>
        <x:v>2.38</x:v>
      </x:c>
    </x:row>
    <x:row r="1439">
      <x:c r="A1439" s="187" t="n">
        <x:v>44468</x:v>
      </x:c>
      <x:c r="B1439" s="195" t="n">
        <x:v>1.55</x:v>
      </x:c>
      <x:c r="C1439" s="195" t="n">
        <x:v>-0.82</x:v>
      </x:c>
      <x:c r="D1439" s="195" t="n">
        <x:f>IFERROR(B1439-C1439,"")</x:f>
        <x:v>2.37</x:v>
      </x:c>
    </x:row>
    <x:row r="1440">
      <x:c r="A1440" s="187" t="n">
        <x:v>44469</x:v>
      </x:c>
      <x:c r="B1440" s="195" t="n">
        <x:v>1.52</x:v>
      </x:c>
      <x:c r="C1440" s="195" t="n">
        <x:v>-0.85</x:v>
      </x:c>
      <x:c r="D1440" s="195" t="n">
        <x:f>IFERROR(B1440-C1440,"")</x:f>
        <x:v>2.37</x:v>
      </x:c>
    </x:row>
    <x:row r="1441">
      <x:c r="A1441" s="187" t="n">
        <x:v>44470</x:v>
      </x:c>
      <x:c r="B1441" s="195" t="n">
        <x:v>1.48</x:v>
      </x:c>
      <x:c r="C1441" s="195" t="n">
        <x:v>-0.9</x:v>
      </x:c>
      <x:c r="D1441" s="195" t="n">
        <x:f>IFERROR(B1441-C1441,"")</x:f>
        <x:v>2.38</x:v>
      </x:c>
    </x:row>
    <x:row r="1442">
      <x:c r="A1442" s="187" t="n">
        <x:v>44473</x:v>
      </x:c>
      <x:c r="B1442" s="195" t="n">
        <x:v>1.49</x:v>
      </x:c>
      <x:c r="C1442" s="195" t="n">
        <x:v>-0.89</x:v>
      </x:c>
      <x:c r="D1442" s="195" t="n">
        <x:f>IFERROR(B1442-C1442,"")</x:f>
        <x:v>2.38</x:v>
      </x:c>
    </x:row>
    <x:row r="1443">
      <x:c r="A1443" s="187" t="n">
        <x:v>44474</x:v>
      </x:c>
      <x:c r="B1443" s="195" t="n">
        <x:v>1.54</x:v>
      </x:c>
      <x:c r="C1443" s="195" t="n">
        <x:v>-0.91</x:v>
      </x:c>
      <x:c r="D1443" s="195" t="n">
        <x:f>IFERROR(B1443-C1443,"")</x:f>
        <x:v>2.45</x:v>
      </x:c>
    </x:row>
    <x:row r="1444">
      <x:c r="A1444" s="187" t="n">
        <x:v>44475</x:v>
      </x:c>
      <x:c r="B1444" s="195" t="n">
        <x:v>1.53</x:v>
      </x:c>
      <x:c r="C1444" s="195" t="n">
        <x:v>-0.9</x:v>
      </x:c>
      <x:c r="D1444" s="195" t="n">
        <x:f>IFERROR(B1444-C1444,"")</x:f>
        <x:v>2.43</x:v>
      </x:c>
    </x:row>
    <x:row r="1445">
      <x:c r="A1445" s="187" t="n">
        <x:v>44476</x:v>
      </x:c>
      <x:c r="B1445" s="195" t="n">
        <x:v>1.58</x:v>
      </x:c>
      <x:c r="C1445" s="195" t="n">
        <x:v>-0.88</x:v>
      </x:c>
      <x:c r="D1445" s="195" t="n">
        <x:f>IFERROR(B1445-C1445,"")</x:f>
        <x:v>2.46</x:v>
      </x:c>
    </x:row>
    <x:row r="1446">
      <x:c r="A1446" s="187" t="n">
        <x:v>44477</x:v>
      </x:c>
      <x:c r="B1446" s="195" t="n">
        <x:v>1.61</x:v>
      </x:c>
      <x:c r="C1446" s="195" t="n">
        <x:v>-0.89</x:v>
      </x:c>
      <x:c r="D1446" s="195" t="n">
        <x:f>IFERROR(B1446-C1446,"")</x:f>
        <x:v>2.5</x:v>
      </x:c>
    </x:row>
    <x:row r="1447">
      <x:c r="A1447" s="187" t="n">
        <x:v>44481</x:v>
      </x:c>
      <x:c r="B1447" s="195" t="n">
        <x:v>1.59</x:v>
      </x:c>
      <x:c r="C1447" s="195" t="n">
        <x:v>-0.9</x:v>
      </x:c>
      <x:c r="D1447" s="195" t="n">
        <x:f>IFERROR(B1447-C1447,"")</x:f>
        <x:v>2.49</x:v>
      </x:c>
    </x:row>
    <x:row r="1448">
      <x:c r="A1448" s="187" t="n">
        <x:v>44482</x:v>
      </x:c>
      <x:c r="B1448" s="195" t="n">
        <x:v>1.56</x:v>
      </x:c>
      <x:c r="C1448" s="195" t="n">
        <x:v>-0.96</x:v>
      </x:c>
      <x:c r="D1448" s="195" t="n">
        <x:f>IFERROR(B1448-C1448,"")</x:f>
        <x:v>2.52</x:v>
      </x:c>
    </x:row>
    <x:row r="1449">
      <x:c r="A1449" s="187" t="n">
        <x:v>44483</x:v>
      </x:c>
      <x:c r="B1449" s="195" t="n">
        <x:v>1.52</x:v>
      </x:c>
      <x:c r="C1449" s="195" t="n">
        <x:v>-1</x:v>
      </x:c>
      <x:c r="D1449" s="195" t="n">
        <x:f>IFERROR(B1449-C1449,"")</x:f>
        <x:v>2.52</x:v>
      </x:c>
    </x:row>
    <x:row r="1450">
      <x:c r="A1450" s="187" t="n">
        <x:v>44484</x:v>
      </x:c>
      <x:c r="B1450" s="195" t="n">
        <x:v>1.59</x:v>
      </x:c>
      <x:c r="C1450" s="195" t="n">
        <x:v>-0.97</x:v>
      </x:c>
      <x:c r="D1450" s="195" t="n">
        <x:f>IFERROR(B1450-C1450,"")</x:f>
        <x:v>2.56</x:v>
      </x:c>
    </x:row>
    <x:row r="1451">
      <x:c r="A1451" s="187" t="n">
        <x:v>44487</x:v>
      </x:c>
      <x:c r="B1451" s="195" t="n">
        <x:v>1.59</x:v>
      </x:c>
      <x:c r="C1451" s="195" t="n">
        <x:v>-0.95</x:v>
      </x:c>
      <x:c r="D1451" s="195" t="n">
        <x:f>IFERROR(B1451-C1451,"")</x:f>
        <x:v>2.54</x:v>
      </x:c>
    </x:row>
    <x:row r="1452">
      <x:c r="A1452" s="187" t="n">
        <x:v>44488</x:v>
      </x:c>
      <x:c r="B1452" s="195" t="n">
        <x:v>1.65</x:v>
      </x:c>
      <x:c r="C1452" s="195" t="n">
        <x:v>-0.89</x:v>
      </x:c>
      <x:c r="D1452" s="195" t="n">
        <x:f>IFERROR(B1452-C1452,"")</x:f>
        <x:v>2.54</x:v>
      </x:c>
    </x:row>
    <x:row r="1453">
      <x:c r="A1453" s="187" t="n">
        <x:v>44489</x:v>
      </x:c>
      <x:c r="B1453" s="195" t="n">
        <x:v>1.65</x:v>
      </x:c>
      <x:c r="C1453" s="195" t="n">
        <x:v>-0.92</x:v>
      </x:c>
      <x:c r="D1453" s="195" t="n">
        <x:f>IFERROR(B1453-C1453,"")</x:f>
        <x:v>2.57</x:v>
      </x:c>
    </x:row>
    <x:row r="1454">
      <x:c r="A1454" s="187" t="n">
        <x:v>44490</x:v>
      </x:c>
      <x:c r="B1454" s="195" t="n">
        <x:v>1.68</x:v>
      </x:c>
      <x:c r="C1454" s="195" t="n">
        <x:v>-0.96</x:v>
      </x:c>
      <x:c r="D1454" s="195" t="n">
        <x:f>IFERROR(B1454-C1454,"")</x:f>
        <x:v>2.6399999999999997</x:v>
      </x:c>
    </x:row>
    <x:row r="1455">
      <x:c r="A1455" s="187" t="n">
        <x:v>44491</x:v>
      </x:c>
      <x:c r="B1455" s="195" t="n">
        <x:v>1.66</x:v>
      </x:c>
      <x:c r="C1455" s="195" t="n">
        <x:v>-0.98</x:v>
      </x:c>
      <x:c r="D1455" s="195" t="n">
        <x:f>IFERROR(B1455-C1455,"")</x:f>
        <x:v>2.6399999999999997</x:v>
      </x:c>
    </x:row>
    <x:row r="1456">
      <x:c r="A1456" s="187" t="n">
        <x:v>44494</x:v>
      </x:c>
      <x:c r="B1456" s="195" t="n">
        <x:v>1.64</x:v>
      </x:c>
      <x:c r="C1456" s="195" t="n">
        <x:v>-1.02</x:v>
      </x:c>
      <x:c r="D1456" s="195" t="n">
        <x:f>IFERROR(B1456-C1456,"")</x:f>
        <x:v>2.66</x:v>
      </x:c>
    </x:row>
    <x:row r="1457">
      <x:c r="A1457" s="187" t="n">
        <x:v>44495</x:v>
      </x:c>
      <x:c r="B1457" s="195" t="n">
        <x:v>1.63</x:v>
      </x:c>
      <x:c r="C1457" s="195" t="n">
        <x:v>-1.06</x:v>
      </x:c>
      <x:c r="D1457" s="195" t="n">
        <x:f>IFERROR(B1457-C1457,"")</x:f>
        <x:v>2.69</x:v>
      </x:c>
    </x:row>
    <x:row r="1458">
      <x:c r="A1458" s="187" t="n">
        <x:v>44496</x:v>
      </x:c>
      <x:c r="B1458" s="195" t="n">
        <x:v>1.54</x:v>
      </x:c>
      <x:c r="C1458" s="195" t="n">
        <x:v>-1.11</x:v>
      </x:c>
      <x:c r="D1458" s="195" t="n">
        <x:f>IFERROR(B1458-C1458,"")</x:f>
        <x:v>2.6500000000000004</x:v>
      </x:c>
    </x:row>
    <x:row r="1459">
      <x:c r="A1459" s="187" t="n">
        <x:v>44497</x:v>
      </x:c>
      <x:c r="B1459" s="195" t="n">
        <x:v>1.57</x:v>
      </x:c>
      <x:c r="C1459" s="195" t="n">
        <x:v>-1</x:v>
      </x:c>
      <x:c r="D1459" s="195" t="n">
        <x:f>IFERROR(B1459-C1459,"")</x:f>
        <x:v>2.5700000000000003</x:v>
      </x:c>
    </x:row>
    <x:row r="1460">
      <x:c r="A1460" s="187" t="n">
        <x:v>44498</x:v>
      </x:c>
      <x:c r="B1460" s="195" t="n">
        <x:v>1.55</x:v>
      </x:c>
      <x:c r="C1460" s="195" t="n">
        <x:v>-0.96</x:v>
      </x:c>
      <x:c r="D1460" s="195" t="n">
        <x:f>IFERROR(B1460-C1460,"")</x:f>
        <x:v>2.51</x:v>
      </x:c>
    </x:row>
    <x:row r="1461">
      <x:c r="A1461" s="187" t="n">
        <x:v>44501</x:v>
      </x:c>
      <x:c r="B1461" s="195" t="n">
        <x:v>1.58</x:v>
      </x:c>
      <x:c r="C1461" s="195" t="n">
        <x:v>-0.92</x:v>
      </x:c>
      <x:c r="D1461" s="195" t="n">
        <x:f>IFERROR(B1461-C1461,"")</x:f>
        <x:v>2.5</x:v>
      </x:c>
    </x:row>
    <x:row r="1462">
      <x:c r="A1462" s="187" t="n">
        <x:v>44502</x:v>
      </x:c>
      <x:c r="B1462" s="195" t="n">
        <x:v>1.56</x:v>
      </x:c>
      <x:c r="C1462" s="195" t="n">
        <x:v>-0.95</x:v>
      </x:c>
      <x:c r="D1462" s="195" t="n">
        <x:f>IFERROR(B1462-C1462,"")</x:f>
        <x:v>2.51</x:v>
      </x:c>
    </x:row>
    <x:row r="1463">
      <x:c r="A1463" s="187" t="n">
        <x:v>44503</x:v>
      </x:c>
      <x:c r="B1463" s="195" t="n">
        <x:v>1.6</x:v>
      </x:c>
      <x:c r="C1463" s="195" t="n">
        <x:v>-0.93</x:v>
      </x:c>
      <x:c r="D1463" s="195" t="n">
        <x:f>IFERROR(B1463-C1463,"")</x:f>
        <x:v>2.5300000000000002</x:v>
      </x:c>
    </x:row>
    <x:row r="1464">
      <x:c r="A1464" s="187" t="n">
        <x:v>44504</x:v>
      </x:c>
      <x:c r="B1464" s="195" t="n">
        <x:v>1.53</x:v>
      </x:c>
      <x:c r="C1464" s="195" t="n">
        <x:v>-1.03</x:v>
      </x:c>
      <x:c r="D1464" s="195" t="n">
        <x:f>IFERROR(B1464-C1464,"")</x:f>
        <x:v>2.56</x:v>
      </x:c>
    </x:row>
    <x:row r="1465">
      <x:c r="A1465" s="187" t="n">
        <x:v>44505</x:v>
      </x:c>
      <x:c r="B1465" s="195" t="n">
        <x:v>1.45</x:v>
      </x:c>
      <x:c r="C1465" s="195" t="n">
        <x:v>-1.09</x:v>
      </x:c>
      <x:c r="D1465" s="195" t="n">
        <x:f>IFERROR(B1465-C1465,"")</x:f>
        <x:v>2.54</x:v>
      </x:c>
    </x:row>
    <x:row r="1466">
      <x:c r="A1466" s="187" t="n">
        <x:v>44508</x:v>
      </x:c>
      <x:c r="B1466" s="195" t="n">
        <x:v>1.51</x:v>
      </x:c>
      <x:c r="C1466" s="195" t="n">
        <x:v>-1.11</x:v>
      </x:c>
      <x:c r="D1466" s="195" t="n">
        <x:f>IFERROR(B1466-C1466,"")</x:f>
        <x:v>2.62</x:v>
      </x:c>
    </x:row>
    <x:row r="1467">
      <x:c r="A1467" s="187" t="n">
        <x:v>44509</x:v>
      </x:c>
      <x:c r="B1467" s="195" t="n">
        <x:v>1.46</x:v>
      </x:c>
      <x:c r="C1467" s="195" t="n">
        <x:v>-1.17</x:v>
      </x:c>
      <x:c r="D1467" s="195" t="n">
        <x:f>IFERROR(B1467-C1467,"")</x:f>
        <x:v>2.63</x:v>
      </x:c>
    </x:row>
    <x:row r="1468">
      <x:c r="A1468" s="187" t="n">
        <x:v>44510</x:v>
      </x:c>
      <x:c r="B1468" s="195" t="n">
        <x:v>1.56</x:v>
      </x:c>
      <x:c r="C1468" s="195" t="n">
        <x:v>-1.14</x:v>
      </x:c>
      <x:c r="D1468" s="195" t="n">
        <x:f>IFERROR(B1468-C1468,"")</x:f>
        <x:v>2.7</x:v>
      </x:c>
    </x:row>
    <x:row r="1469">
      <x:c r="A1469" s="187" t="n">
        <x:v>44512</x:v>
      </x:c>
      <x:c r="B1469" s="195" t="n">
        <x:v>1.58</x:v>
      </x:c>
      <x:c r="C1469" s="195" t="n">
        <x:v>-1.15</x:v>
      </x:c>
      <x:c r="D1469" s="195" t="n">
        <x:f>IFERROR(B1469-C1469,"")</x:f>
        <x:v>2.73</x:v>
      </x:c>
    </x:row>
    <x:row r="1470">
      <x:c r="A1470" s="187" t="n">
        <x:v>44515</x:v>
      </x:c>
      <x:c r="B1470" s="195" t="n">
        <x:v>1.63</x:v>
      </x:c>
      <x:c r="C1470" s="195" t="n">
        <x:v>-1.13</x:v>
      </x:c>
      <x:c r="D1470" s="195" t="n">
        <x:f>IFERROR(B1470-C1470,"")</x:f>
        <x:v>2.76</x:v>
      </x:c>
    </x:row>
    <x:row r="1471">
      <x:c r="A1471" s="187" t="n">
        <x:v>44516</x:v>
      </x:c>
      <x:c r="B1471" s="195" t="n">
        <x:v>1.63</x:v>
      </x:c>
      <x:c r="C1471" s="195" t="n">
        <x:v>-1.1</x:v>
      </x:c>
      <x:c r="D1471" s="195" t="n">
        <x:f>IFERROR(B1471-C1471,"")</x:f>
        <x:v>2.73</x:v>
      </x:c>
    </x:row>
    <x:row r="1472">
      <x:c r="A1472" s="187" t="n">
        <x:v>44517</x:v>
      </x:c>
      <x:c r="B1472" s="195" t="n">
        <x:v>1.6</x:v>
      </x:c>
      <x:c r="C1472" s="195" t="n">
        <x:v>-1.1</x:v>
      </x:c>
      <x:c r="D1472" s="195" t="n">
        <x:f>IFERROR(B1472-C1472,"")</x:f>
        <x:v>2.7</x:v>
      </x:c>
    </x:row>
    <x:row r="1473">
      <x:c r="A1473" s="187" t="n">
        <x:v>44518</x:v>
      </x:c>
      <x:c r="B1473" s="195" t="n">
        <x:v>1.59</x:v>
      </x:c>
      <x:c r="C1473" s="195" t="n">
        <x:v>-1.14</x:v>
      </x:c>
      <x:c r="D1473" s="195" t="n">
        <x:f>IFERROR(B1473-C1473,"")</x:f>
        <x:v>2.73</x:v>
      </x:c>
    </x:row>
    <x:row r="1474">
      <x:c r="A1474" s="187" t="n">
        <x:v>44519</x:v>
      </x:c>
      <x:c r="B1474" s="195" t="n">
        <x:v>1.54</x:v>
      </x:c>
      <x:c r="C1474" s="195" t="n">
        <x:v>-1.11</x:v>
      </x:c>
      <x:c r="D1474" s="195" t="n">
        <x:f>IFERROR(B1474-C1474,"")</x:f>
        <x:v>2.6500000000000004</x:v>
      </x:c>
    </x:row>
    <x:row r="1475">
      <x:c r="A1475" s="187" t="n">
        <x:v>44522</x:v>
      </x:c>
      <x:c r="B1475" s="195" t="n">
        <x:v>1.63</x:v>
      </x:c>
      <x:c r="C1475" s="195" t="n">
        <x:v>-0.98</x:v>
      </x:c>
      <x:c r="D1475" s="195" t="n">
        <x:f>IFERROR(B1475-C1475,"")</x:f>
        <x:v>2.61</x:v>
      </x:c>
    </x:row>
    <x:row r="1476">
      <x:c r="A1476" s="187" t="n">
        <x:v>44523</x:v>
      </x:c>
      <x:c r="B1476" s="195" t="n">
        <x:v>1.67</x:v>
      </x:c>
      <x:c r="C1476" s="195" t="n">
        <x:v>-0.95</x:v>
      </x:c>
      <x:c r="D1476" s="195" t="n">
        <x:f>IFERROR(B1476-C1476,"")</x:f>
        <x:v>2.62</x:v>
      </x:c>
    </x:row>
    <x:row r="1477">
      <x:c r="A1477" s="187" t="n">
        <x:v>44524</x:v>
      </x:c>
      <x:c r="B1477" s="195" t="n">
        <x:v>1.64</x:v>
      </x:c>
      <x:c r="C1477" s="195" t="n">
        <x:v>-0.97</x:v>
      </x:c>
      <x:c r="D1477" s="195" t="n">
        <x:f>IFERROR(B1477-C1477,"")</x:f>
        <x:v>2.61</x:v>
      </x:c>
    </x:row>
    <x:row r="1478">
      <x:c r="A1478" s="187" t="n">
        <x:v>44526</x:v>
      </x:c>
      <x:c r="B1478" s="195" t="n">
        <x:v>1.48</x:v>
      </x:c>
      <x:c r="C1478" s="195" t="n">
        <x:v>-1.07</x:v>
      </x:c>
      <x:c r="D1478" s="195" t="n">
        <x:f>IFERROR(B1478-C1478,"")</x:f>
        <x:v>2.55</x:v>
      </x:c>
    </x:row>
    <x:row r="1479">
      <x:c r="A1479" s="187" t="n">
        <x:v>44529</x:v>
      </x:c>
      <x:c r="B1479" s="195" t="n">
        <x:v>1.52</x:v>
      </x:c>
      <x:c r="C1479" s="195" t="n">
        <x:v>-1.02</x:v>
      </x:c>
      <x:c r="D1479" s="195" t="n">
        <x:f>IFERROR(B1479-C1479,"")</x:f>
        <x:v>2.54</x:v>
      </x:c>
    </x:row>
    <x:row r="1480">
      <x:c r="A1480" s="187" t="n">
        <x:v>44530</x:v>
      </x:c>
      <x:c r="B1480" s="195" t="n">
        <x:v>1.43</x:v>
      </x:c>
      <x:c r="C1480" s="195" t="n">
        <x:v>-1.07</x:v>
      </x:c>
      <x:c r="D1480" s="195" t="n">
        <x:f>IFERROR(B1480-C1480,"")</x:f>
        <x:v>2.5</x:v>
      </x:c>
    </x:row>
    <x:row r="1481">
      <x:c r="A1481" s="187" t="n">
        <x:v>44531</x:v>
      </x:c>
      <x:c r="B1481" s="195" t="n">
        <x:v>1.43</x:v>
      </x:c>
      <x:c r="C1481" s="195" t="n">
        <x:v>-1.01</x:v>
      </x:c>
      <x:c r="D1481" s="195" t="n">
        <x:f>IFERROR(B1481-C1481,"")</x:f>
        <x:v>2.44</x:v>
      </x:c>
    </x:row>
    <x:row r="1482">
      <x:c r="A1482" s="187" t="n">
        <x:v>44532</x:v>
      </x:c>
      <x:c r="B1482" s="195" t="n">
        <x:v>1.44</x:v>
      </x:c>
      <x:c r="C1482" s="195" t="n">
        <x:v>-1.03</x:v>
      </x:c>
      <x:c r="D1482" s="195" t="n">
        <x:f>IFERROR(B1482-C1482,"")</x:f>
        <x:v>2.4699999999999998</x:v>
      </x:c>
    </x:row>
    <x:row r="1483">
      <x:c r="A1483" s="187" t="n">
        <x:v>44533</x:v>
      </x:c>
      <x:c r="B1483" s="195" t="n">
        <x:v>1.35</x:v>
      </x:c>
      <x:c r="C1483" s="195" t="n">
        <x:v>-1.08</x:v>
      </x:c>
      <x:c r="D1483" s="195" t="n">
        <x:f>IFERROR(B1483-C1483,"")</x:f>
        <x:v>2.43</x:v>
      </x:c>
    </x:row>
    <x:row r="1484">
      <x:c r="A1484" s="187" t="n">
        <x:v>44536</x:v>
      </x:c>
      <x:c r="B1484" s="195" t="n">
        <x:v>1.43</x:v>
      </x:c>
      <x:c r="C1484" s="195" t="n">
        <x:v>-1.01</x:v>
      </x:c>
      <x:c r="D1484" s="195" t="n">
        <x:f>IFERROR(B1484-C1484,"")</x:f>
        <x:v>2.44</x:v>
      </x:c>
    </x:row>
    <x:row r="1485">
      <x:c r="A1485" s="187" t="n">
        <x:v>44537</x:v>
      </x:c>
      <x:c r="B1485" s="195" t="n">
        <x:v>1.48</x:v>
      </x:c>
      <x:c r="C1485" s="195" t="n">
        <x:v>-0.99</x:v>
      </x:c>
      <x:c r="D1485" s="195" t="n">
        <x:f>IFERROR(B1485-C1485,"")</x:f>
        <x:v>2.4699999999999998</x:v>
      </x:c>
    </x:row>
    <x:row r="1486">
      <x:c r="A1486" s="187" t="n">
        <x:v>44538</x:v>
      </x:c>
      <x:c r="B1486" s="195" t="n">
        <x:v>1.52</x:v>
      </x:c>
      <x:c r="C1486" s="195" t="n">
        <x:v>-1</x:v>
      </x:c>
      <x:c r="D1486" s="195" t="n">
        <x:f>IFERROR(B1486-C1486,"")</x:f>
        <x:v>2.52</x:v>
      </x:c>
    </x:row>
    <x:row r="1487">
      <x:c r="A1487" s="187" t="n">
        <x:v>44539</x:v>
      </x:c>
      <x:c r="B1487" s="195" t="n">
        <x:v>1.49</x:v>
      </x:c>
      <x:c r="C1487" s="195" t="n">
        <x:v>-0.98</x:v>
      </x:c>
      <x:c r="D1487" s="195" t="n">
        <x:f>IFERROR(B1487-C1487,"")</x:f>
        <x:v>2.4699999999999998</x:v>
      </x:c>
    </x:row>
    <x:row r="1488">
      <x:c r="A1488" s="187" t="n">
        <x:v>44540</x:v>
      </x:c>
      <x:c r="B1488" s="195" t="n">
        <x:v>1.48</x:v>
      </x:c>
      <x:c r="C1488" s="195" t="n">
        <x:v>-0.96</x:v>
      </x:c>
      <x:c r="D1488" s="195" t="n">
        <x:f>IFERROR(B1488-C1488,"")</x:f>
        <x:v>2.44</x:v>
      </x:c>
    </x:row>
    <x:row r="1489">
      <x:c r="A1489" s="187" t="n">
        <x:v>44543</x:v>
      </x:c>
      <x:c r="B1489" s="195" t="n">
        <x:v>1.42</x:v>
      </x:c>
      <x:c r="C1489" s="195" t="n">
        <x:v>-0.98</x:v>
      </x:c>
      <x:c r="D1489" s="195" t="n">
        <x:f>IFERROR(B1489-C1489,"")</x:f>
        <x:v>2.4</x:v>
      </x:c>
    </x:row>
    <x:row r="1490">
      <x:c r="A1490" s="187" t="n">
        <x:v>44544</x:v>
      </x:c>
      <x:c r="B1490" s="195" t="n">
        <x:v>1.44</x:v>
      </x:c>
      <x:c r="C1490" s="195" t="n">
        <x:v>-0.93</x:v>
      </x:c>
      <x:c r="D1490" s="195" t="n">
        <x:f>IFERROR(B1490-C1490,"")</x:f>
        <x:v>2.37</x:v>
      </x:c>
    </x:row>
    <x:row r="1491">
      <x:c r="A1491" s="187" t="n">
        <x:v>44545</x:v>
      </x:c>
      <x:c r="B1491" s="195" t="n">
        <x:v>1.47</x:v>
      </x:c>
      <x:c r="C1491" s="195" t="n">
        <x:v>-0.92</x:v>
      </x:c>
      <x:c r="D1491" s="195" t="n">
        <x:f>IFERROR(B1491-C1491,"")</x:f>
        <x:v>2.39</x:v>
      </x:c>
    </x:row>
    <x:row r="1492">
      <x:c r="A1492" s="187" t="n">
        <x:v>44546</x:v>
      </x:c>
      <x:c r="B1492" s="195" t="n">
        <x:v>1.44</x:v>
      </x:c>
      <x:c r="C1492" s="195" t="n">
        <x:v>-0.98</x:v>
      </x:c>
      <x:c r="D1492" s="195" t="n">
        <x:f>IFERROR(B1492-C1492,"")</x:f>
        <x:v>2.42</x:v>
      </x:c>
    </x:row>
    <x:row r="1493">
      <x:c r="A1493" s="187" t="n">
        <x:v>44547</x:v>
      </x:c>
      <x:c r="B1493" s="195" t="n">
        <x:v>1.41</x:v>
      </x:c>
      <x:c r="C1493" s="195" t="n">
        <x:v>-0.97</x:v>
      </x:c>
      <x:c r="D1493" s="195" t="n">
        <x:f>IFERROR(B1493-C1493,"")</x:f>
        <x:v>2.38</x:v>
      </x:c>
    </x:row>
    <x:row r="1494">
      <x:c r="A1494" s="187" t="n">
        <x:v>44550</x:v>
      </x:c>
      <x:c r="B1494" s="195" t="n">
        <x:v>1.43</x:v>
      </x:c>
      <x:c r="C1494" s="195" t="n">
        <x:v>-0.96</x:v>
      </x:c>
      <x:c r="D1494" s="195" t="n">
        <x:f>IFERROR(B1494-C1494,"")</x:f>
        <x:v>2.3899999999999997</x:v>
      </x:c>
    </x:row>
    <x:row r="1495">
      <x:c r="A1495" s="187" t="n">
        <x:v>44551</x:v>
      </x:c>
      <x:c r="B1495" s="195" t="n">
        <x:v>1.48</x:v>
      </x:c>
      <x:c r="C1495" s="195" t="n">
        <x:v>-0.96</x:v>
      </x:c>
      <x:c r="D1495" s="195" t="n">
        <x:f>IFERROR(B1495-C1495,"")</x:f>
        <x:v>2.44</x:v>
      </x:c>
    </x:row>
    <x:row r="1496">
      <x:c r="A1496" s="187" t="n">
        <x:v>44552</x:v>
      </x:c>
      <x:c r="B1496" s="195" t="n">
        <x:v>1.46</x:v>
      </x:c>
      <x:c r="C1496" s="195" t="n">
        <x:v>-1.01</x:v>
      </x:c>
      <x:c r="D1496" s="195" t="n">
        <x:f>IFERROR(B1496-C1496,"")</x:f>
        <x:v>2.4699999999999998</x:v>
      </x:c>
    </x:row>
    <x:row r="1497">
      <x:c r="A1497" s="187" t="n">
        <x:v>44553</x:v>
      </x:c>
      <x:c r="B1497" s="195" t="n">
        <x:v>1.5</x:v>
      </x:c>
      <x:c r="C1497" s="195" t="n">
        <x:v>-0.97</x:v>
      </x:c>
      <x:c r="D1497" s="195" t="n">
        <x:f>IFERROR(B1497-C1497,"")</x:f>
        <x:v>2.4699999999999998</x:v>
      </x:c>
    </x:row>
    <x:row r="1498">
      <x:c r="A1498" s="187" t="n">
        <x:v>44557</x:v>
      </x:c>
      <x:c r="B1498" s="195" t="n">
        <x:v>1.48</x:v>
      </x:c>
      <x:c r="C1498" s="195" t="n">
        <x:v>-1.02</x:v>
      </x:c>
      <x:c r="D1498" s="195" t="n">
        <x:f>IFERROR(B1498-C1498,"")</x:f>
        <x:v>2.5</x:v>
      </x:c>
    </x:row>
    <x:row r="1499">
      <x:c r="A1499" s="187" t="n">
        <x:v>44558</x:v>
      </x:c>
      <x:c r="B1499" s="195" t="n">
        <x:v>1.49</x:v>
      </x:c>
      <x:c r="C1499" s="195" t="n">
        <x:v>-1.01</x:v>
      </x:c>
      <x:c r="D1499" s="195" t="n">
        <x:f>IFERROR(B1499-C1499,"")</x:f>
        <x:v>2.5</x:v>
      </x:c>
    </x:row>
    <x:row r="1500">
      <x:c r="A1500" s="187" t="n">
        <x:v>44559</x:v>
      </x:c>
      <x:c r="B1500" s="195" t="n">
        <x:v>1.55</x:v>
      </x:c>
      <x:c r="C1500" s="195" t="n">
        <x:v>-0.98</x:v>
      </x:c>
      <x:c r="D1500" s="195" t="n">
        <x:f>IFERROR(B1500-C1500,"")</x:f>
        <x:v>2.5300000000000002</x:v>
      </x:c>
    </x:row>
    <x:row r="1501">
      <x:c r="A1501" s="187" t="n">
        <x:v>44560</x:v>
      </x:c>
      <x:c r="B1501" s="195" t="n">
        <x:v>1.52</x:v>
      </x:c>
      <x:c r="C1501" s="195" t="n">
        <x:v>-1.06</x:v>
      </x:c>
      <x:c r="D1501" s="195" t="n">
        <x:f>IFERROR(B1501-C1501,"")</x:f>
        <x:v>2.58</x:v>
      </x:c>
    </x:row>
    <x:row r="1502">
      <x:c r="A1502" s="187" t="n">
        <x:v>44561</x:v>
      </x:c>
      <x:c r="B1502" s="195" t="n">
        <x:v>1.52</x:v>
      </x:c>
      <x:c r="C1502" s="195" t="n">
        <x:v>-1.04</x:v>
      </x:c>
      <x:c r="D1502" s="195" t="n">
        <x:f>IFERROR(B1502-C1502,"")</x:f>
        <x:v>2.56</x:v>
      </x:c>
    </x:row>
    <x:row r="1503">
      <x:c r="A1503" s="187" t="n">
        <x:v>44564</x:v>
      </x:c>
      <x:c r="B1503" s="195" t="n">
        <x:v>1.63</x:v>
      </x:c>
      <x:c r="C1503" s="195" t="n">
        <x:v>-0.97</x:v>
      </x:c>
      <x:c r="D1503" s="195" t="n">
        <x:f>IFERROR(B1503-C1503,"")</x:f>
        <x:v>2.5999999999999996</x:v>
      </x:c>
    </x:row>
    <x:row r="1504">
      <x:c r="A1504" s="187" t="n">
        <x:v>44565</x:v>
      </x:c>
      <x:c r="B1504" s="195" t="n">
        <x:v>1.66</x:v>
      </x:c>
      <x:c r="C1504" s="195" t="n">
        <x:v>-0.91</x:v>
      </x:c>
      <x:c r="D1504" s="195" t="n">
        <x:f>IFERROR(B1504-C1504,"")</x:f>
        <x:v>2.57</x:v>
      </x:c>
    </x:row>
    <x:row r="1505">
      <x:c r="A1505" s="187" t="n">
        <x:v>44566</x:v>
      </x:c>
      <x:c r="B1505" s="195" t="n">
        <x:v>1.71</x:v>
      </x:c>
      <x:c r="C1505" s="195" t="n">
        <x:v>-0.82</x:v>
      </x:c>
      <x:c r="D1505" s="195" t="n">
        <x:f>IFERROR(B1505-C1505,"")</x:f>
        <x:v>2.53</x:v>
      </x:c>
    </x:row>
    <x:row r="1506">
      <x:c r="A1506" s="187" t="n">
        <x:v>44567</x:v>
      </x:c>
      <x:c r="B1506" s="195" t="n">
        <x:v>1.73</x:v>
      </x:c>
      <x:c r="C1506" s="195" t="n">
        <x:v>-0.73</x:v>
      </x:c>
      <x:c r="D1506" s="195" t="n">
        <x:f>IFERROR(B1506-C1506,"")</x:f>
        <x:v>2.46</x:v>
      </x:c>
    </x:row>
    <x:row r="1507">
      <x:c r="A1507" s="187" t="n">
        <x:v>44568</x:v>
      </x:c>
      <x:c r="B1507" s="195" t="n">
        <x:v>1.76</x:v>
      </x:c>
      <x:c r="C1507" s="195" t="n">
        <x:v>-0.72</x:v>
      </x:c>
      <x:c r="D1507" s="195" t="n">
        <x:f>IFERROR(B1507-C1507,"")</x:f>
        <x:v>2.48</x:v>
      </x:c>
    </x:row>
    <x:row r="1508">
      <x:c r="A1508" s="187" t="n">
        <x:v>44571</x:v>
      </x:c>
      <x:c r="B1508" s="195" t="n">
        <x:v>1.78</x:v>
      </x:c>
      <x:c r="C1508" s="195" t="n">
        <x:v>-0.7</x:v>
      </x:c>
      <x:c r="D1508" s="195" t="n">
        <x:f>IFERROR(B1508-C1508,"")</x:f>
        <x:v>2.48</x:v>
      </x:c>
    </x:row>
    <x:row r="1509">
      <x:c r="A1509" s="187" t="n">
        <x:v>44572</x:v>
      </x:c>
      <x:c r="B1509" s="195" t="n">
        <x:v>1.75</x:v>
      </x:c>
      <x:c r="C1509" s="195" t="n">
        <x:v>-0.79</x:v>
      </x:c>
      <x:c r="D1509" s="195" t="n">
        <x:f>IFERROR(B1509-C1509,"")</x:f>
        <x:v>2.54</x:v>
      </x:c>
    </x:row>
    <x:row r="1510">
      <x:c r="A1510" s="187" t="n">
        <x:v>44573</x:v>
      </x:c>
      <x:c r="B1510" s="195" t="n">
        <x:v>1.74</x:v>
      </x:c>
      <x:c r="C1510" s="195" t="n">
        <x:v>-0.74</x:v>
      </x:c>
      <x:c r="D1510" s="195" t="n">
        <x:f>IFERROR(B1510-C1510,"")</x:f>
        <x:v>2.48</x:v>
      </x:c>
    </x:row>
    <x:row r="1511">
      <x:c r="A1511" s="187" t="n">
        <x:v>44574</x:v>
      </x:c>
      <x:c r="B1511" s="195" t="n">
        <x:v>1.7</x:v>
      </x:c>
      <x:c r="C1511" s="195" t="n">
        <x:v>-0.73</x:v>
      </x:c>
      <x:c r="D1511" s="195" t="n">
        <x:f>IFERROR(B1511-C1511,"")</x:f>
        <x:v>2.4299999999999997</x:v>
      </x:c>
    </x:row>
    <x:row r="1512">
      <x:c r="A1512" s="187" t="n">
        <x:v>44575</x:v>
      </x:c>
      <x:c r="B1512" s="195" t="n">
        <x:v>1.78</x:v>
      </x:c>
      <x:c r="C1512" s="195" t="n">
        <x:v>-0.66</x:v>
      </x:c>
      <x:c r="D1512" s="195" t="n">
        <x:f>IFERROR(B1512-C1512,"")</x:f>
        <x:v>2.44</x:v>
      </x:c>
    </x:row>
    <x:row r="1513">
      <x:c r="A1513" s="187" t="n">
        <x:v>44579</x:v>
      </x:c>
      <x:c r="B1513" s="195" t="n">
        <x:v>1.87</x:v>
      </x:c>
      <x:c r="C1513" s="195" t="n">
        <x:v>-0.59</x:v>
      </x:c>
      <x:c r="D1513" s="195" t="n">
        <x:f>IFERROR(B1513-C1513,"")</x:f>
        <x:v>2.46</x:v>
      </x:c>
    </x:row>
    <x:row r="1514">
      <x:c r="A1514" s="187" t="n">
        <x:v>44580</x:v>
      </x:c>
      <x:c r="B1514" s="195" t="n">
        <x:v>1.83</x:v>
      </x:c>
      <x:c r="C1514" s="195" t="n">
        <x:v>-0.57</x:v>
      </x:c>
      <x:c r="D1514" s="195" t="n">
        <x:f>IFERROR(B1514-C1514,"")</x:f>
        <x:v>2.4</x:v>
      </x:c>
    </x:row>
    <x:row r="1515">
      <x:c r="A1515" s="187" t="n">
        <x:v>44581</x:v>
      </x:c>
      <x:c r="B1515" s="195" t="n">
        <x:v>1.83</x:v>
      </x:c>
      <x:c r="C1515" s="195" t="n">
        <x:v>-0.5</x:v>
      </x:c>
      <x:c r="D1515" s="195" t="n">
        <x:f>IFERROR(B1515-C1515,"")</x:f>
        <x:v>2.33</x:v>
      </x:c>
    </x:row>
    <x:row r="1516">
      <x:c r="A1516" s="187" t="n">
        <x:v>44582</x:v>
      </x:c>
      <x:c r="B1516" s="195" t="n">
        <x:v>1.75</x:v>
      </x:c>
      <x:c r="C1516" s="195" t="n">
        <x:v>-0.59</x:v>
      </x:c>
      <x:c r="D1516" s="195" t="n">
        <x:f>IFERROR(B1516-C1516,"")</x:f>
        <x:v>2.34</x:v>
      </x:c>
    </x:row>
    <x:row r="1517">
      <x:c r="A1517" s="187" t="n">
        <x:v>44585</x:v>
      </x:c>
      <x:c r="B1517" s="195" t="n">
        <x:v>1.75</x:v>
      </x:c>
      <x:c r="C1517" s="195" t="n">
        <x:v>-0.63</x:v>
      </x:c>
      <x:c r="D1517" s="195" t="n">
        <x:f>IFERROR(B1517-C1517,"")</x:f>
        <x:v>2.38</x:v>
      </x:c>
    </x:row>
    <x:row r="1518">
      <x:c r="A1518" s="187" t="n">
        <x:v>44586</x:v>
      </x:c>
      <x:c r="B1518" s="195" t="n">
        <x:v>1.78</x:v>
      </x:c>
      <x:c r="C1518" s="195" t="n">
        <x:v>-0.63</x:v>
      </x:c>
      <x:c r="D1518" s="195" t="n">
        <x:f>IFERROR(B1518-C1518,"")</x:f>
        <x:v>2.41</x:v>
      </x:c>
    </x:row>
    <x:row r="1519">
      <x:c r="A1519" s="187" t="n">
        <x:v>44587</x:v>
      </x:c>
      <x:c r="B1519" s="195" t="n">
        <x:v>1.85</x:v>
      </x:c>
      <x:c r="C1519" s="195" t="n">
        <x:v>-0.53</x:v>
      </x:c>
      <x:c r="D1519" s="195" t="n">
        <x:f>IFERROR(B1519-C1519,"")</x:f>
        <x:v>2.38</x:v>
      </x:c>
    </x:row>
    <x:row r="1520">
      <x:c r="A1520" s="187" t="n">
        <x:v>44588</x:v>
      </x:c>
      <x:c r="B1520" s="195" t="n">
        <x:v>1.81</x:v>
      </x:c>
      <x:c r="C1520" s="195" t="n">
        <x:v>-0.59</x:v>
      </x:c>
      <x:c r="D1520" s="195" t="n">
        <x:f>IFERROR(B1520-C1520,"")</x:f>
        <x:v>2.4</x:v>
      </x:c>
    </x:row>
    <x:row r="1521">
      <x:c r="A1521" s="187" t="n">
        <x:v>44589</x:v>
      </x:c>
      <x:c r="B1521" s="195" t="n">
        <x:v>1.78</x:v>
      </x:c>
      <x:c r="C1521" s="195" t="n">
        <x:v>-0.66</x:v>
      </x:c>
      <x:c r="D1521" s="195" t="n">
        <x:f>IFERROR(B1521-C1521,"")</x:f>
        <x:v>2.44</x:v>
      </x:c>
    </x:row>
    <x:row r="1522">
      <x:c r="A1522" s="187" t="n">
        <x:v>44592</x:v>
      </x:c>
      <x:c r="B1522" s="195" t="n">
        <x:v>1.79</x:v>
      </x:c>
      <x:c r="C1522" s="195" t="n">
        <x:v>-0.65</x:v>
      </x:c>
      <x:c r="D1522" s="195" t="n">
        <x:f>IFERROR(B1522-C1522,"")</x:f>
        <x:v>2.44</x:v>
      </x:c>
    </x:row>
    <x:row r="1523">
      <x:c r="A1523" s="187" t="n">
        <x:v>44593</x:v>
      </x:c>
      <x:c r="B1523" s="195" t="n">
        <x:v>1.81</x:v>
      </x:c>
      <x:c r="C1523" s="195" t="n">
        <x:v>-0.62</x:v>
      </x:c>
      <x:c r="D1523" s="195" t="n">
        <x:f>IFERROR(B1523-C1523,"")</x:f>
        <x:v>2.43</x:v>
      </x:c>
    </x:row>
    <x:row r="1524">
      <x:c r="A1524" s="187" t="n">
        <x:v>44594</x:v>
      </x:c>
      <x:c r="B1524" s="195" t="n">
        <x:v>1.78</x:v>
      </x:c>
      <x:c r="C1524" s="195" t="n">
        <x:v>-0.63</x:v>
      </x:c>
      <x:c r="D1524" s="195" t="n">
        <x:f>IFERROR(B1524-C1524,"")</x:f>
        <x:v>2.41</x:v>
      </x:c>
    </x:row>
    <x:row r="1525">
      <x:c r="A1525" s="187" t="n">
        <x:v>44595</x:v>
      </x:c>
      <x:c r="B1525" s="195" t="n">
        <x:v>1.82</x:v>
      </x:c>
      <x:c r="C1525" s="195" t="n">
        <x:v>-0.56</x:v>
      </x:c>
      <x:c r="D1525" s="195" t="n">
        <x:f>IFERROR(B1525-C1525,"")</x:f>
        <x:v>2.38</x:v>
      </x:c>
    </x:row>
    <x:row r="1526">
      <x:c r="A1526" s="187" t="n">
        <x:v>44596</x:v>
      </x:c>
      <x:c r="B1526" s="195" t="n">
        <x:v>1.93</x:v>
      </x:c>
      <x:c r="C1526" s="195" t="n">
        <x:v>-0.48</x:v>
      </x:c>
      <x:c r="D1526" s="195" t="n">
        <x:f>IFERROR(B1526-C1526,"")</x:f>
        <x:v>2.41</x:v>
      </x:c>
    </x:row>
    <x:row r="1527">
      <x:c r="A1527" s="187" t="n">
        <x:v>44599</x:v>
      </x:c>
      <x:c r="B1527" s="195" t="n">
        <x:v>1.92</x:v>
      </x:c>
      <x:c r="C1527" s="195" t="n">
        <x:v>-0.48</x:v>
      </x:c>
      <x:c r="D1527" s="195" t="n">
        <x:f>IFERROR(B1527-C1527,"")</x:f>
        <x:v>2.4</x:v>
      </x:c>
    </x:row>
    <x:row r="1528">
      <x:c r="A1528" s="187" t="n">
        <x:v>44600</x:v>
      </x:c>
      <x:c r="B1528" s="195" t="n">
        <x:v>1.96</x:v>
      </x:c>
      <x:c r="C1528" s="195" t="n">
        <x:v>-0.46</x:v>
      </x:c>
      <x:c r="D1528" s="195" t="n">
        <x:f>IFERROR(B1528-C1528,"")</x:f>
        <x:v>2.42</x:v>
      </x:c>
    </x:row>
    <x:row r="1529">
      <x:c r="A1529" s="187" t="n">
        <x:v>44601</x:v>
      </x:c>
      <x:c r="B1529" s="195" t="n">
        <x:v>1.94</x:v>
      </x:c>
      <x:c r="C1529" s="195" t="n">
        <x:v>-0.48</x:v>
      </x:c>
      <x:c r="D1529" s="195" t="n">
        <x:f>IFERROR(B1529-C1529,"")</x:f>
        <x:v>2.42</x:v>
      </x:c>
    </x:row>
    <x:row r="1530">
      <x:c r="A1530" s="187" t="n">
        <x:v>44602</x:v>
      </x:c>
      <x:c r="B1530" s="195" t="n">
        <x:v>2.03</x:v>
      </x:c>
      <x:c r="C1530" s="195" t="n">
        <x:v>-0.42</x:v>
      </x:c>
      <x:c r="D1530" s="195" t="n">
        <x:f>IFERROR(B1530-C1530,"")</x:f>
        <x:v>2.4499999999999997</x:v>
      </x:c>
    </x:row>
    <x:row r="1531">
      <x:c r="A1531" s="187" t="n">
        <x:v>44603</x:v>
      </x:c>
      <x:c r="B1531" s="195" t="n">
        <x:v>1.92</x:v>
      </x:c>
      <x:c r="C1531" s="195" t="n">
        <x:v>-0.51</x:v>
      </x:c>
      <x:c r="D1531" s="195" t="n">
        <x:f>IFERROR(B1531-C1531,"")</x:f>
        <x:v>2.4299999999999997</x:v>
      </x:c>
    </x:row>
    <x:row r="1532">
      <x:c r="A1532" s="187" t="n">
        <x:v>44606</x:v>
      </x:c>
      <x:c r="B1532" s="195" t="n">
        <x:v>1.98</x:v>
      </x:c>
      <x:c r="C1532" s="195" t="n">
        <x:v>-0.5</x:v>
      </x:c>
      <x:c r="D1532" s="195" t="n">
        <x:f>IFERROR(B1532-C1532,"")</x:f>
        <x:v>2.48</x:v>
      </x:c>
    </x:row>
    <x:row r="1533">
      <x:c r="A1533" s="187" t="n">
        <x:v>44607</x:v>
      </x:c>
      <x:c r="B1533" s="195" t="n">
        <x:v>2.05</x:v>
      </x:c>
      <x:c r="C1533" s="195" t="n">
        <x:v>-0.43</x:v>
      </x:c>
      <x:c r="D1533" s="195" t="n">
        <x:f>IFERROR(B1533-C1533,"")</x:f>
        <x:v>2.48</x:v>
      </x:c>
    </x:row>
    <x:row r="1534">
      <x:c r="A1534" s="187" t="n">
        <x:v>44608</x:v>
      </x:c>
      <x:c r="B1534" s="195" t="n">
        <x:v>2.03</x:v>
      </x:c>
      <x:c r="C1534" s="195" t="n">
        <x:v>-0.43</x:v>
      </x:c>
      <x:c r="D1534" s="195" t="n">
        <x:f>IFERROR(B1534-C1534,"")</x:f>
        <x:v>2.46</x:v>
      </x:c>
    </x:row>
    <x:row r="1535">
      <x:c r="A1535" s="187" t="n">
        <x:v>44609</x:v>
      </x:c>
      <x:c r="B1535" s="195" t="n">
        <x:v>1.97</x:v>
      </x:c>
      <x:c r="C1535" s="195" t="n">
        <x:v>-0.46</x:v>
      </x:c>
      <x:c r="D1535" s="195" t="n">
        <x:f>IFERROR(B1535-C1535,"")</x:f>
        <x:v>2.43</x:v>
      </x:c>
    </x:row>
    <x:row r="1536">
      <x:c r="A1536" s="187" t="n">
        <x:v>44610</x:v>
      </x:c>
      <x:c r="B1536" s="195" t="n">
        <x:v>1.92</x:v>
      </x:c>
      <x:c r="C1536" s="195" t="n">
        <x:v>-0.49</x:v>
      </x:c>
      <x:c r="D1536" s="195" t="n">
        <x:f>IFERROR(B1536-C1536,"")</x:f>
        <x:v>2.41</x:v>
      </x:c>
    </x:row>
    <x:row r="1537">
      <x:c r="A1537" s="187" t="n">
        <x:v>44614</x:v>
      </x:c>
      <x:c r="B1537" s="195" t="n">
        <x:v>1.94</x:v>
      </x:c>
      <x:c r="C1537" s="195" t="n">
        <x:v>-0.51</x:v>
      </x:c>
      <x:c r="D1537" s="195" t="n">
        <x:f>IFERROR(B1537-C1537,"")</x:f>
        <x:v>2.45</x:v>
      </x:c>
    </x:row>
    <x:row r="1538">
      <x:c r="A1538" s="187" t="n">
        <x:v>44615</x:v>
      </x:c>
      <x:c r="B1538" s="195" t="n">
        <x:v>1.99</x:v>
      </x:c>
      <x:c r="C1538" s="195" t="n">
        <x:v>-0.54</x:v>
      </x:c>
      <x:c r="D1538" s="195" t="n">
        <x:f>IFERROR(B1538-C1538,"")</x:f>
        <x:v>2.5300000000000002</x:v>
      </x:c>
    </x:row>
    <x:row r="1539">
      <x:c r="A1539" s="187" t="n">
        <x:v>44616</x:v>
      </x:c>
      <x:c r="B1539" s="195" t="n">
        <x:v>1.96</x:v>
      </x:c>
      <x:c r="C1539" s="195" t="n">
        <x:v>-0.59</x:v>
      </x:c>
      <x:c r="D1539" s="195" t="n">
        <x:f>IFERROR(B1539-C1539,"")</x:f>
        <x:v>2.55</x:v>
      </x:c>
    </x:row>
    <x:row r="1540">
      <x:c r="A1540" s="187" t="n">
        <x:v>44617</x:v>
      </x:c>
      <x:c r="B1540" s="195" t="n">
        <x:v>1.97</x:v>
      </x:c>
      <x:c r="C1540" s="195" t="n">
        <x:v>-0.57</x:v>
      </x:c>
      <x:c r="D1540" s="195" t="n">
        <x:f>IFERROR(B1540-C1540,"")</x:f>
        <x:v>2.54</x:v>
      </x:c>
    </x:row>
    <x:row r="1541">
      <x:c r="A1541" s="187" t="n">
        <x:v>44620</x:v>
      </x:c>
      <x:c r="B1541" s="195" t="n">
        <x:v>1.83</x:v>
      </x:c>
      <x:c r="C1541" s="195" t="n">
        <x:v>-0.79</x:v>
      </x:c>
      <x:c r="D1541" s="195" t="n">
        <x:f>IFERROR(B1541-C1541,"")</x:f>
        <x:v>2.62</x:v>
      </x:c>
    </x:row>
    <x:row r="1542">
      <x:c r="A1542" s="187" t="n">
        <x:v>44621</x:v>
      </x:c>
      <x:c r="B1542" s="195" t="n">
        <x:v>1.72</x:v>
      </x:c>
      <x:c r="C1542" s="195" t="n">
        <x:v>-0.9</x:v>
      </x:c>
      <x:c r="D1542" s="195" t="n">
        <x:f>IFERROR(B1542-C1542,"")</x:f>
        <x:v>2.62</x:v>
      </x:c>
    </x:row>
    <x:row r="1543">
      <x:c r="A1543" s="187" t="n">
        <x:v>44622</x:v>
      </x:c>
      <x:c r="B1543" s="195" t="n">
        <x:v>1.86</x:v>
      </x:c>
      <x:c r="C1543" s="195" t="n">
        <x:v>-0.85</x:v>
      </x:c>
      <x:c r="D1543" s="195" t="n">
        <x:f>IFERROR(B1543-C1543,"")</x:f>
        <x:v>2.71</x:v>
      </x:c>
    </x:row>
    <x:row r="1544">
      <x:c r="A1544" s="187" t="n">
        <x:v>44623</x:v>
      </x:c>
      <x:c r="B1544" s="195" t="n">
        <x:v>1.86</x:v>
      </x:c>
      <x:c r="C1544" s="195" t="n">
        <x:v>-0.83</x:v>
      </x:c>
      <x:c r="D1544" s="195" t="n">
        <x:f>IFERROR(B1544-C1544,"")</x:f>
        <x:v>2.69</x:v>
      </x:c>
    </x:row>
    <x:row r="1545">
      <x:c r="A1545" s="187" t="n">
        <x:v>44624</x:v>
      </x:c>
      <x:c r="B1545" s="195" t="n">
        <x:v>1.74</x:v>
      </x:c>
      <x:c r="C1545" s="195" t="n">
        <x:v>-0.93</x:v>
      </x:c>
      <x:c r="D1545" s="195" t="n">
        <x:f>IFERROR(B1545-C1545,"")</x:f>
        <x:v>2.67</x:v>
      </x:c>
    </x:row>
    <x:row r="1546">
      <x:c r="A1546" s="187" t="n">
        <x:v>44627</x:v>
      </x:c>
      <x:c r="B1546" s="195" t="n">
        <x:v>1.78</x:v>
      </x:c>
      <x:c r="C1546" s="195" t="n">
        <x:v>-0.99</x:v>
      </x:c>
      <x:c r="D1546" s="195" t="n">
        <x:f>IFERROR(B1546-C1546,"")</x:f>
        <x:v>2.77</x:v>
      </x:c>
    </x:row>
    <x:row r="1547">
      <x:c r="A1547" s="187" t="n">
        <x:v>44628</x:v>
      </x:c>
      <x:c r="B1547" s="195" t="n">
        <x:v>1.86</x:v>
      </x:c>
      <x:c r="C1547" s="195" t="n">
        <x:v>-1.04</x:v>
      </x:c>
      <x:c r="D1547" s="195" t="n">
        <x:f>IFERROR(B1547-C1547,"")</x:f>
        <x:v>2.9000000000000004</x:v>
      </x:c>
    </x:row>
    <x:row r="1548">
      <x:c r="A1548" s="187" t="n">
        <x:v>44629</x:v>
      </x:c>
      <x:c r="B1548" s="195" t="n">
        <x:v>1.94</x:v>
      </x:c>
      <x:c r="C1548" s="195" t="n">
        <x:v>-0.9</x:v>
      </x:c>
      <x:c r="D1548" s="195" t="n">
        <x:f>IFERROR(B1548-C1548,"")</x:f>
        <x:v>2.84</x:v>
      </x:c>
    </x:row>
    <x:row r="1549">
      <x:c r="A1549" s="187" t="n">
        <x:v>44630</x:v>
      </x:c>
      <x:c r="B1549" s="195" t="n">
        <x:v>1.98</x:v>
      </x:c>
      <x:c r="C1549" s="195" t="n">
        <x:v>-0.88</x:v>
      </x:c>
      <x:c r="D1549" s="195" t="n">
        <x:f>IFERROR(B1549-C1549,"")</x:f>
        <x:v>2.86</x:v>
      </x:c>
    </x:row>
    <x:row r="1550">
      <x:c r="A1550" s="187" t="n">
        <x:v>44631</x:v>
      </x:c>
      <x:c r="B1550" s="195" t="n">
        <x:v>2</x:v>
      </x:c>
      <x:c r="C1550" s="195" t="n">
        <x:v>-0.94</x:v>
      </x:c>
      <x:c r="D1550" s="195" t="n">
        <x:f>IFERROR(B1550-C1550,"")</x:f>
        <x:v>2.94</x:v>
      </x:c>
    </x:row>
    <x:row r="1551">
      <x:c r="A1551" s="187" t="n">
        <x:v>44634</x:v>
      </x:c>
      <x:c r="B1551" s="195" t="n">
        <x:v>2.14</x:v>
      </x:c>
      <x:c r="C1551" s="195" t="n">
        <x:v>-0.79</x:v>
      </x:c>
      <x:c r="D1551" s="195" t="n">
        <x:f>IFERROR(B1551-C1551,"")</x:f>
        <x:v>2.93</x:v>
      </x:c>
    </x:row>
    <x:row r="1552">
      <x:c r="A1552" s="187" t="n">
        <x:v>44635</x:v>
      </x:c>
      <x:c r="B1552" s="195" t="n">
        <x:v>2.15</x:v>
      </x:c>
      <x:c r="C1552" s="195" t="n">
        <x:v>-0.69</x:v>
      </x:c>
      <x:c r="D1552" s="195" t="n">
        <x:f>IFERROR(B1552-C1552,"")</x:f>
        <x:v>2.84</x:v>
      </x:c>
    </x:row>
    <x:row r="1553">
      <x:c r="A1553" s="187" t="n">
        <x:v>44636</x:v>
      </x:c>
      <x:c r="B1553" s="195" t="n">
        <x:v>2.19</x:v>
      </x:c>
      <x:c r="C1553" s="195" t="n">
        <x:v>-0.61</x:v>
      </x:c>
      <x:c r="D1553" s="195" t="n">
        <x:f>IFERROR(B1553-C1553,"")</x:f>
        <x:v>2.8</x:v>
      </x:c>
    </x:row>
    <x:row r="1554">
      <x:c r="A1554" s="187" t="n">
        <x:v>44637</x:v>
      </x:c>
      <x:c r="B1554" s="195" t="n">
        <x:v>2.2</x:v>
      </x:c>
      <x:c r="C1554" s="195" t="n">
        <x:v>-0.71</x:v>
      </x:c>
      <x:c r="D1554" s="195" t="n">
        <x:f>IFERROR(B1554-C1554,"")</x:f>
        <x:v>2.91</x:v>
      </x:c>
    </x:row>
    <x:row r="1555">
      <x:c r="A1555" s="187" t="n">
        <x:v>44638</x:v>
      </x:c>
      <x:c r="B1555" s="195" t="n">
        <x:v>2.14</x:v>
      </x:c>
      <x:c r="C1555" s="195" t="n">
        <x:v>-0.72</x:v>
      </x:c>
      <x:c r="D1555" s="195" t="n">
        <x:f>IFERROR(B1555-C1555,"")</x:f>
        <x:v>2.8600000000000003</x:v>
      </x:c>
    </x:row>
    <x:row r="1556">
      <x:c r="A1556" s="187" t="n">
        <x:v>44641</x:v>
      </x:c>
      <x:c r="B1556" s="195" t="n">
        <x:v>2.32</x:v>
      </x:c>
      <x:c r="C1556" s="195" t="n">
        <x:v>-0.58</x:v>
      </x:c>
      <x:c r="D1556" s="195" t="n">
        <x:f>IFERROR(B1556-C1556,"")</x:f>
        <x:v>2.9</x:v>
      </x:c>
    </x:row>
    <x:row r="1557">
      <x:c r="A1557" s="187" t="n">
        <x:v>44642</x:v>
      </x:c>
      <x:c r="B1557" s="195" t="n">
        <x:v>2.38</x:v>
      </x:c>
      <x:c r="C1557" s="195" t="n">
        <x:v>-0.53</x:v>
      </x:c>
      <x:c r="D1557" s="195" t="n">
        <x:f>IFERROR(B1557-C1557,"")</x:f>
        <x:v>2.91</x:v>
      </x:c>
    </x:row>
    <x:row r="1558">
      <x:c r="A1558" s="187" t="n">
        <x:v>44643</x:v>
      </x:c>
      <x:c r="B1558" s="195" t="n">
        <x:v>2.32</x:v>
      </x:c>
      <x:c r="C1558" s="195" t="n">
        <x:v>-0.62</x:v>
      </x:c>
      <x:c r="D1558" s="195" t="n">
        <x:f>IFERROR(B1558-C1558,"")</x:f>
        <x:v>2.94</x:v>
      </x:c>
    </x:row>
    <x:row r="1559">
      <x:c r="A1559" s="187" t="n">
        <x:v>44644</x:v>
      </x:c>
      <x:c r="B1559" s="195" t="n">
        <x:v>2.34</x:v>
      </x:c>
      <x:c r="C1559" s="195" t="n">
        <x:v>-0.58</x:v>
      </x:c>
      <x:c r="D1559" s="195" t="n">
        <x:f>IFERROR(B1559-C1559,"")</x:f>
        <x:v>2.92</x:v>
      </x:c>
    </x:row>
    <x:row r="1560">
      <x:c r="A1560" s="187" t="n">
        <x:v>44645</x:v>
      </x:c>
      <x:c r="B1560" s="195" t="n">
        <x:v>2.48</x:v>
      </x:c>
      <x:c r="C1560" s="195" t="n">
        <x:v>-0.47</x:v>
      </x:c>
      <x:c r="D1560" s="195" t="n">
        <x:f>IFERROR(B1560-C1560,"")</x:f>
        <x:v>2.95</x:v>
      </x:c>
    </x:row>
    <x:row r="1561">
      <x:c r="A1561" s="187" t="n">
        <x:v>44648</x:v>
      </x:c>
      <x:c r="B1561" s="195" t="n">
        <x:v>2.46</x:v>
      </x:c>
      <x:c r="C1561" s="195" t="n">
        <x:v>-0.49</x:v>
      </x:c>
      <x:c r="D1561" s="195" t="n">
        <x:f>IFERROR(B1561-C1561,"")</x:f>
        <x:v>2.95</x:v>
      </x:c>
    </x:row>
    <x:row r="1562">
      <x:c r="A1562" s="187" t="n">
        <x:v>44649</x:v>
      </x:c>
      <x:c r="B1562" s="195" t="n">
        <x:v>2.41</x:v>
      </x:c>
      <x:c r="C1562" s="195" t="n">
        <x:v>-0.45</x:v>
      </x:c>
      <x:c r="D1562" s="195" t="n">
        <x:f>IFERROR(B1562-C1562,"")</x:f>
        <x:v>2.8600000000000003</x:v>
      </x:c>
    </x:row>
    <x:row r="1563">
      <x:c r="A1563" s="187" t="n">
        <x:v>44650</x:v>
      </x:c>
      <x:c r="B1563" s="195" t="n">
        <x:v>2.35</x:v>
      </x:c>
      <x:c r="C1563" s="195" t="n">
        <x:v>-0.51</x:v>
      </x:c>
      <x:c r="D1563" s="195" t="n">
        <x:f>IFERROR(B1563-C1563,"")</x:f>
        <x:v>2.8600000000000003</x:v>
      </x:c>
    </x:row>
    <x:row r="1564">
      <x:c r="A1564" s="187" t="n">
        <x:v>44651</x:v>
      </x:c>
      <x:c r="B1564" s="195" t="n">
        <x:v>2.32</x:v>
      </x:c>
      <x:c r="C1564" s="195" t="n">
        <x:v>-0.52</x:v>
      </x:c>
      <x:c r="D1564" s="195" t="n">
        <x:f>IFERROR(B1564-C1564,"")</x:f>
        <x:v>2.84</x:v>
      </x:c>
    </x:row>
    <x:row r="1565">
      <x:c r="A1565" s="187" t="n">
        <x:v>44652</x:v>
      </x:c>
      <x:c r="B1565" s="195" t="n">
        <x:v>2.39</x:v>
      </x:c>
      <x:c r="C1565" s="195" t="n">
        <x:v>-0.41</x:v>
      </x:c>
      <x:c r="D1565" s="195" t="n">
        <x:f>IFERROR(B1565-C1565,"")</x:f>
        <x:v>2.8000000000000003</x:v>
      </x:c>
    </x:row>
    <x:row r="1566">
      <x:c r="A1566" s="187" t="n">
        <x:v>44655</x:v>
      </x:c>
      <x:c r="B1566" s="195" t="n">
        <x:v>2.42</x:v>
      </x:c>
      <x:c r="C1566" s="195" t="n">
        <x:v>-0.38</x:v>
      </x:c>
      <x:c r="D1566" s="195" t="n">
        <x:f>IFERROR(B1566-C1566,"")</x:f>
        <x:v>2.8</x:v>
      </x:c>
    </x:row>
    <x:row r="1567">
      <x:c r="A1567" s="187" t="n">
        <x:v>44656</x:v>
      </x:c>
      <x:c r="B1567" s="195" t="n">
        <x:v>2.54</x:v>
      </x:c>
      <x:c r="C1567" s="195" t="n">
        <x:v>-0.3</x:v>
      </x:c>
      <x:c r="D1567" s="195" t="n">
        <x:f>IFERROR(B1567-C1567,"")</x:f>
        <x:v>2.84</x:v>
      </x:c>
    </x:row>
    <x:row r="1568">
      <x:c r="A1568" s="187" t="n">
        <x:v>44657</x:v>
      </x:c>
      <x:c r="B1568" s="195" t="n">
        <x:v>2.61</x:v>
      </x:c>
      <x:c r="C1568" s="195" t="n">
        <x:v>-0.22</x:v>
      </x:c>
      <x:c r="D1568" s="195" t="n">
        <x:f>IFERROR(B1568-C1568,"")</x:f>
        <x:v>2.83</x:v>
      </x:c>
    </x:row>
    <x:row r="1569">
      <x:c r="A1569" s="187" t="n">
        <x:v>44658</x:v>
      </x:c>
      <x:c r="B1569" s="195" t="n">
        <x:v>2.66</x:v>
      </x:c>
      <x:c r="C1569" s="195" t="n">
        <x:v>-0.16</x:v>
      </x:c>
      <x:c r="D1569" s="195" t="n">
        <x:f>IFERROR(B1569-C1569,"")</x:f>
        <x:v>2.8200000000000003</x:v>
      </x:c>
    </x:row>
    <x:row r="1570">
      <x:c r="A1570" s="187" t="n">
        <x:v>44659</x:v>
      </x:c>
      <x:c r="B1570" s="195" t="n">
        <x:v>2.72</x:v>
      </x:c>
      <x:c r="C1570" s="195" t="n">
        <x:v>-0.15</x:v>
      </x:c>
      <x:c r="D1570" s="195" t="n">
        <x:f>IFERROR(B1570-C1570,"")</x:f>
        <x:v>2.87</x:v>
      </x:c>
    </x:row>
    <x:row r="1571">
      <x:c r="A1571" s="187" t="n">
        <x:v>44662</x:v>
      </x:c>
      <x:c r="B1571" s="195" t="n">
        <x:v>2.79</x:v>
      </x:c>
      <x:c r="C1571" s="195" t="n">
        <x:v>-0.12</x:v>
      </x:c>
      <x:c r="D1571" s="195" t="n">
        <x:f>IFERROR(B1571-C1571,"")</x:f>
        <x:v>2.91</x:v>
      </x:c>
    </x:row>
    <x:row r="1572">
      <x:c r="A1572" s="187" t="n">
        <x:v>44663</x:v>
      </x:c>
      <x:c r="B1572" s="195" t="n">
        <x:v>2.72</x:v>
      </x:c>
      <x:c r="C1572" s="195" t="n">
        <x:v>-0.14</x:v>
      </x:c>
      <x:c r="D1572" s="195" t="n">
        <x:f>IFERROR(B1572-C1572,"")</x:f>
        <x:v>2.8600000000000003</x:v>
      </x:c>
    </x:row>
    <x:row r="1573">
      <x:c r="A1573" s="187" t="n">
        <x:v>44664</x:v>
      </x:c>
      <x:c r="B1573" s="195" t="n">
        <x:v>2.7</x:v>
      </x:c>
      <x:c r="C1573" s="195" t="n">
        <x:v>-0.1</x:v>
      </x:c>
      <x:c r="D1573" s="195" t="n">
        <x:f>IFERROR(B1573-C1573,"")</x:f>
        <x:v>2.8000000000000003</x:v>
      </x:c>
    </x:row>
    <x:row r="1574">
      <x:c r="A1574" s="187" t="n">
        <x:v>44665</x:v>
      </x:c>
      <x:c r="B1574" s="195" t="n">
        <x:v>2.83</x:v>
      </x:c>
      <x:c r="C1574" s="195" t="n">
        <x:v>-0.06</x:v>
      </x:c>
      <x:c r="D1574" s="195" t="n">
        <x:f>IFERROR(B1574-C1574,"")</x:f>
        <x:v>2.89</x:v>
      </x:c>
    </x:row>
    <x:row r="1575">
      <x:c r="A1575" s="187" t="n">
        <x:v>44669</x:v>
      </x:c>
      <x:c r="B1575" s="195" t="n">
        <x:v>2.85</x:v>
      </x:c>
      <x:c r="C1575" s="195" t="n">
        <x:v>-0.07</x:v>
      </x:c>
      <x:c r="D1575" s="195" t="n">
        <x:f>IFERROR(B1575-C1575,"")</x:f>
        <x:v>2.92</x:v>
      </x:c>
    </x:row>
    <x:row r="1576">
      <x:c r="A1576" s="187" t="n">
        <x:v>44670</x:v>
      </x:c>
      <x:c r="B1576" s="195" t="n">
        <x:v>2.93</x:v>
      </x:c>
      <x:c r="C1576" s="195" t="n">
        <x:v>0</x:v>
      </x:c>
      <x:c r="D1576" s="195" t="n">
        <x:f>IFERROR(B1576-C1576,"")</x:f>
        <x:v>2.93</x:v>
      </x:c>
    </x:row>
    <x:row r="1577">
      <x:c r="A1577" s="187" t="n">
        <x:v>44671</x:v>
      </x:c>
      <x:c r="B1577" s="195" t="n">
        <x:v>2.85</x:v>
      </x:c>
      <x:c r="C1577" s="195" t="n">
        <x:v>-0.07</x:v>
      </x:c>
      <x:c r="D1577" s="195" t="n">
        <x:f>IFERROR(B1577-C1577,"")</x:f>
        <x:v>2.92</x:v>
      </x:c>
    </x:row>
    <x:row r="1578">
      <x:c r="A1578" s="187" t="n">
        <x:v>44672</x:v>
      </x:c>
      <x:c r="B1578" s="195" t="n">
        <x:v>2.9</x:v>
      </x:c>
      <x:c r="C1578" s="195" t="n">
        <x:v>-0.12</x:v>
      </x:c>
      <x:c r="D1578" s="195" t="n">
        <x:f>IFERROR(B1578-C1578,"")</x:f>
        <x:v>3.02</x:v>
      </x:c>
    </x:row>
    <x:row r="1579">
      <x:c r="A1579" s="187" t="n">
        <x:v>44673</x:v>
      </x:c>
      <x:c r="B1579" s="195" t="n">
        <x:v>2.9</x:v>
      </x:c>
      <x:c r="C1579" s="195" t="n">
        <x:v>-0.08</x:v>
      </x:c>
      <x:c r="D1579" s="195" t="n">
        <x:f>IFERROR(B1579-C1579,"")</x:f>
        <x:v>2.98</x:v>
      </x:c>
    </x:row>
    <x:row r="1580">
      <x:c r="A1580" s="187" t="n">
        <x:v>44676</x:v>
      </x:c>
      <x:c r="B1580" s="195" t="n">
        <x:v>2.81</x:v>
      </x:c>
      <x:c r="C1580" s="195" t="n">
        <x:v>-0.1</x:v>
      </x:c>
      <x:c r="D1580" s="195" t="n">
        <x:f>IFERROR(B1580-C1580,"")</x:f>
        <x:v>2.91</x:v>
      </x:c>
    </x:row>
    <x:row r="1581">
      <x:c r="A1581" s="187" t="n">
        <x:v>44677</x:v>
      </x:c>
      <x:c r="B1581" s="195" t="n">
        <x:v>2.77</x:v>
      </x:c>
      <x:c r="C1581" s="195" t="n">
        <x:v>-0.08</x:v>
      </x:c>
      <x:c r="D1581" s="195" t="n">
        <x:f>IFERROR(B1581-C1581,"")</x:f>
        <x:v>2.85</x:v>
      </x:c>
    </x:row>
    <x:row r="1582">
      <x:c r="A1582" s="187" t="n">
        <x:v>44678</x:v>
      </x:c>
      <x:c r="B1582" s="195" t="n">
        <x:v>2.82</x:v>
      </x:c>
      <x:c r="C1582" s="195" t="n">
        <x:v>-0.06</x:v>
      </x:c>
      <x:c r="D1582" s="195" t="n">
        <x:f>IFERROR(B1582-C1582,"")</x:f>
        <x:v>2.88</x:v>
      </x:c>
    </x:row>
    <x:row r="1583">
      <x:c r="A1583" s="187" t="n">
        <x:v>44679</x:v>
      </x:c>
      <x:c r="B1583" s="195" t="n">
        <x:v>2.85</x:v>
      </x:c>
      <x:c r="C1583" s="195" t="n">
        <x:v>-0.12</x:v>
      </x:c>
      <x:c r="D1583" s="195" t="n">
        <x:f>IFERROR(B1583-C1583,"")</x:f>
        <x:v>2.97</x:v>
      </x:c>
    </x:row>
    <x:row r="1584">
      <x:c r="A1584" s="187" t="n">
        <x:v>44680</x:v>
      </x:c>
      <x:c r="B1584" s="195" t="n">
        <x:v>2.89</x:v>
      </x:c>
      <x:c r="C1584" s="195" t="n">
        <x:v>0.01</x:v>
      </x:c>
      <x:c r="D1584" s="195" t="n">
        <x:f>IFERROR(B1584-C1584,"")</x:f>
        <x:v>2.8800000000000003</x:v>
      </x:c>
    </x:row>
    <x:row r="1585">
      <x:c r="A1585" s="187" t="n">
        <x:v>44683</x:v>
      </x:c>
      <x:c r="B1585" s="195" t="n">
        <x:v>2.99</x:v>
      </x:c>
      <x:c r="C1585" s="195" t="n">
        <x:v>0.18</x:v>
      </x:c>
      <x:c r="D1585" s="195" t="n">
        <x:f>IFERROR(B1585-C1585,"")</x:f>
        <x:v>2.81</x:v>
      </x:c>
    </x:row>
    <x:row r="1586">
      <x:c r="A1586" s="187" t="n">
        <x:v>44684</x:v>
      </x:c>
      <x:c r="B1586" s="195" t="n">
        <x:v>2.97</x:v>
      </x:c>
      <x:c r="C1586" s="195" t="n">
        <x:v>0.14</x:v>
      </x:c>
      <x:c r="D1586" s="195" t="n">
        <x:f>IFERROR(B1586-C1586,"")</x:f>
        <x:v>2.83</x:v>
      </x:c>
    </x:row>
    <x:row r="1587">
      <x:c r="A1587" s="187" t="n">
        <x:v>44685</x:v>
      </x:c>
      <x:c r="B1587" s="195" t="n">
        <x:v>2.93</x:v>
      </x:c>
      <x:c r="C1587" s="195" t="n">
        <x:v>0.07</x:v>
      </x:c>
      <x:c r="D1587" s="195" t="n">
        <x:f>IFERROR(B1587-C1587,"")</x:f>
        <x:v>2.8600000000000003</x:v>
      </x:c>
    </x:row>
    <x:row r="1588">
      <x:c r="A1588" s="187" t="n">
        <x:v>44686</x:v>
      </x:c>
      <x:c r="B1588" s="195" t="n">
        <x:v>3.05</x:v>
      </x:c>
      <x:c r="C1588" s="195" t="n">
        <x:v>0.18</x:v>
      </x:c>
      <x:c r="D1588" s="195" t="n">
        <x:f>IFERROR(B1588-C1588,"")</x:f>
        <x:v>2.8699999999999997</x:v>
      </x:c>
    </x:row>
    <x:row r="1589">
      <x:c r="A1589" s="187" t="n">
        <x:v>44687</x:v>
      </x:c>
      <x:c r="B1589" s="195" t="n">
        <x:v>3.12</x:v>
      </x:c>
      <x:c r="C1589" s="195" t="n">
        <x:v>0.26</x:v>
      </x:c>
      <x:c r="D1589" s="195" t="n">
        <x:f>IFERROR(B1589-C1589,"")</x:f>
        <x:v>2.8600000000000003</x:v>
      </x:c>
    </x:row>
    <x:row r="1590">
      <x:c r="A1590" s="187" t="n">
        <x:v>44690</x:v>
      </x:c>
      <x:c r="B1590" s="195" t="n">
        <x:v>3.05</x:v>
      </x:c>
      <x:c r="C1590" s="195" t="n">
        <x:v>0.3</x:v>
      </x:c>
      <x:c r="D1590" s="195" t="n">
        <x:f>IFERROR(B1590-C1590,"")</x:f>
        <x:v>2.75</x:v>
      </x:c>
    </x:row>
    <x:row r="1591">
      <x:c r="A1591" s="187" t="n">
        <x:v>44691</x:v>
      </x:c>
      <x:c r="B1591" s="195" t="n">
        <x:v>2.99</x:v>
      </x:c>
      <x:c r="C1591" s="195" t="n">
        <x:v>0.34</x:v>
      </x:c>
      <x:c r="D1591" s="195" t="n">
        <x:f>IFERROR(B1591-C1591,"")</x:f>
        <x:v>2.6500000000000004</x:v>
      </x:c>
    </x:row>
    <x:row r="1592">
      <x:c r="A1592" s="187" t="n">
        <x:v>44692</x:v>
      </x:c>
      <x:c r="B1592" s="195" t="n">
        <x:v>2.91</x:v>
      </x:c>
      <x:c r="C1592" s="195" t="n">
        <x:v>0.21</x:v>
      </x:c>
      <x:c r="D1592" s="195" t="n">
        <x:f>IFERROR(B1592-C1592,"")</x:f>
        <x:v>2.7</x:v>
      </x:c>
    </x:row>
    <x:row r="1593">
      <x:c r="A1593" s="187" t="n">
        <x:v>44693</x:v>
      </x:c>
      <x:c r="B1593" s="195" t="n">
        <x:v>2.84</x:v>
      </x:c>
      <x:c r="C1593" s="195" t="n">
        <x:v>0.25</x:v>
      </x:c>
      <x:c r="D1593" s="195" t="n">
        <x:f>IFERROR(B1593-C1593,"")</x:f>
        <x:v>2.59</x:v>
      </x:c>
    </x:row>
    <x:row r="1594">
      <x:c r="A1594" s="187" t="n">
        <x:v>44694</x:v>
      </x:c>
      <x:c r="B1594" s="195" t="n">
        <x:v>2.93</x:v>
      </x:c>
      <x:c r="C1594" s="195" t="n">
        <x:v>0.24</x:v>
      </x:c>
      <x:c r="D1594" s="195" t="n">
        <x:f>IFERROR(B1594-C1594,"")</x:f>
        <x:v>2.6900000000000004</x:v>
      </x:c>
    </x:row>
    <x:row r="1595">
      <x:c r="A1595" s="187" t="n">
        <x:v>44697</x:v>
      </x:c>
      <x:c r="B1595" s="195" t="n">
        <x:v>2.88</x:v>
      </x:c>
      <x:c r="C1595" s="195" t="n">
        <x:v>0.2</x:v>
      </x:c>
      <x:c r="D1595" s="195" t="n">
        <x:f>IFERROR(B1595-C1595,"")</x:f>
        <x:v>2.6799999999999997</x:v>
      </x:c>
    </x:row>
    <x:row r="1596">
      <x:c r="A1596" s="187" t="n">
        <x:v>44698</x:v>
      </x:c>
      <x:c r="B1596" s="195" t="n">
        <x:v>2.98</x:v>
      </x:c>
      <x:c r="C1596" s="195" t="n">
        <x:v>0.27</x:v>
      </x:c>
      <x:c r="D1596" s="195" t="n">
        <x:f>IFERROR(B1596-C1596,"")</x:f>
        <x:v>2.71</x:v>
      </x:c>
    </x:row>
    <x:row r="1597">
      <x:c r="A1597" s="187" t="n">
        <x:v>44699</x:v>
      </x:c>
      <x:c r="B1597" s="195" t="n">
        <x:v>2.89</x:v>
      </x:c>
      <x:c r="C1597" s="195" t="n">
        <x:v>0.17</x:v>
      </x:c>
      <x:c r="D1597" s="195" t="n">
        <x:f>IFERROR(B1597-C1597,"")</x:f>
        <x:v>2.72</x:v>
      </x:c>
    </x:row>
    <x:row r="1598">
      <x:c r="A1598" s="187" t="n">
        <x:v>44700</x:v>
      </x:c>
      <x:c r="B1598" s="195" t="n">
        <x:v>2.84</x:v>
      </x:c>
      <x:c r="C1598" s="195" t="n">
        <x:v>0.25</x:v>
      </x:c>
      <x:c r="D1598" s="195" t="n">
        <x:f>IFERROR(B1598-C1598,"")</x:f>
        <x:v>2.59</x:v>
      </x:c>
    </x:row>
    <x:row r="1599">
      <x:c r="A1599" s="187" t="n">
        <x:v>44701</x:v>
      </x:c>
      <x:c r="B1599" s="195" t="n">
        <x:v>2.78</x:v>
      </x:c>
      <x:c r="C1599" s="195" t="n">
        <x:v>0.23</x:v>
      </x:c>
      <x:c r="D1599" s="195" t="n">
        <x:f>IFERROR(B1599-C1599,"")</x:f>
        <x:v>2.55</x:v>
      </x:c>
    </x:row>
    <x:row r="1600">
      <x:c r="A1600" s="187" t="n">
        <x:v>44704</x:v>
      </x:c>
      <x:c r="B1600" s="195" t="n">
        <x:v>2.86</x:v>
      </x:c>
      <x:c r="C1600" s="195" t="n">
        <x:v>0.26</x:v>
      </x:c>
      <x:c r="D1600" s="195" t="n">
        <x:f>IFERROR(B1600-C1600,"")</x:f>
        <x:v>2.5999999999999996</x:v>
      </x:c>
    </x:row>
    <x:row r="1601">
      <x:c r="A1601" s="187" t="n">
        <x:v>44705</x:v>
      </x:c>
      <x:c r="B1601" s="195" t="n">
        <x:v>2.76</x:v>
      </x:c>
      <x:c r="C1601" s="195" t="n">
        <x:v>0.21</x:v>
      </x:c>
      <x:c r="D1601" s="195" t="n">
        <x:f>IFERROR(B1601-C1601,"")</x:f>
        <x:v>2.55</x:v>
      </x:c>
    </x:row>
    <x:row r="1602">
      <x:c r="A1602" s="187" t="n">
        <x:v>44706</x:v>
      </x:c>
      <x:c r="B1602" s="195" t="n">
        <x:v>2.75</x:v>
      </x:c>
      <x:c r="C1602" s="195" t="n">
        <x:v>0.19</x:v>
      </x:c>
      <x:c r="D1602" s="195" t="n">
        <x:f>IFERROR(B1602-C1602,"")</x:f>
        <x:v>2.56</x:v>
      </x:c>
    </x:row>
    <x:row r="1603">
      <x:c r="A1603" s="187" t="n">
        <x:v>44707</x:v>
      </x:c>
      <x:c r="B1603" s="195" t="n">
        <x:v>2.75</x:v>
      </x:c>
      <x:c r="C1603" s="195" t="n">
        <x:v>0.13</x:v>
      </x:c>
      <x:c r="D1603" s="195" t="n">
        <x:f>IFERROR(B1603-C1603,"")</x:f>
        <x:v>2.62</x:v>
      </x:c>
    </x:row>
    <x:row r="1604">
      <x:c r="A1604" s="187" t="n">
        <x:v>44708</x:v>
      </x:c>
      <x:c r="B1604" s="195" t="n">
        <x:v>2.74</x:v>
      </x:c>
      <x:c r="C1604" s="195" t="n">
        <x:v>0.11</x:v>
      </x:c>
      <x:c r="D1604" s="195" t="n">
        <x:f>IFERROR(B1604-C1604,"")</x:f>
        <x:v>2.6300000000000003</x:v>
      </x:c>
    </x:row>
    <x:row r="1605">
      <x:c r="A1605" s="187" t="n">
        <x:v>44712</x:v>
      </x:c>
      <x:c r="B1605" s="195" t="n">
        <x:v>2.85</x:v>
      </x:c>
      <x:c r="C1605" s="195" t="n">
        <x:v>0.21</x:v>
      </x:c>
      <x:c r="D1605" s="195" t="n">
        <x:f>IFERROR(B1605-C1605,"")</x:f>
        <x:v>2.64</x:v>
      </x:c>
    </x:row>
    <x:row r="1606">
      <x:c r="A1606" s="187" t="n">
        <x:v>44713</x:v>
      </x:c>
      <x:c r="B1606" s="195" t="n">
        <x:v>2.94</x:v>
      </x:c>
      <x:c r="C1606" s="195" t="n">
        <x:v>0.29</x:v>
      </x:c>
      <x:c r="D1606" s="195" t="n">
        <x:f>IFERROR(B1606-C1606,"")</x:f>
        <x:v>2.65</x:v>
      </x:c>
    </x:row>
    <x:row r="1607">
      <x:c r="A1607" s="187" t="n">
        <x:v>44714</x:v>
      </x:c>
      <x:c r="B1607" s="195" t="n">
        <x:v>2.92</x:v>
      </x:c>
      <x:c r="C1607" s="195" t="n">
        <x:v>0.26</x:v>
      </x:c>
      <x:c r="D1607" s="195" t="n">
        <x:f>IFERROR(B1607-C1607,"")</x:f>
        <x:v>2.66</x:v>
      </x:c>
    </x:row>
    <x:row r="1608">
      <x:c r="A1608" s="187" t="n">
        <x:v>44715</x:v>
      </x:c>
      <x:c r="B1608" s="195" t="n">
        <x:v>2.96</x:v>
      </x:c>
      <x:c r="C1608" s="195" t="n">
        <x:v>0.22</x:v>
      </x:c>
      <x:c r="D1608" s="195" t="n">
        <x:f>IFERROR(B1608-C1608,"")</x:f>
        <x:v>2.7399999999999998</x:v>
      </x:c>
    </x:row>
    <x:row r="1609">
      <x:c r="A1609" s="187" t="n">
        <x:v>44718</x:v>
      </x:c>
      <x:c r="B1609" s="195" t="n">
        <x:v>3.04</x:v>
      </x:c>
      <x:c r="C1609" s="195" t="n">
        <x:v>0.28</x:v>
      </x:c>
      <x:c r="D1609" s="195" t="n">
        <x:f>IFERROR(B1609-C1609,"")</x:f>
        <x:v>2.76</x:v>
      </x:c>
    </x:row>
    <x:row r="1610">
      <x:c r="A1610" s="187" t="n">
        <x:v>44719</x:v>
      </x:c>
      <x:c r="B1610" s="195" t="n">
        <x:v>2.98</x:v>
      </x:c>
      <x:c r="C1610" s="195" t="n">
        <x:v>0.25</x:v>
      </x:c>
      <x:c r="D1610" s="195" t="n">
        <x:f>IFERROR(B1610-C1610,"")</x:f>
        <x:v>2.73</x:v>
      </x:c>
    </x:row>
    <x:row r="1611">
      <x:c r="A1611" s="187" t="n">
        <x:v>44720</x:v>
      </x:c>
      <x:c r="B1611" s="195" t="n">
        <x:v>3.03</x:v>
      </x:c>
      <x:c r="C1611" s="195" t="n">
        <x:v>0.28</x:v>
      </x:c>
      <x:c r="D1611" s="195" t="n">
        <x:f>IFERROR(B1611-C1611,"")</x:f>
        <x:v>2.75</x:v>
      </x:c>
    </x:row>
    <x:row r="1612">
      <x:c r="A1612" s="187" t="n">
        <x:v>44721</x:v>
      </x:c>
      <x:c r="B1612" s="195" t="n">
        <x:v>3.04</x:v>
      </x:c>
      <x:c r="C1612" s="195" t="n">
        <x:v>0.29</x:v>
      </x:c>
      <x:c r="D1612" s="195" t="n">
        <x:f>IFERROR(B1612-C1612,"")</x:f>
        <x:v>2.75</x:v>
      </x:c>
    </x:row>
    <x:row r="1613">
      <x:c r="A1613" s="187" t="n">
        <x:v>44722</x:v>
      </x:c>
      <x:c r="B1613" s="195" t="n">
        <x:v>3.15</x:v>
      </x:c>
      <x:c r="C1613" s="195" t="n">
        <x:v>0.39</x:v>
      </x:c>
      <x:c r="D1613" s="195" t="n">
        <x:f>IFERROR(B1613-C1613,"")</x:f>
        <x:v>2.76</x:v>
      </x:c>
    </x:row>
    <x:row r="1614">
      <x:c r="A1614" s="187" t="n">
        <x:v>44725</x:v>
      </x:c>
      <x:c r="B1614" s="195" t="n">
        <x:v>3.43</x:v>
      </x:c>
      <x:c r="C1614" s="195" t="n">
        <x:v>0.69</x:v>
      </x:c>
      <x:c r="D1614" s="195" t="n">
        <x:f>IFERROR(B1614-C1614,"")</x:f>
        <x:v>2.74</x:v>
      </x:c>
    </x:row>
    <x:row r="1615">
      <x:c r="A1615" s="187" t="n">
        <x:v>44726</x:v>
      </x:c>
      <x:c r="B1615" s="195" t="n">
        <x:v>3.49</x:v>
      </x:c>
      <x:c r="C1615" s="195" t="n">
        <x:v>0.89</x:v>
      </x:c>
      <x:c r="D1615" s="195" t="n">
        <x:f>IFERROR(B1615-C1615,"")</x:f>
        <x:v>2.6</x:v>
      </x:c>
    </x:row>
    <x:row r="1616">
      <x:c r="A1616" s="187" t="n">
        <x:v>44727</x:v>
      </x:c>
      <x:c r="B1616" s="195" t="n">
        <x:v>3.33</x:v>
      </x:c>
      <x:c r="C1616" s="195" t="n">
        <x:v>0.63</x:v>
      </x:c>
      <x:c r="D1616" s="195" t="n">
        <x:f>IFERROR(B1616-C1616,"")</x:f>
        <x:v>2.7</x:v>
      </x:c>
    </x:row>
    <x:row r="1617">
      <x:c r="A1617" s="187" t="n">
        <x:v>44728</x:v>
      </x:c>
      <x:c r="B1617" s="195" t="n">
        <x:v>3.28</x:v>
      </x:c>
      <x:c r="C1617" s="195" t="n">
        <x:v>0.66</x:v>
      </x:c>
      <x:c r="D1617" s="195" t="n">
        <x:f>IFERROR(B1617-C1617,"")</x:f>
        <x:v>2.6199999999999997</x:v>
      </x:c>
    </x:row>
    <x:row r="1618">
      <x:c r="A1618" s="187" t="n">
        <x:v>44729</x:v>
      </x:c>
      <x:c r="B1618" s="195" t="n">
        <x:v>3.25</x:v>
      </x:c>
      <x:c r="C1618" s="195" t="n">
        <x:v>0.67</x:v>
      </x:c>
      <x:c r="D1618" s="195" t="n">
        <x:f>IFERROR(B1618-C1618,"")</x:f>
        <x:v>2.58</x:v>
      </x:c>
    </x:row>
    <x:row r="1619">
      <x:c r="A1619" s="187" t="n">
        <x:v>44733</x:v>
      </x:c>
      <x:c r="B1619" s="195" t="n">
        <x:v>3.31</x:v>
      </x:c>
      <x:c r="C1619" s="195" t="n">
        <x:v>0.7</x:v>
      </x:c>
      <x:c r="D1619" s="195" t="n">
        <x:f>IFERROR(B1619-C1619,"")</x:f>
        <x:v>2.6100000000000003</x:v>
      </x:c>
    </x:row>
    <x:row r="1620">
      <x:c r="A1620" s="187" t="n">
        <x:v>44734</x:v>
      </x:c>
      <x:c r="B1620" s="195" t="n">
        <x:v>3.16</x:v>
      </x:c>
      <x:c r="C1620" s="195" t="n">
        <x:v>0.62</x:v>
      </x:c>
      <x:c r="D1620" s="195" t="n">
        <x:f>IFERROR(B1620-C1620,"")</x:f>
        <x:v>2.54</x:v>
      </x:c>
    </x:row>
    <x:row r="1621">
      <x:c r="A1621" s="187" t="n">
        <x:v>44735</x:v>
      </x:c>
      <x:c r="B1621" s="195" t="n">
        <x:v>3.09</x:v>
      </x:c>
      <x:c r="C1621" s="195" t="n">
        <x:v>0.59</x:v>
      </x:c>
      <x:c r="D1621" s="195" t="n">
        <x:f>IFERROR(B1621-C1621,"")</x:f>
        <x:v>2.5</x:v>
      </x:c>
    </x:row>
    <x:row r="1622">
      <x:c r="A1622" s="187" t="n">
        <x:v>44736</x:v>
      </x:c>
      <x:c r="B1622" s="195" t="n">
        <x:v>3.13</x:v>
      </x:c>
      <x:c r="C1622" s="195" t="n">
        <x:v>0.57</x:v>
      </x:c>
      <x:c r="D1622" s="195" t="n">
        <x:f>IFERROR(B1622-C1622,"")</x:f>
        <x:v>2.56</x:v>
      </x:c>
    </x:row>
    <x:row r="1623">
      <x:c r="A1623" s="187" t="n">
        <x:v>44739</x:v>
      </x:c>
      <x:c r="B1623" s="195" t="n">
        <x:v>3.2</x:v>
      </x:c>
      <x:c r="C1623" s="195" t="n">
        <x:v>0.65</x:v>
      </x:c>
      <x:c r="D1623" s="195" t="n">
        <x:f>IFERROR(B1623-C1623,"")</x:f>
        <x:v>2.5500000000000003</x:v>
      </x:c>
    </x:row>
    <x:row r="1624">
      <x:c r="A1624" s="187" t="n">
        <x:v>44740</x:v>
      </x:c>
      <x:c r="B1624" s="195" t="n">
        <x:v>3.2</x:v>
      </x:c>
      <x:c r="C1624" s="195" t="n">
        <x:v>0.72</x:v>
      </x:c>
      <x:c r="D1624" s="195" t="n">
        <x:f>IFERROR(B1624-C1624,"")</x:f>
        <x:v>2.4800000000000004</x:v>
      </x:c>
    </x:row>
    <x:row r="1625">
      <x:c r="A1625" s="187" t="n">
        <x:v>44741</x:v>
      </x:c>
      <x:c r="B1625" s="195" t="n">
        <x:v>3.1</x:v>
      </x:c>
      <x:c r="C1625" s="195" t="n">
        <x:v>0.74</x:v>
      </x:c>
      <x:c r="D1625" s="195" t="n">
        <x:f>IFERROR(B1625-C1625,"")</x:f>
        <x:v>2.3600000000000003</x:v>
      </x:c>
    </x:row>
    <x:row r="1626">
      <x:c r="A1626" s="187" t="n">
        <x:v>44742</x:v>
      </x:c>
      <x:c r="B1626" s="195" t="n">
        <x:v>2.98</x:v>
      </x:c>
      <x:c r="C1626" s="195" t="n">
        <x:v>0.65</x:v>
      </x:c>
      <x:c r="D1626" s="195" t="n">
        <x:f>IFERROR(B1626-C1626,"")</x:f>
        <x:v>2.33</x:v>
      </x:c>
    </x:row>
    <x:row r="1627">
      <x:c r="A1627" s="187" t="n">
        <x:v>44743</x:v>
      </x:c>
      <x:c r="B1627" s="195" t="n">
        <x:v>2.88</x:v>
      </x:c>
      <x:c r="C1627" s="195" t="n">
        <x:v>0.54</x:v>
      </x:c>
      <x:c r="D1627" s="195" t="n">
        <x:f>IFERROR(B1627-C1627,"")</x:f>
        <x:v>2.34</x:v>
      </x:c>
    </x:row>
    <x:row r="1628">
      <x:c r="A1628" s="187" t="n">
        <x:v>44747</x:v>
      </x:c>
      <x:c r="B1628" s="195" t="n">
        <x:v>2.82</x:v>
      </x:c>
      <x:c r="C1628" s="195" t="n">
        <x:v>0.52</x:v>
      </x:c>
      <x:c r="D1628" s="195" t="n">
        <x:f>IFERROR(B1628-C1628,"")</x:f>
        <x:v>2.3</x:v>
      </x:c>
    </x:row>
    <x:row r="1629">
      <x:c r="A1629" s="187" t="n">
        <x:v>44748</x:v>
      </x:c>
      <x:c r="B1629" s="195" t="n">
        <x:v>2.93</x:v>
      </x:c>
      <x:c r="C1629" s="195" t="n">
        <x:v>0.64</x:v>
      </x:c>
      <x:c r="D1629" s="195" t="n">
        <x:f>IFERROR(B1629-C1629,"")</x:f>
        <x:v>2.29</x:v>
      </x:c>
    </x:row>
    <x:row r="1630">
      <x:c r="A1630" s="187" t="n">
        <x:v>44749</x:v>
      </x:c>
      <x:c r="B1630" s="195" t="n">
        <x:v>3.01</x:v>
      </x:c>
      <x:c r="C1630" s="195" t="n">
        <x:v>0.68</x:v>
      </x:c>
      <x:c r="D1630" s="195" t="n">
        <x:f>IFERROR(B1630-C1630,"")</x:f>
        <x:v>2.3299999999999996</x:v>
      </x:c>
    </x:row>
    <x:row r="1631">
      <x:c r="A1631" s="187" t="n">
        <x:v>44750</x:v>
      </x:c>
      <x:c r="B1631" s="195" t="n">
        <x:v>3.09</x:v>
      </x:c>
      <x:c r="C1631" s="195" t="n">
        <x:v>0.72</x:v>
      </x:c>
      <x:c r="D1631" s="195" t="n">
        <x:f>IFERROR(B1631-C1631,"")</x:f>
        <x:v>2.37</x:v>
      </x:c>
    </x:row>
    <x:row r="1632">
      <x:c r="A1632" s="187" t="n">
        <x:v>44753</x:v>
      </x:c>
      <x:c r="B1632" s="195" t="n">
        <x:v>2.99</x:v>
      </x:c>
      <x:c r="C1632" s="195" t="n">
        <x:v>0.67</x:v>
      </x:c>
      <x:c r="D1632" s="195" t="n">
        <x:f>IFERROR(B1632-C1632,"")</x:f>
        <x:v>2.3200000000000003</x:v>
      </x:c>
    </x:row>
    <x:row r="1633">
      <x:c r="A1633" s="187" t="n">
        <x:v>44754</x:v>
      </x:c>
      <x:c r="B1633" s="195" t="n">
        <x:v>2.96</x:v>
      </x:c>
      <x:c r="C1633" s="195" t="n">
        <x:v>0.64</x:v>
      </x:c>
      <x:c r="D1633" s="195" t="n">
        <x:f>IFERROR(B1633-C1633,"")</x:f>
        <x:v>2.32</x:v>
      </x:c>
    </x:row>
    <x:row r="1634">
      <x:c r="A1634" s="187" t="n">
        <x:v>44755</x:v>
      </x:c>
      <x:c r="B1634" s="195" t="n">
        <x:v>2.91</x:v>
      </x:c>
      <x:c r="C1634" s="195" t="n">
        <x:v>0.6</x:v>
      </x:c>
      <x:c r="D1634" s="195" t="n">
        <x:f>IFERROR(B1634-C1634,"")</x:f>
        <x:v>2.31</x:v>
      </x:c>
    </x:row>
    <x:row r="1635">
      <x:c r="A1635" s="187" t="n">
        <x:v>44756</x:v>
      </x:c>
      <x:c r="B1635" s="195" t="n">
        <x:v>2.96</x:v>
      </x:c>
      <x:c r="C1635" s="195" t="n">
        <x:v>0.62</x:v>
      </x:c>
      <x:c r="D1635" s="195" t="n">
        <x:f>IFERROR(B1635-C1635,"")</x:f>
        <x:v>2.34</x:v>
      </x:c>
    </x:row>
    <x:row r="1636">
      <x:c r="A1636" s="187" t="n">
        <x:v>44757</x:v>
      </x:c>
      <x:c r="B1636" s="195" t="n">
        <x:v>2.93</x:v>
      </x:c>
      <x:c r="C1636" s="195" t="n">
        <x:v>0.57</x:v>
      </x:c>
      <x:c r="D1636" s="195" t="n">
        <x:f>IFERROR(B1636-C1636,"")</x:f>
        <x:v>2.3600000000000003</x:v>
      </x:c>
    </x:row>
    <x:row r="1637">
      <x:c r="A1637" s="187" t="n">
        <x:v>44760</x:v>
      </x:c>
      <x:c r="B1637" s="195" t="n">
        <x:v>2.96</x:v>
      </x:c>
      <x:c r="C1637" s="195" t="n">
        <x:v>0.59</x:v>
      </x:c>
      <x:c r="D1637" s="195" t="n">
        <x:f>IFERROR(B1637-C1637,"")</x:f>
        <x:v>2.37</x:v>
      </x:c>
    </x:row>
    <x:row r="1638">
      <x:c r="A1638" s="187" t="n">
        <x:v>44761</x:v>
      </x:c>
      <x:c r="B1638" s="195" t="n">
        <x:v>3.01</x:v>
      </x:c>
      <x:c r="C1638" s="195" t="n">
        <x:v>0.62</x:v>
      </x:c>
      <x:c r="D1638" s="195" t="n">
        <x:f>IFERROR(B1638-C1638,"")</x:f>
        <x:v>2.3899999999999997</x:v>
      </x:c>
    </x:row>
    <x:row r="1639">
      <x:c r="A1639" s="187" t="n">
        <x:v>44762</x:v>
      </x:c>
      <x:c r="B1639" s="195" t="n">
        <x:v>3.04</x:v>
      </x:c>
      <x:c r="C1639" s="195" t="n">
        <x:v>0.66</x:v>
      </x:c>
      <x:c r="D1639" s="195" t="n">
        <x:f>IFERROR(B1639-C1639,"")</x:f>
        <x:v>2.38</x:v>
      </x:c>
    </x:row>
    <x:row r="1640">
      <x:c r="A1640" s="187" t="n">
        <x:v>44763</x:v>
      </x:c>
      <x:c r="B1640" s="195" t="n">
        <x:v>2.91</x:v>
      </x:c>
      <x:c r="C1640" s="195" t="n">
        <x:v>0.58</x:v>
      </x:c>
      <x:c r="D1640" s="195" t="n">
        <x:f>IFERROR(B1640-C1640,"")</x:f>
        <x:v>2.33</x:v>
      </x:c>
    </x:row>
    <x:row r="1641">
      <x:c r="A1641" s="187" t="n">
        <x:v>44764</x:v>
      </x:c>
      <x:c r="B1641" s="195" t="n">
        <x:v>2.77</x:v>
      </x:c>
      <x:c r="C1641" s="195" t="n">
        <x:v>0.43</x:v>
      </x:c>
      <x:c r="D1641" s="195" t="n">
        <x:f>IFERROR(B1641-C1641,"")</x:f>
        <x:v>2.34</x:v>
      </x:c>
    </x:row>
    <x:row r="1642">
      <x:c r="A1642" s="187" t="n">
        <x:v>44767</x:v>
      </x:c>
      <x:c r="B1642" s="195" t="n">
        <x:v>2.81</x:v>
      </x:c>
      <x:c r="C1642" s="195" t="n">
        <x:v>0.45</x:v>
      </x:c>
      <x:c r="D1642" s="195" t="n">
        <x:f>IFERROR(B1642-C1642,"")</x:f>
        <x:v>2.36</x:v>
      </x:c>
    </x:row>
    <x:row r="1643">
      <x:c r="A1643" s="187" t="n">
        <x:v>44768</x:v>
      </x:c>
      <x:c r="B1643" s="195" t="n">
        <x:v>2.81</x:v>
      </x:c>
      <x:c r="C1643" s="195" t="n">
        <x:v>0.45</x:v>
      </x:c>
      <x:c r="D1643" s="195" t="n">
        <x:f>IFERROR(B1643-C1643,"")</x:f>
        <x:v>2.36</x:v>
      </x:c>
    </x:row>
    <x:row r="1644">
      <x:c r="A1644" s="187" t="n">
        <x:v>44769</x:v>
      </x:c>
      <x:c r="B1644" s="195" t="n">
        <x:v>2.78</x:v>
      </x:c>
      <x:c r="C1644" s="195" t="n">
        <x:v>0.36</x:v>
      </x:c>
      <x:c r="D1644" s="195" t="n">
        <x:f>IFERROR(B1644-C1644,"")</x:f>
        <x:v>2.42</x:v>
      </x:c>
    </x:row>
    <x:row r="1645">
      <x:c r="A1645" s="187" t="n">
        <x:v>44770</x:v>
      </x:c>
      <x:c r="B1645" s="195" t="n">
        <x:v>2.68</x:v>
      </x:c>
      <x:c r="C1645" s="195" t="n">
        <x:v>0.2</x:v>
      </x:c>
      <x:c r="D1645" s="195" t="n">
        <x:f>IFERROR(B1645-C1645,"")</x:f>
        <x:v>2.48</x:v>
      </x:c>
    </x:row>
    <x:row r="1646">
      <x:c r="A1646" s="187" t="n">
        <x:v>44771</x:v>
      </x:c>
      <x:c r="B1646" s="195" t="n">
        <x:v>2.67</x:v>
      </x:c>
      <x:c r="C1646" s="195" t="n">
        <x:v>0.14</x:v>
      </x:c>
      <x:c r="D1646" s="195" t="n">
        <x:f>IFERROR(B1646-C1646,"")</x:f>
        <x:v>2.53</x:v>
      </x:c>
    </x:row>
    <x:row r="1647">
      <x:c r="A1647" s="187" t="n">
        <x:v>44774</x:v>
      </x:c>
      <x:c r="B1647" s="195" t="n">
        <x:v>2.6</x:v>
      </x:c>
      <x:c r="C1647" s="195" t="n">
        <x:v>0.09</x:v>
      </x:c>
      <x:c r="D1647" s="195" t="n">
        <x:f>IFERROR(B1647-C1647,"")</x:f>
        <x:v>2.5100000000000002</x:v>
      </x:c>
    </x:row>
    <x:row r="1648">
      <x:c r="A1648" s="187" t="n">
        <x:v>44775</x:v>
      </x:c>
      <x:c r="B1648" s="195" t="n">
        <x:v>2.75</x:v>
      </x:c>
      <x:c r="C1648" s="195" t="n">
        <x:v>0.27</x:v>
      </x:c>
      <x:c r="D1648" s="195" t="n">
        <x:f>IFERROR(B1648-C1648,"")</x:f>
        <x:v>2.48</x:v>
      </x:c>
    </x:row>
    <x:row r="1649">
      <x:c r="A1649" s="187" t="n">
        <x:v>44776</x:v>
      </x:c>
      <x:c r="B1649" s="195" t="n">
        <x:v>2.73</x:v>
      </x:c>
      <x:c r="C1649" s="195" t="n">
        <x:v>0.23</x:v>
      </x:c>
      <x:c r="D1649" s="195" t="n">
        <x:f>IFERROR(B1649-C1649,"")</x:f>
        <x:v>2.5</x:v>
      </x:c>
    </x:row>
    <x:row r="1650">
      <x:c r="A1650" s="187" t="n">
        <x:v>44777</x:v>
      </x:c>
      <x:c r="B1650" s="195" t="n">
        <x:v>2.68</x:v>
      </x:c>
      <x:c r="C1650" s="195" t="n">
        <x:v>0.22</x:v>
      </x:c>
      <x:c r="D1650" s="195" t="n">
        <x:f>IFERROR(B1650-C1650,"")</x:f>
        <x:v>2.46</x:v>
      </x:c>
    </x:row>
    <x:row r="1651">
      <x:c r="A1651" s="187" t="n">
        <x:v>44778</x:v>
      </x:c>
      <x:c r="B1651" s="195" t="n">
        <x:v>2.83</x:v>
      </x:c>
      <x:c r="C1651" s="195" t="n">
        <x:v>0.37</x:v>
      </x:c>
      <x:c r="D1651" s="195" t="n">
        <x:f>IFERROR(B1651-C1651,"")</x:f>
        <x:v>2.46</x:v>
      </x:c>
    </x:row>
    <x:row r="1652">
      <x:c r="A1652" s="187" t="n">
        <x:v>44781</x:v>
      </x:c>
      <x:c r="B1652" s="195" t="n">
        <x:v>2.77</x:v>
      </x:c>
      <x:c r="C1652" s="195" t="n">
        <x:v>0.29</x:v>
      </x:c>
      <x:c r="D1652" s="195" t="n">
        <x:f>IFERROR(B1652-C1652,"")</x:f>
        <x:v>2.48</x:v>
      </x:c>
    </x:row>
    <x:row r="1653">
      <x:c r="A1653" s="187" t="n">
        <x:v>44782</x:v>
      </x:c>
      <x:c r="B1653" s="195" t="n">
        <x:v>2.8</x:v>
      </x:c>
      <x:c r="C1653" s="195" t="n">
        <x:v>0.33</x:v>
      </x:c>
      <x:c r="D1653" s="195" t="n">
        <x:f>IFERROR(B1653-C1653,"")</x:f>
        <x:v>2.4699999999999998</x:v>
      </x:c>
    </x:row>
    <x:row r="1654">
      <x:c r="A1654" s="187" t="n">
        <x:v>44783</x:v>
      </x:c>
      <x:c r="B1654" s="195" t="n">
        <x:v>2.78</x:v>
      </x:c>
      <x:c r="C1654" s="195" t="n">
        <x:v>0.35</x:v>
      </x:c>
      <x:c r="D1654" s="195" t="n">
        <x:f>IFERROR(B1654-C1654,"")</x:f>
        <x:v>2.4299999999999997</x:v>
      </x:c>
    </x:row>
    <x:row r="1655">
      <x:c r="A1655" s="187" t="n">
        <x:v>44784</x:v>
      </x:c>
      <x:c r="B1655" s="195" t="n">
        <x:v>2.87</x:v>
      </x:c>
      <x:c r="C1655" s="195" t="n">
        <x:v>0.4</x:v>
      </x:c>
      <x:c r="D1655" s="195" t="n">
        <x:f>IFERROR(B1655-C1655,"")</x:f>
        <x:v>2.47</x:v>
      </x:c>
    </x:row>
    <x:row r="1656">
      <x:c r="A1656" s="187" t="n">
        <x:v>44785</x:v>
      </x:c>
      <x:c r="B1656" s="195" t="n">
        <x:v>2.84</x:v>
      </x:c>
      <x:c r="C1656" s="195" t="n">
        <x:v>0.37</x:v>
      </x:c>
      <x:c r="D1656" s="195" t="n">
        <x:f>IFERROR(B1656-C1656,"")</x:f>
        <x:v>2.4699999999999998</x:v>
      </x:c>
    </x:row>
    <x:row r="1657">
      <x:c r="A1657" s="187" t="n">
        <x:v>44788</x:v>
      </x:c>
      <x:c r="B1657" s="195" t="n">
        <x:v>2.79</x:v>
      </x:c>
      <x:c r="C1657" s="195" t="n">
        <x:v>0.35</x:v>
      </x:c>
      <x:c r="D1657" s="195" t="n">
        <x:f>IFERROR(B1657-C1657,"")</x:f>
        <x:v>2.44</x:v>
      </x:c>
    </x:row>
    <x:row r="1658">
      <x:c r="A1658" s="187" t="n">
        <x:v>44789</x:v>
      </x:c>
      <x:c r="B1658" s="195" t="n">
        <x:v>2.82</x:v>
      </x:c>
      <x:c r="C1658" s="195" t="n">
        <x:v>0.38</x:v>
      </x:c>
      <x:c r="D1658" s="195" t="n">
        <x:f>IFERROR(B1658-C1658,"")</x:f>
        <x:v>2.44</x:v>
      </x:c>
    </x:row>
    <x:row r="1659">
      <x:c r="A1659" s="187" t="n">
        <x:v>44790</x:v>
      </x:c>
      <x:c r="B1659" s="195" t="n">
        <x:v>2.89</x:v>
      </x:c>
      <x:c r="C1659" s="195" t="n">
        <x:v>0.43</x:v>
      </x:c>
      <x:c r="D1659" s="195" t="n">
        <x:f>IFERROR(B1659-C1659,"")</x:f>
        <x:v>2.46</x:v>
      </x:c>
    </x:row>
    <x:row r="1660">
      <x:c r="A1660" s="187" t="n">
        <x:v>44791</x:v>
      </x:c>
      <x:c r="B1660" s="195" t="n">
        <x:v>2.88</x:v>
      </x:c>
      <x:c r="C1660" s="195" t="n">
        <x:v>0.36</x:v>
      </x:c>
      <x:c r="D1660" s="195" t="n">
        <x:f>IFERROR(B1660-C1660,"")</x:f>
        <x:v>2.52</x:v>
      </x:c>
    </x:row>
    <x:row r="1661">
      <x:c r="A1661" s="187" t="n">
        <x:v>44792</x:v>
      </x:c>
      <x:c r="B1661" s="195" t="n">
        <x:v>2.98</x:v>
      </x:c>
      <x:c r="C1661" s="195" t="n">
        <x:v>0.43</x:v>
      </x:c>
      <x:c r="D1661" s="195" t="n">
        <x:f>IFERROR(B1661-C1661,"")</x:f>
        <x:v>2.55</x:v>
      </x:c>
    </x:row>
    <x:row r="1662">
      <x:c r="A1662" s="187" t="n">
        <x:v>44795</x:v>
      </x:c>
      <x:c r="B1662" s="195" t="n">
        <x:v>3.03</x:v>
      </x:c>
      <x:c r="C1662" s="195" t="n">
        <x:v>0.46</x:v>
      </x:c>
      <x:c r="D1662" s="195" t="n">
        <x:f>IFERROR(B1662-C1662,"")</x:f>
        <x:v>2.57</x:v>
      </x:c>
    </x:row>
    <x:row r="1663">
      <x:c r="A1663" s="187" t="n">
        <x:v>44796</x:v>
      </x:c>
      <x:c r="B1663" s="195" t="n">
        <x:v>3.05</x:v>
      </x:c>
      <x:c r="C1663" s="195" t="n">
        <x:v>0.47</x:v>
      </x:c>
      <x:c r="D1663" s="195" t="n">
        <x:f>IFERROR(B1663-C1663,"")</x:f>
        <x:v>2.58</x:v>
      </x:c>
    </x:row>
    <x:row r="1664">
      <x:c r="A1664" s="187" t="n">
        <x:v>44797</x:v>
      </x:c>
      <x:c r="B1664" s="195" t="n">
        <x:v>3.11</x:v>
      </x:c>
      <x:c r="C1664" s="195" t="n">
        <x:v>0.49</x:v>
      </x:c>
      <x:c r="D1664" s="195" t="n">
        <x:f>IFERROR(B1664-C1664,"")</x:f>
        <x:v>2.62</x:v>
      </x:c>
    </x:row>
    <x:row r="1665">
      <x:c r="A1665" s="187" t="n">
        <x:v>44798</x:v>
      </x:c>
      <x:c r="B1665" s="195" t="n">
        <x:v>3.03</x:v>
      </x:c>
      <x:c r="C1665" s="195" t="n">
        <x:v>0.43</x:v>
      </x:c>
      <x:c r="D1665" s="195" t="n">
        <x:f>IFERROR(B1665-C1665,"")</x:f>
        <x:v>2.5999999999999996</x:v>
      </x:c>
    </x:row>
    <x:row r="1666">
      <x:c r="A1666" s="187" t="n">
        <x:v>44799</x:v>
      </x:c>
      <x:c r="B1666" s="195" t="n">
        <x:v>3.04</x:v>
      </x:c>
      <x:c r="C1666" s="195" t="n">
        <x:v>0.47</x:v>
      </x:c>
      <x:c r="D1666" s="195" t="n">
        <x:f>IFERROR(B1666-C1666,"")</x:f>
        <x:v>2.5700000000000003</x:v>
      </x:c>
    </x:row>
    <x:row r="1667">
      <x:c r="A1667" s="187" t="n">
        <x:v>44802</x:v>
      </x:c>
      <x:c r="B1667" s="195" t="n">
        <x:v>3.12</x:v>
      </x:c>
      <x:c r="C1667" s="195" t="n">
        <x:v>0.54</x:v>
      </x:c>
      <x:c r="D1667" s="195" t="n">
        <x:f>IFERROR(B1667-C1667,"")</x:f>
        <x:v>2.58</x:v>
      </x:c>
    </x:row>
    <x:row r="1668">
      <x:c r="A1668" s="187" t="n">
        <x:v>44803</x:v>
      </x:c>
      <x:c r="B1668" s="195" t="n">
        <x:v>3.11</x:v>
      </x:c>
      <x:c r="C1668" s="195" t="n">
        <x:v>0.56</x:v>
      </x:c>
      <x:c r="D1668" s="195" t="n">
        <x:f>IFERROR(B1668-C1668,"")</x:f>
        <x:v>2.55</x:v>
      </x:c>
    </x:row>
    <x:row r="1669">
      <x:c r="A1669" s="187" t="n">
        <x:v>44804</x:v>
      </x:c>
      <x:c r="B1669" s="195" t="n">
        <x:v>3.15</x:v>
      </x:c>
      <x:c r="C1669" s="195" t="n">
        <x:v>0.67</x:v>
      </x:c>
      <x:c r="D1669" s="195" t="n">
        <x:f>IFERROR(B1669-C1669,"")</x:f>
        <x:v>2.48</x:v>
      </x:c>
    </x:row>
    <x:row r="1670">
      <x:c r="A1670" s="187" t="n">
        <x:v>44805</x:v>
      </x:c>
      <x:c r="B1670" s="195" t="n">
        <x:v>3.26</x:v>
      </x:c>
      <x:c r="C1670" s="195" t="n">
        <x:v>0.81</x:v>
      </x:c>
      <x:c r="D1670" s="195" t="n">
        <x:f>IFERROR(B1670-C1670,"")</x:f>
        <x:v>2.4499999999999997</x:v>
      </x:c>
    </x:row>
    <x:row r="1671">
      <x:c r="A1671" s="187" t="n">
        <x:v>44806</x:v>
      </x:c>
      <x:c r="B1671" s="195" t="n">
        <x:v>3.2</x:v>
      </x:c>
      <x:c r="C1671" s="195" t="n">
        <x:v>0.73</x:v>
      </x:c>
      <x:c r="D1671" s="195" t="n">
        <x:f>IFERROR(B1671-C1671,"")</x:f>
        <x:v>2.47</x:v>
      </x:c>
    </x:row>
    <x:row r="1672">
      <x:c r="A1672" s="187" t="n">
        <x:v>44810</x:v>
      </x:c>
      <x:c r="B1672" s="195" t="n">
        <x:v>3.33</x:v>
      </x:c>
      <x:c r="C1672" s="195" t="n">
        <x:v>0.85</x:v>
      </x:c>
      <x:c r="D1672" s="195" t="n">
        <x:f>IFERROR(B1672-C1672,"")</x:f>
        <x:v>2.48</x:v>
      </x:c>
    </x:row>
    <x:row r="1673">
      <x:c r="A1673" s="187" t="n">
        <x:v>44811</x:v>
      </x:c>
      <x:c r="B1673" s="195" t="n">
        <x:v>3.27</x:v>
      </x:c>
      <x:c r="C1673" s="195" t="n">
        <x:v>0.82</x:v>
      </x:c>
      <x:c r="D1673" s="195" t="n">
        <x:f>IFERROR(B1673-C1673,"")</x:f>
        <x:v>2.45</x:v>
      </x:c>
    </x:row>
    <x:row r="1674">
      <x:c r="A1674" s="187" t="n">
        <x:v>44812</x:v>
      </x:c>
      <x:c r="B1674" s="195" t="n">
        <x:v>3.29</x:v>
      </x:c>
      <x:c r="C1674" s="195" t="n">
        <x:v>0.88</x:v>
      </x:c>
      <x:c r="D1674" s="195" t="n">
        <x:f>IFERROR(B1674-C1674,"")</x:f>
        <x:v>2.41</x:v>
      </x:c>
    </x:row>
    <x:row r="1675">
      <x:c r="A1675" s="187" t="n">
        <x:v>44813</x:v>
      </x:c>
      <x:c r="B1675" s="195" t="n">
        <x:v>3.33</x:v>
      </x:c>
      <x:c r="C1675" s="195" t="n">
        <x:v>0.91</x:v>
      </x:c>
      <x:c r="D1675" s="195" t="n">
        <x:f>IFERROR(B1675-C1675,"")</x:f>
        <x:v>2.42</x:v>
      </x:c>
    </x:row>
    <x:row r="1676">
      <x:c r="A1676" s="187" t="n">
        <x:v>44816</x:v>
      </x:c>
      <x:c r="B1676" s="195" t="n">
        <x:v>3.37</x:v>
      </x:c>
      <x:c r="C1676" s="195" t="n">
        <x:v>0.95</x:v>
      </x:c>
      <x:c r="D1676" s="195" t="n">
        <x:f>IFERROR(B1676-C1676,"")</x:f>
        <x:v>2.42</x:v>
      </x:c>
    </x:row>
    <x:row r="1677">
      <x:c r="A1677" s="187" t="n">
        <x:v>44817</x:v>
      </x:c>
      <x:c r="B1677" s="195" t="n">
        <x:v>3.42</x:v>
      </x:c>
      <x:c r="C1677" s="195" t="n">
        <x:v>0.98</x:v>
      </x:c>
      <x:c r="D1677" s="195" t="n">
        <x:f>IFERROR(B1677-C1677,"")</x:f>
        <x:v>2.44</x:v>
      </x:c>
    </x:row>
    <x:row r="1678">
      <x:c r="A1678" s="187" t="n">
        <x:v>44818</x:v>
      </x:c>
      <x:c r="B1678" s="195" t="n">
        <x:v>3.41</x:v>
      </x:c>
      <x:c r="C1678" s="195" t="n">
        <x:v>0.95</x:v>
      </x:c>
      <x:c r="D1678" s="195" t="n">
        <x:f>IFERROR(B1678-C1678,"")</x:f>
        <x:v>2.46</x:v>
      </x:c>
    </x:row>
    <x:row r="1679">
      <x:c r="A1679" s="187" t="n">
        <x:v>44819</x:v>
      </x:c>
      <x:c r="B1679" s="195" t="n">
        <x:v>3.45</x:v>
      </x:c>
      <x:c r="C1679" s="195" t="n">
        <x:v>1.02</x:v>
      </x:c>
      <x:c r="D1679" s="195" t="n">
        <x:f>IFERROR(B1679-C1679,"")</x:f>
        <x:v>2.43</x:v>
      </x:c>
    </x:row>
    <x:row r="1680">
      <x:c r="A1680" s="187" t="n">
        <x:v>44820</x:v>
      </x:c>
      <x:c r="B1680" s="195" t="n">
        <x:v>3.45</x:v>
      </x:c>
      <x:c r="C1680" s="195" t="n">
        <x:v>1.07</x:v>
      </x:c>
      <x:c r="D1680" s="195" t="n">
        <x:f>IFERROR(B1680-C1680,"")</x:f>
        <x:v>2.38</x:v>
      </x:c>
    </x:row>
    <x:row r="1681">
      <x:c r="A1681" s="187" t="n">
        <x:v>44823</x:v>
      </x:c>
      <x:c r="B1681" s="195" t="n">
        <x:v>3.49</x:v>
      </x:c>
      <x:c r="C1681" s="195" t="n">
        <x:v>1.15</x:v>
      </x:c>
      <x:c r="D1681" s="195" t="n">
        <x:f>IFERROR(B1681-C1681,"")</x:f>
        <x:v>2.3400000000000003</x:v>
      </x:c>
    </x:row>
    <x:row r="1682">
      <x:c r="A1682" s="187" t="n">
        <x:v>44824</x:v>
      </x:c>
      <x:c r="B1682" s="195" t="n">
        <x:v>3.57</x:v>
      </x:c>
      <x:c r="C1682" s="195" t="n">
        <x:v>1.17</x:v>
      </x:c>
      <x:c r="D1682" s="195" t="n">
        <x:f>IFERROR(B1682-C1682,"")</x:f>
        <x:v>2.4</x:v>
      </x:c>
    </x:row>
    <x:row r="1683">
      <x:c r="A1683" s="187" t="n">
        <x:v>44825</x:v>
      </x:c>
      <x:c r="B1683" s="195" t="n">
        <x:v>3.51</x:v>
      </x:c>
      <x:c r="C1683" s="195" t="n">
        <x:v>1.13</x:v>
      </x:c>
      <x:c r="D1683" s="195" t="n">
        <x:f>IFERROR(B1683-C1683,"")</x:f>
        <x:v>2.38</x:v>
      </x:c>
    </x:row>
    <x:row r="1684">
      <x:c r="A1684" s="187" t="n">
        <x:v>44826</x:v>
      </x:c>
      <x:c r="B1684" s="195" t="n">
        <x:v>3.7</x:v>
      </x:c>
      <x:c r="C1684" s="195" t="n">
        <x:v>1.29</x:v>
      </x:c>
      <x:c r="D1684" s="195" t="n">
        <x:f>IFERROR(B1684-C1684,"")</x:f>
        <x:v>2.41</x:v>
      </x:c>
    </x:row>
    <x:row r="1685">
      <x:c r="A1685" s="187" t="n">
        <x:v>44827</x:v>
      </x:c>
      <x:c r="B1685" s="195" t="n">
        <x:v>3.69</x:v>
      </x:c>
      <x:c r="C1685" s="195" t="n">
        <x:v>1.32</x:v>
      </x:c>
      <x:c r="D1685" s="195" t="n">
        <x:f>IFERROR(B1685-C1685,"")</x:f>
        <x:v>2.37</x:v>
      </x:c>
    </x:row>
    <x:row r="1686">
      <x:c r="A1686" s="187" t="n">
        <x:v>44830</x:v>
      </x:c>
      <x:c r="B1686" s="195" t="n">
        <x:v>3.88</x:v>
      </x:c>
      <x:c r="C1686" s="195" t="n">
        <x:v>1.56</x:v>
      </x:c>
      <x:c r="D1686" s="195" t="n">
        <x:f>IFERROR(B1686-C1686,"")</x:f>
        <x:v>2.32</x:v>
      </x:c>
    </x:row>
    <x:row r="1687">
      <x:c r="A1687" s="187" t="n">
        <x:v>44831</x:v>
      </x:c>
      <x:c r="B1687" s="195" t="n">
        <x:v>3.97</x:v>
      </x:c>
      <x:c r="C1687" s="195" t="n">
        <x:v>1.64</x:v>
      </x:c>
      <x:c r="D1687" s="195" t="n">
        <x:f>IFERROR(B1687-C1687,"")</x:f>
        <x:v>2.33</x:v>
      </x:c>
    </x:row>
    <x:row r="1688">
      <x:c r="A1688" s="187" t="n">
        <x:v>44832</x:v>
      </x:c>
      <x:c r="B1688" s="195" t="n">
        <x:v>3.72</x:v>
      </x:c>
      <x:c r="C1688" s="195" t="n">
        <x:v>1.39</x:v>
      </x:c>
      <x:c r="D1688" s="195" t="n">
        <x:f>IFERROR(B1688-C1688,"")</x:f>
        <x:v>2.33</x:v>
      </x:c>
    </x:row>
    <x:row r="1689">
      <x:c r="A1689" s="187" t="n">
        <x:v>44833</x:v>
      </x:c>
      <x:c r="B1689" s="195" t="n">
        <x:v>3.76</x:v>
      </x:c>
      <x:c r="C1689" s="195" t="n">
        <x:v>1.57</x:v>
      </x:c>
      <x:c r="D1689" s="195" t="n">
        <x:f>IFERROR(B1689-C1689,"")</x:f>
        <x:v>2.1899999999999995</x:v>
      </x:c>
    </x:row>
    <x:row r="1690">
      <x:c r="A1690" s="187" t="n">
        <x:v>44834</x:v>
      </x:c>
      <x:c r="B1690" s="195" t="n">
        <x:v>3.83</x:v>
      </x:c>
      <x:c r="C1690" s="195" t="n">
        <x:v>1.68</x:v>
      </x:c>
      <x:c r="D1690" s="195" t="n">
        <x:f>IFERROR(B1690-C1690,"")</x:f>
        <x:v>2.1500000000000004</x:v>
      </x:c>
    </x:row>
    <x:row r="1691">
      <x:c r="A1691" s="187" t="n">
        <x:v>44837</x:v>
      </x:c>
      <x:c r="B1691" s="195" t="n">
        <x:v>3.67</x:v>
      </x:c>
      <x:c r="C1691" s="195" t="n">
        <x:v>1.43</x:v>
      </x:c>
      <x:c r="D1691" s="195" t="n">
        <x:f>IFERROR(B1691-C1691,"")</x:f>
        <x:v>2.24</x:v>
      </x:c>
    </x:row>
    <x:row r="1692">
      <x:c r="A1692" s="187" t="n">
        <x:v>44838</x:v>
      </x:c>
      <x:c r="B1692" s="195" t="n">
        <x:v>3.62</x:v>
      </x:c>
      <x:c r="C1692" s="195" t="n">
        <x:v>1.38</x:v>
      </x:c>
      <x:c r="D1692" s="195" t="n">
        <x:f>IFERROR(B1692-C1692,"")</x:f>
        <x:v>2.24</x:v>
      </x:c>
    </x:row>
    <x:row r="1693">
      <x:c r="A1693" s="187" t="n">
        <x:v>44839</x:v>
      </x:c>
      <x:c r="B1693" s="195" t="n">
        <x:v>3.76</x:v>
      </x:c>
      <x:c r="C1693" s="195" t="n">
        <x:v>1.54</x:v>
      </x:c>
      <x:c r="D1693" s="195" t="n">
        <x:f>IFERROR(B1693-C1693,"")</x:f>
        <x:v>2.2199999999999998</x:v>
      </x:c>
    </x:row>
    <x:row r="1694">
      <x:c r="A1694" s="187" t="n">
        <x:v>44840</x:v>
      </x:c>
      <x:c r="B1694" s="195" t="n">
        <x:v>3.83</x:v>
      </x:c>
      <x:c r="C1694" s="195" t="n">
        <x:v>1.61</x:v>
      </x:c>
      <x:c r="D1694" s="195" t="n">
        <x:f>IFERROR(B1694-C1694,"")</x:f>
        <x:v>2.2199999999999998</x:v>
      </x:c>
    </x:row>
    <x:row r="1695">
      <x:c r="A1695" s="187" t="n">
        <x:v>44841</x:v>
      </x:c>
      <x:c r="B1695" s="195" t="n">
        <x:v>3.89</x:v>
      </x:c>
      <x:c r="C1695" s="195" t="n">
        <x:v>1.62</x:v>
      </x:c>
      <x:c r="D1695" s="195" t="n">
        <x:f>IFERROR(B1695-C1695,"")</x:f>
        <x:v>2.27</x:v>
      </x:c>
    </x:row>
    <x:row r="1696">
      <x:c r="A1696" s="187" t="n">
        <x:v>44845</x:v>
      </x:c>
      <x:c r="B1696" s="195" t="n">
        <x:v>3.93</x:v>
      </x:c>
      <x:c r="C1696" s="195" t="n">
        <x:v>1.62</x:v>
      </x:c>
      <x:c r="D1696" s="195" t="n">
        <x:f>IFERROR(B1696-C1696,"")</x:f>
        <x:v>2.31</x:v>
      </x:c>
    </x:row>
    <x:row r="1697">
      <x:c r="A1697" s="187" t="n">
        <x:v>44846</x:v>
      </x:c>
      <x:c r="B1697" s="195" t="n">
        <x:v>3.91</x:v>
      </x:c>
      <x:c r="C1697" s="195" t="n">
        <x:v>1.62</x:v>
      </x:c>
      <x:c r="D1697" s="195" t="n">
        <x:f>IFERROR(B1697-C1697,"")</x:f>
        <x:v>2.29</x:v>
      </x:c>
    </x:row>
    <x:row r="1698">
      <x:c r="A1698" s="187" t="n">
        <x:v>44847</x:v>
      </x:c>
      <x:c r="B1698" s="195" t="n">
        <x:v>3.97</x:v>
      </x:c>
      <x:c r="C1698" s="195" t="n">
        <x:v>1.63</x:v>
      </x:c>
      <x:c r="D1698" s="195" t="n">
        <x:f>IFERROR(B1698-C1698,"")</x:f>
        <x:v>2.3400000000000003</x:v>
      </x:c>
    </x:row>
    <x:row r="1699">
      <x:c r="A1699" s="187" t="n">
        <x:v>44848</x:v>
      </x:c>
      <x:c r="B1699" s="195" t="n">
        <x:v>4</x:v>
      </x:c>
      <x:c r="C1699" s="195" t="n">
        <x:v>1.59</x:v>
      </x:c>
      <x:c r="D1699" s="195" t="n">
        <x:f>IFERROR(B1699-C1699,"")</x:f>
        <x:v>2.41</x:v>
      </x:c>
    </x:row>
    <x:row r="1700">
      <x:c r="A1700" s="187" t="n">
        <x:v>44851</x:v>
      </x:c>
      <x:c r="B1700" s="195" t="n">
        <x:v>4.02</x:v>
      </x:c>
      <x:c r="C1700" s="195" t="n">
        <x:v>1.57</x:v>
      </x:c>
      <x:c r="D1700" s="195" t="n">
        <x:f>IFERROR(B1700-C1700,"")</x:f>
        <x:v>2.4499999999999993</x:v>
      </x:c>
    </x:row>
    <x:row r="1701">
      <x:c r="A1701" s="187" t="n">
        <x:v>44852</x:v>
      </x:c>
      <x:c r="B1701" s="195" t="n">
        <x:v>4.01</x:v>
      </x:c>
      <x:c r="C1701" s="195" t="n">
        <x:v>1.6</x:v>
      </x:c>
      <x:c r="D1701" s="195" t="n">
        <x:f>IFERROR(B1701-C1701,"")</x:f>
        <x:v>2.4099999999999997</x:v>
      </x:c>
    </x:row>
    <x:row r="1702">
      <x:c r="A1702" s="187" t="n">
        <x:v>44853</x:v>
      </x:c>
      <x:c r="B1702" s="195" t="n">
        <x:v>4.14</x:v>
      </x:c>
      <x:c r="C1702" s="195" t="n">
        <x:v>1.72</x:v>
      </x:c>
      <x:c r="D1702" s="195" t="n">
        <x:f>IFERROR(B1702-C1702,"")</x:f>
        <x:v>2.42</x:v>
      </x:c>
    </x:row>
    <x:row r="1703">
      <x:c r="A1703" s="187" t="n">
        <x:v>44854</x:v>
      </x:c>
      <x:c r="B1703" s="195" t="n">
        <x:v>4.24</x:v>
      </x:c>
      <x:c r="C1703" s="195" t="n">
        <x:v>1.73</x:v>
      </x:c>
      <x:c r="D1703" s="195" t="n">
        <x:f>IFERROR(B1703-C1703,"")</x:f>
        <x:v>2.5100000000000002</x:v>
      </x:c>
    </x:row>
    <x:row r="1704">
      <x:c r="A1704" s="187" t="n">
        <x:v>44855</x:v>
      </x:c>
      <x:c r="B1704" s="195" t="n">
        <x:v>4.21</x:v>
      </x:c>
      <x:c r="C1704" s="195" t="n">
        <x:v>1.69</x:v>
      </x:c>
      <x:c r="D1704" s="195" t="n">
        <x:f>IFERROR(B1704-C1704,"")</x:f>
        <x:v>2.52</x:v>
      </x:c>
    </x:row>
    <x:row r="1705">
      <x:c r="A1705" s="187" t="n">
        <x:v>44858</x:v>
      </x:c>
      <x:c r="B1705" s="195" t="n">
        <x:v>4.25</x:v>
      </x:c>
      <x:c r="C1705" s="195" t="n">
        <x:v>1.66</x:v>
      </x:c>
      <x:c r="D1705" s="195" t="n">
        <x:f>IFERROR(B1705-C1705,"")</x:f>
        <x:v>2.59</x:v>
      </x:c>
    </x:row>
    <x:row r="1706">
      <x:c r="A1706" s="187" t="n">
        <x:v>44859</x:v>
      </x:c>
      <x:c r="B1706" s="195" t="n">
        <x:v>4.1</x:v>
      </x:c>
      <x:c r="C1706" s="195" t="n">
        <x:v>1.59</x:v>
      </x:c>
      <x:c r="D1706" s="195" t="n">
        <x:f>IFERROR(B1706-C1706,"")</x:f>
        <x:v>2.51</x:v>
      </x:c>
    </x:row>
    <x:row r="1707">
      <x:c r="A1707" s="187" t="n">
        <x:v>44860</x:v>
      </x:c>
      <x:c r="B1707" s="195" t="n">
        <x:v>4.04</x:v>
      </x:c>
      <x:c r="C1707" s="195" t="n">
        <x:v>1.6</x:v>
      </x:c>
      <x:c r="D1707" s="195" t="n">
        <x:f>IFERROR(B1707-C1707,"")</x:f>
        <x:v>2.44</x:v>
      </x:c>
    </x:row>
    <x:row r="1708">
      <x:c r="A1708" s="187" t="n">
        <x:v>44861</x:v>
      </x:c>
      <x:c r="B1708" s="195" t="n">
        <x:v>3.96</x:v>
      </x:c>
      <x:c r="C1708" s="195" t="n">
        <x:v>1.51</x:v>
      </x:c>
      <x:c r="D1708" s="195" t="n">
        <x:f>IFERROR(B1708-C1708,"")</x:f>
        <x:v>2.45</x:v>
      </x:c>
    </x:row>
    <x:row r="1709">
      <x:c r="A1709" s="187" t="n">
        <x:v>44862</x:v>
      </x:c>
      <x:c r="B1709" s="195" t="n">
        <x:v>4.02</x:v>
      </x:c>
      <x:c r="C1709" s="195" t="n">
        <x:v>1.51</x:v>
      </x:c>
      <x:c r="D1709" s="195" t="n">
        <x:f>IFERROR(B1709-C1709,"")</x:f>
        <x:v>2.51</x:v>
      </x:c>
    </x:row>
    <x:row r="1710">
      <x:c r="A1710" s="187" t="n">
        <x:v>44865</x:v>
      </x:c>
      <x:c r="B1710" s="195" t="n">
        <x:v>4.1</x:v>
      </x:c>
      <x:c r="C1710" s="195" t="n">
        <x:v>1.58</x:v>
      </x:c>
      <x:c r="D1710" s="195" t="n">
        <x:f>IFERROR(B1710-C1710,"")</x:f>
        <x:v>2.5199999999999996</x:v>
      </x:c>
    </x:row>
    <x:row r="1711">
      <x:c r="A1711" s="187" t="n">
        <x:v>44866</x:v>
      </x:c>
      <x:c r="B1711" s="195" t="n">
        <x:v>4.07</x:v>
      </x:c>
      <x:c r="C1711" s="195" t="n">
        <x:v>1.56</x:v>
      </x:c>
      <x:c r="D1711" s="195" t="n">
        <x:f>IFERROR(B1711-C1711,"")</x:f>
        <x:v>2.5100000000000002</x:v>
      </x:c>
    </x:row>
    <x:row r="1712">
      <x:c r="A1712" s="187" t="n">
        <x:v>44867</x:v>
      </x:c>
      <x:c r="B1712" s="195" t="n">
        <x:v>4.1</x:v>
      </x:c>
      <x:c r="C1712" s="195" t="n">
        <x:v>1.57</x:v>
      </x:c>
      <x:c r="D1712" s="195" t="n">
        <x:f>IFERROR(B1712-C1712,"")</x:f>
        <x:v>2.5299999999999994</x:v>
      </x:c>
    </x:row>
    <x:row r="1713">
      <x:c r="A1713" s="187" t="n">
        <x:v>44868</x:v>
      </x:c>
      <x:c r="B1713" s="195" t="n">
        <x:v>4.14</x:v>
      </x:c>
      <x:c r="C1713" s="195" t="n">
        <x:v>1.74</x:v>
      </x:c>
      <x:c r="D1713" s="195" t="n">
        <x:f>IFERROR(B1713-C1713,"")</x:f>
        <x:v>2.3999999999999995</x:v>
      </x:c>
    </x:row>
    <x:row r="1714">
      <x:c r="A1714" s="187" t="n">
        <x:v>44869</x:v>
      </x:c>
      <x:c r="B1714" s="195" t="n">
        <x:v>4.17</x:v>
      </x:c>
      <x:c r="C1714" s="195" t="n">
        <x:v>1.69</x:v>
      </x:c>
      <x:c r="D1714" s="195" t="n">
        <x:f>IFERROR(B1714-C1714,"")</x:f>
        <x:v>2.48</x:v>
      </x:c>
    </x:row>
    <x:row r="1715">
      <x:c r="A1715" s="187" t="n">
        <x:v>44872</x:v>
      </x:c>
      <x:c r="B1715" s="195" t="n">
        <x:v>4.22</x:v>
      </x:c>
      <x:c r="C1715" s="195" t="n">
        <x:v>1.69</x:v>
      </x:c>
      <x:c r="D1715" s="195" t="n">
        <x:f>IFERROR(B1715-C1715,"")</x:f>
        <x:v>2.53</x:v>
      </x:c>
    </x:row>
    <x:row r="1716">
      <x:c r="A1716" s="187" t="n">
        <x:v>44873</x:v>
      </x:c>
      <x:c r="B1716" s="195" t="n">
        <x:v>4.14</x:v>
      </x:c>
      <x:c r="C1716" s="195" t="n">
        <x:v>1.64</x:v>
      </x:c>
      <x:c r="D1716" s="195" t="n">
        <x:f>IFERROR(B1716-C1716,"")</x:f>
        <x:v>2.5</x:v>
      </x:c>
    </x:row>
    <x:row r="1717">
      <x:c r="A1717" s="187" t="n">
        <x:v>44874</x:v>
      </x:c>
      <x:c r="B1717" s="195" t="n">
        <x:v>4.12</x:v>
      </x:c>
      <x:c r="C1717" s="195" t="n">
        <x:v>1.7</x:v>
      </x:c>
      <x:c r="D1717" s="195" t="n">
        <x:f>IFERROR(B1717-C1717,"")</x:f>
        <x:v>2.42</x:v>
      </x:c>
    </x:row>
    <x:row r="1718">
      <x:c r="A1718" s="187" t="n">
        <x:v>44875</x:v>
      </x:c>
      <x:c r="B1718" s="195" t="n">
        <x:v>3.82</x:v>
      </x:c>
      <x:c r="C1718" s="195" t="n">
        <x:v>1.43</x:v>
      </x:c>
      <x:c r="D1718" s="195" t="n">
        <x:f>IFERROR(B1718-C1718,"")</x:f>
        <x:v>2.3899999999999997</x:v>
      </x:c>
    </x:row>
    <x:row r="1719">
      <x:c r="A1719" s="187" t="n">
        <x:v>44879</x:v>
      </x:c>
      <x:c r="B1719" s="195" t="n">
        <x:v>3.88</x:v>
      </x:c>
      <x:c r="C1719" s="195" t="n">
        <x:v>1.51</x:v>
      </x:c>
      <x:c r="D1719" s="195" t="n">
        <x:f>IFERROR(B1719-C1719,"")</x:f>
        <x:v>2.37</x:v>
      </x:c>
    </x:row>
    <x:row r="1720">
      <x:c r="A1720" s="187" t="n">
        <x:v>44880</x:v>
      </x:c>
      <x:c r="B1720" s="195" t="n">
        <x:v>3.8</x:v>
      </x:c>
      <x:c r="C1720" s="195" t="n">
        <x:v>1.45</x:v>
      </x:c>
      <x:c r="D1720" s="195" t="n">
        <x:f>IFERROR(B1720-C1720,"")</x:f>
        <x:v>2.3499999999999996</x:v>
      </x:c>
    </x:row>
    <x:row r="1721">
      <x:c r="A1721" s="187" t="n">
        <x:v>44881</x:v>
      </x:c>
      <x:c r="B1721" s="195" t="n">
        <x:v>3.67</x:v>
      </x:c>
      <x:c r="C1721" s="195" t="n">
        <x:v>1.38</x:v>
      </x:c>
      <x:c r="D1721" s="195" t="n">
        <x:f>IFERROR(B1721-C1721,"")</x:f>
        <x:v>2.29</x:v>
      </x:c>
    </x:row>
    <x:row r="1722">
      <x:c r="A1722" s="187" t="n">
        <x:v>44882</x:v>
      </x:c>
      <x:c r="B1722" s="195" t="n">
        <x:v>3.77</x:v>
      </x:c>
      <x:c r="C1722" s="195" t="n">
        <x:v>1.49</x:v>
      </x:c>
      <x:c r="D1722" s="195" t="n">
        <x:f>IFERROR(B1722-C1722,"")</x:f>
        <x:v>2.2800000000000002</x:v>
      </x:c>
    </x:row>
    <x:row r="1723">
      <x:c r="A1723" s="187" t="n">
        <x:v>44883</x:v>
      </x:c>
      <x:c r="B1723" s="195" t="n">
        <x:v>3.82</x:v>
      </x:c>
      <x:c r="C1723" s="195" t="n">
        <x:v>1.57</x:v>
      </x:c>
      <x:c r="D1723" s="195" t="n">
        <x:f>IFERROR(B1723-C1723,"")</x:f>
        <x:v>2.25</x:v>
      </x:c>
    </x:row>
    <x:row r="1724">
      <x:c r="A1724" s="187" t="n">
        <x:v>44886</x:v>
      </x:c>
      <x:c r="B1724" s="195" t="n">
        <x:v>3.83</x:v>
      </x:c>
      <x:c r="C1724" s="195" t="n">
        <x:v>1.52</x:v>
      </x:c>
      <x:c r="D1724" s="195" t="n">
        <x:f>IFERROR(B1724-C1724,"")</x:f>
        <x:v>2.31</x:v>
      </x:c>
    </x:row>
    <x:row r="1725">
      <x:c r="A1725" s="187" t="n">
        <x:v>44887</x:v>
      </x:c>
      <x:c r="B1725" s="195" t="n">
        <x:v>3.76</x:v>
      </x:c>
      <x:c r="C1725" s="195" t="n">
        <x:v>1.44</x:v>
      </x:c>
      <x:c r="D1725" s="195" t="n">
        <x:f>IFERROR(B1725-C1725,"")</x:f>
        <x:v>2.32</x:v>
      </x:c>
    </x:row>
    <x:row r="1726">
      <x:c r="A1726" s="187" t="n">
        <x:v>44888</x:v>
      </x:c>
      <x:c r="B1726" s="195" t="n">
        <x:v>3.71</x:v>
      </x:c>
      <x:c r="C1726" s="195" t="n">
        <x:v>1.39</x:v>
      </x:c>
      <x:c r="D1726" s="195" t="n">
        <x:f>IFERROR(B1726-C1726,"")</x:f>
        <x:v>2.3200000000000003</x:v>
      </x:c>
    </x:row>
    <x:row r="1727">
      <x:c r="A1727" s="187" t="n">
        <x:v>44890</x:v>
      </x:c>
      <x:c r="B1727" s="195" t="n">
        <x:v>3.68</x:v>
      </x:c>
      <x:c r="C1727" s="195" t="n">
        <x:v>1.36</x:v>
      </x:c>
      <x:c r="D1727" s="195" t="n">
        <x:f>IFERROR(B1727-C1727,"")</x:f>
        <x:v>2.3200000000000003</x:v>
      </x:c>
    </x:row>
    <x:row r="1728">
      <x:c r="A1728" s="187" t="n">
        <x:v>44893</x:v>
      </x:c>
      <x:c r="B1728" s="195" t="n">
        <x:v>3.69</x:v>
      </x:c>
      <x:c r="C1728" s="195" t="n">
        <x:v>1.43</x:v>
      </x:c>
      <x:c r="D1728" s="195" t="n">
        <x:f>IFERROR(B1728-C1728,"")</x:f>
        <x:v>2.26</x:v>
      </x:c>
    </x:row>
    <x:row r="1729">
      <x:c r="A1729" s="187" t="n">
        <x:v>44894</x:v>
      </x:c>
      <x:c r="B1729" s="195" t="n">
        <x:v>3.75</x:v>
      </x:c>
      <x:c r="C1729" s="195" t="n">
        <x:v>1.5</x:v>
      </x:c>
      <x:c r="D1729" s="195" t="n">
        <x:f>IFERROR(B1729-C1729,"")</x:f>
        <x:v>2.25</x:v>
      </x:c>
    </x:row>
    <x:row r="1730">
      <x:c r="A1730" s="187" t="n">
        <x:v>44895</x:v>
      </x:c>
      <x:c r="B1730" s="195" t="n">
        <x:v>3.68</x:v>
      </x:c>
      <x:c r="C1730" s="195" t="n">
        <x:v>1.34</x:v>
      </x:c>
      <x:c r="D1730" s="195" t="n">
        <x:f>IFERROR(B1730-C1730,"")</x:f>
        <x:v>2.34</x:v>
      </x:c>
    </x:row>
    <x:row r="1731">
      <x:c r="A1731" s="187" t="n">
        <x:v>44896</x:v>
      </x:c>
      <x:c r="B1731" s="195" t="n">
        <x:v>3.53</x:v>
      </x:c>
      <x:c r="C1731" s="195" t="n">
        <x:v>1.17</x:v>
      </x:c>
      <x:c r="D1731" s="195" t="n">
        <x:f>IFERROR(B1731-C1731,"")</x:f>
        <x:v>2.36</x:v>
      </x:c>
    </x:row>
    <x:row r="1732">
      <x:c r="A1732" s="187" t="n">
        <x:v>44897</x:v>
      </x:c>
      <x:c r="B1732" s="195" t="n">
        <x:v>3.51</x:v>
      </x:c>
      <x:c r="C1732" s="195" t="n">
        <x:v>1.08</x:v>
      </x:c>
      <x:c r="D1732" s="195" t="n">
        <x:f>IFERROR(B1732-C1732,"")</x:f>
        <x:v>2.4299999999999997</x:v>
      </x:c>
    </x:row>
    <x:row r="1733">
      <x:c r="A1733" s="187" t="n">
        <x:v>44900</x:v>
      </x:c>
      <x:c r="B1733" s="195" t="n">
        <x:v>3.6</x:v>
      </x:c>
      <x:c r="C1733" s="195" t="n">
        <x:v>1.21</x:v>
      </x:c>
      <x:c r="D1733" s="195" t="n">
        <x:f>IFERROR(B1733-C1733,"")</x:f>
        <x:v>2.39</x:v>
      </x:c>
    </x:row>
    <x:row r="1734">
      <x:c r="A1734" s="187" t="n">
        <x:v>44901</x:v>
      </x:c>
      <x:c r="B1734" s="195" t="n">
        <x:v>3.51</x:v>
      </x:c>
      <x:c r="C1734" s="195" t="n">
        <x:v>1.2</x:v>
      </x:c>
      <x:c r="D1734" s="195" t="n">
        <x:f>IFERROR(B1734-C1734,"")</x:f>
        <x:v>2.3099999999999996</x:v>
      </x:c>
    </x:row>
    <x:row r="1735">
      <x:c r="A1735" s="187" t="n">
        <x:v>44902</x:v>
      </x:c>
      <x:c r="B1735" s="195" t="n">
        <x:v>3.42</x:v>
      </x:c>
      <x:c r="C1735" s="195" t="n">
        <x:v>1.16</x:v>
      </x:c>
      <x:c r="D1735" s="195" t="n">
        <x:f>IFERROR(B1735-C1735,"")</x:f>
        <x:v>2.26</x:v>
      </x:c>
    </x:row>
    <x:row r="1736">
      <x:c r="A1736" s="187" t="n">
        <x:v>44903</x:v>
      </x:c>
      <x:c r="B1736" s="195" t="n">
        <x:v>3.48</x:v>
      </x:c>
      <x:c r="C1736" s="195" t="n">
        <x:v>1.2</x:v>
      </x:c>
      <x:c r="D1736" s="195" t="n">
        <x:f>IFERROR(B1736-C1736,"")</x:f>
        <x:v>2.2800000000000002</x:v>
      </x:c>
    </x:row>
    <x:row r="1737">
      <x:c r="A1737" s="187" t="n">
        <x:v>44904</x:v>
      </x:c>
      <x:c r="B1737" s="195" t="n">
        <x:v>3.57</x:v>
      </x:c>
      <x:c r="C1737" s="195" t="n">
        <x:v>1.31</x:v>
      </x:c>
      <x:c r="D1737" s="195" t="n">
        <x:f>IFERROR(B1737-C1737,"")</x:f>
        <x:v>2.26</x:v>
      </x:c>
    </x:row>
    <x:row r="1738">
      <x:c r="A1738" s="187" t="n">
        <x:v>44907</x:v>
      </x:c>
      <x:c r="B1738" s="195" t="n">
        <x:v>3.61</x:v>
      </x:c>
      <x:c r="C1738" s="195" t="n">
        <x:v>1.33</x:v>
      </x:c>
      <x:c r="D1738" s="195" t="n">
        <x:f>IFERROR(B1738-C1738,"")</x:f>
        <x:v>2.28</x:v>
      </x:c>
    </x:row>
    <x:row r="1739">
      <x:c r="A1739" s="187" t="n">
        <x:v>44908</x:v>
      </x:c>
      <x:c r="B1739" s="195" t="n">
        <x:v>3.51</x:v>
      </x:c>
      <x:c r="C1739" s="195" t="n">
        <x:v>1.27</x:v>
      </x:c>
      <x:c r="D1739" s="195" t="n">
        <x:f>IFERROR(B1739-C1739,"")</x:f>
        <x:v>2.2399999999999998</x:v>
      </x:c>
    </x:row>
    <x:row r="1740">
      <x:c r="A1740" s="187" t="n">
        <x:v>44909</x:v>
      </x:c>
      <x:c r="B1740" s="195" t="n">
        <x:v>3.49</x:v>
      </x:c>
      <x:c r="C1740" s="195" t="n">
        <x:v>1.3</x:v>
      </x:c>
      <x:c r="D1740" s="195" t="n">
        <x:f>IFERROR(B1740-C1740,"")</x:f>
        <x:v>2.1900000000000004</x:v>
      </x:c>
    </x:row>
    <x:row r="1741">
      <x:c r="A1741" s="187" t="n">
        <x:v>44910</x:v>
      </x:c>
      <x:c r="B1741" s="195" t="n">
        <x:v>3.44</x:v>
      </x:c>
      <x:c r="C1741" s="195" t="n">
        <x:v>1.28</x:v>
      </x:c>
      <x:c r="D1741" s="195" t="n">
        <x:f>IFERROR(B1741-C1741,"")</x:f>
        <x:v>2.16</x:v>
      </x:c>
    </x:row>
    <x:row r="1742">
      <x:c r="A1742" s="187" t="n">
        <x:v>44911</x:v>
      </x:c>
      <x:c r="B1742" s="195" t="n">
        <x:v>3.48</x:v>
      </x:c>
      <x:c r="C1742" s="195" t="n">
        <x:v>1.35</x:v>
      </x:c>
      <x:c r="D1742" s="195" t="n">
        <x:f>IFERROR(B1742-C1742,"")</x:f>
        <x:v>2.13</x:v>
      </x:c>
    </x:row>
    <x:row r="1743">
      <x:c r="A1743" s="187" t="n">
        <x:v>44914</x:v>
      </x:c>
      <x:c r="B1743" s="195" t="n">
        <x:v>3.57</x:v>
      </x:c>
      <x:c r="C1743" s="195" t="n">
        <x:v>1.42</x:v>
      </x:c>
      <x:c r="D1743" s="195" t="n">
        <x:f>IFERROR(B1743-C1743,"")</x:f>
        <x:v>2.15</x:v>
      </x:c>
    </x:row>
    <x:row r="1744">
      <x:c r="A1744" s="187" t="n">
        <x:v>44915</x:v>
      </x:c>
      <x:c r="B1744" s="195" t="n">
        <x:v>3.69</x:v>
      </x:c>
      <x:c r="C1744" s="195" t="n">
        <x:v>1.45</x:v>
      </x:c>
      <x:c r="D1744" s="195" t="n">
        <x:f>IFERROR(B1744-C1744,"")</x:f>
        <x:v>2.24</x:v>
      </x:c>
    </x:row>
    <x:row r="1745">
      <x:c r="A1745" s="187" t="n">
        <x:v>44916</x:v>
      </x:c>
      <x:c r="B1745" s="195" t="n">
        <x:v>3.68</x:v>
      </x:c>
      <x:c r="C1745" s="195" t="n">
        <x:v>1.41</x:v>
      </x:c>
      <x:c r="D1745" s="195" t="n">
        <x:f>IFERROR(B1745-C1745,"")</x:f>
        <x:v>2.2700000000000005</x:v>
      </x:c>
    </x:row>
    <x:row r="1746">
      <x:c r="A1746" s="187" t="n">
        <x:v>44917</x:v>
      </x:c>
      <x:c r="B1746" s="195" t="n">
        <x:v>3.67</x:v>
      </x:c>
      <x:c r="C1746" s="195" t="n">
        <x:v>1.48</x:v>
      </x:c>
      <x:c r="D1746" s="195" t="n">
        <x:f>IFERROR(B1746-C1746,"")</x:f>
        <x:v>2.19</x:v>
      </x:c>
    </x:row>
    <x:row r="1747">
      <x:c r="A1747" s="187" t="n">
        <x:v>44918</x:v>
      </x:c>
      <x:c r="B1747" s="195" t="n">
        <x:v>3.75</x:v>
      </x:c>
      <x:c r="C1747" s="195" t="n">
        <x:v>1.55</x:v>
      </x:c>
      <x:c r="D1747" s="195" t="n">
        <x:f>IFERROR(B1747-C1747,"")</x:f>
        <x:v>2.2</x:v>
      </x:c>
    </x:row>
    <x:row r="1748">
      <x:c r="A1748" s="187" t="n">
        <x:v>44922</x:v>
      </x:c>
      <x:c r="B1748" s="195" t="n">
        <x:v>3.84</x:v>
      </x:c>
      <x:c r="C1748" s="195" t="n">
        <x:v>1.58</x:v>
      </x:c>
      <x:c r="D1748" s="195" t="n">
        <x:f>IFERROR(B1748-C1748,"")</x:f>
        <x:v>2.26</x:v>
      </x:c>
    </x:row>
    <x:row r="1749">
      <x:c r="A1749" s="187" t="n">
        <x:v>44923</x:v>
      </x:c>
      <x:c r="B1749" s="195" t="n">
        <x:v>3.88</x:v>
      </x:c>
      <x:c r="C1749" s="195" t="n">
        <x:v>1.6</x:v>
      </x:c>
      <x:c r="D1749" s="195" t="n">
        <x:f>IFERROR(B1749-C1749,"")</x:f>
        <x:v>2.28</x:v>
      </x:c>
    </x:row>
    <x:row r="1750">
      <x:c r="A1750" s="187" t="n">
        <x:v>44924</x:v>
      </x:c>
      <x:c r="B1750" s="195" t="n">
        <x:v>3.83</x:v>
      </x:c>
      <x:c r="C1750" s="195" t="n">
        <x:v>1.56</x:v>
      </x:c>
      <x:c r="D1750" s="195" t="n">
        <x:f>IFERROR(B1750-C1750,"")</x:f>
        <x:v>2.27</x:v>
      </x:c>
    </x:row>
    <x:row r="1751">
      <x:c r="A1751" s="187" t="n">
        <x:v>44925</x:v>
      </x:c>
      <x:c r="B1751" s="195" t="n">
        <x:v>3.88</x:v>
      </x:c>
      <x:c r="C1751" s="195" t="n">
        <x:v>1.58</x:v>
      </x:c>
      <x:c r="D1751" s="195" t="n">
        <x:f>IFERROR(B1751-C1751,"")</x:f>
        <x:v>2.3</x:v>
      </x:c>
    </x:row>
    <x:row r="1752">
      <x:c r="A1752" s="187" t="n">
        <x:v>44929</x:v>
      </x:c>
      <x:c r="B1752" s="195" t="n">
        <x:v>3.79</x:v>
      </x:c>
      <x:c r="C1752" s="195" t="n">
        <x:v>1.53</x:v>
      </x:c>
      <x:c r="D1752" s="195" t="n">
        <x:f>IFERROR(B1752-C1752,"")</x:f>
        <x:v>2.26</x:v>
      </x:c>
    </x:row>
    <x:row r="1753">
      <x:c r="A1753" s="187" t="n">
        <x:v>44930</x:v>
      </x:c>
      <x:c r="B1753" s="195" t="n">
        <x:v>3.69</x:v>
      </x:c>
      <x:c r="C1753" s="195" t="n">
        <x:v>1.47</x:v>
      </x:c>
      <x:c r="D1753" s="195" t="n">
        <x:f>IFERROR(B1753-C1753,"")</x:f>
        <x:v>2.2199999999999998</x:v>
      </x:c>
    </x:row>
    <x:row r="1754">
      <x:c r="A1754" s="187" t="n">
        <x:v>44931</x:v>
      </x:c>
      <x:c r="B1754" s="195" t="n">
        <x:v>3.71</x:v>
      </x:c>
      <x:c r="C1754" s="195" t="n">
        <x:v>1.49</x:v>
      </x:c>
      <x:c r="D1754" s="195" t="n">
        <x:f>IFERROR(B1754-C1754,"")</x:f>
        <x:v>2.2199999999999998</x:v>
      </x:c>
    </x:row>
    <x:row r="1755">
      <x:c r="A1755" s="187" t="n">
        <x:v>44932</x:v>
      </x:c>
      <x:c r="B1755" s="195" t="n">
        <x:v>3.55</x:v>
      </x:c>
      <x:c r="C1755" s="195" t="n">
        <x:v>1.34</x:v>
      </x:c>
      <x:c r="D1755" s="195" t="n">
        <x:f>IFERROR(B1755-C1755,"")</x:f>
        <x:v>2.21</x:v>
      </x:c>
    </x:row>
    <x:row r="1756">
      <x:c r="A1756" s="187" t="n">
        <x:v>44935</x:v>
      </x:c>
      <x:c r="B1756" s="195" t="n">
        <x:v>3.53</x:v>
      </x:c>
      <x:c r="C1756" s="195" t="n">
        <x:v>1.31</x:v>
      </x:c>
      <x:c r="D1756" s="195" t="n">
        <x:f>IFERROR(B1756-C1756,"")</x:f>
        <x:v>2.2199999999999998</x:v>
      </x:c>
    </x:row>
    <x:row r="1757">
      <x:c r="A1757" s="187" t="n">
        <x:v>44936</x:v>
      </x:c>
      <x:c r="B1757" s="195" t="n">
        <x:v>3.61</x:v>
      </x:c>
      <x:c r="C1757" s="195" t="n">
        <x:v>1.37</x:v>
      </x:c>
      <x:c r="D1757" s="195" t="n">
        <x:f>IFERROR(B1757-C1757,"")</x:f>
        <x:v>2.2399999999999998</x:v>
      </x:c>
    </x:row>
    <x:row r="1758">
      <x:c r="A1758" s="187" t="n">
        <x:v>44937</x:v>
      </x:c>
      <x:c r="B1758" s="195" t="n">
        <x:v>3.54</x:v>
      </x:c>
      <x:c r="C1758" s="195" t="n">
        <x:v>1.31</x:v>
      </x:c>
      <x:c r="D1758" s="195" t="n">
        <x:f>IFERROR(B1758-C1758,"")</x:f>
        <x:v>2.23</x:v>
      </x:c>
    </x:row>
    <x:row r="1759">
      <x:c r="A1759" s="187" t="n">
        <x:v>44938</x:v>
      </x:c>
      <x:c r="B1759" s="195" t="n">
        <x:v>3.43</x:v>
      </x:c>
      <x:c r="C1759" s="195" t="n">
        <x:v>1.22</x:v>
      </x:c>
      <x:c r="D1759" s="195" t="n">
        <x:f>IFERROR(B1759-C1759,"")</x:f>
        <x:v>2.21</x:v>
      </x:c>
    </x:row>
    <x:row r="1760">
      <x:c r="A1760" s="187" t="n">
        <x:v>44939</x:v>
      </x:c>
      <x:c r="B1760" s="195" t="n">
        <x:v>3.49</x:v>
      </x:c>
      <x:c r="C1760" s="195" t="n">
        <x:v>1.31</x:v>
      </x:c>
      <x:c r="D1760" s="195" t="n">
        <x:f>IFERROR(B1760-C1760,"")</x:f>
        <x:v>2.18</x:v>
      </x:c>
    </x:row>
    <x:row r="1761">
      <x:c r="A1761" s="187" t="n">
        <x:v>44943</x:v>
      </x:c>
      <x:c r="B1761" s="195" t="n">
        <x:v>3.53</x:v>
      </x:c>
      <x:c r="C1761" s="195" t="n">
        <x:v>1.36</x:v>
      </x:c>
      <x:c r="D1761" s="195" t="n">
        <x:f>IFERROR(B1761-C1761,"")</x:f>
        <x:v>2.17</x:v>
      </x:c>
    </x:row>
    <x:row r="1762">
      <x:c r="A1762" s="187" t="n">
        <x:v>44944</x:v>
      </x:c>
      <x:c r="B1762" s="195" t="n">
        <x:v>3.37</x:v>
      </x:c>
      <x:c r="C1762" s="195" t="n">
        <x:v>1.25</x:v>
      </x:c>
      <x:c r="D1762" s="195" t="n">
        <x:f>IFERROR(B1762-C1762,"")</x:f>
        <x:v>2.12</x:v>
      </x:c>
    </x:row>
    <x:row r="1763">
      <x:c r="A1763" s="187" t="n">
        <x:v>44945</x:v>
      </x:c>
      <x:c r="B1763" s="195" t="n">
        <x:v>3.39</x:v>
      </x:c>
      <x:c r="C1763" s="195" t="n">
        <x:v>1.19</x:v>
      </x:c>
      <x:c r="D1763" s="195" t="n">
        <x:f>IFERROR(B1763-C1763,"")</x:f>
        <x:v>2.2</x:v>
      </x:c>
    </x:row>
    <x:row r="1764">
      <x:c r="A1764" s="187" t="n">
        <x:v>44946</x:v>
      </x:c>
      <x:c r="B1764" s="195" t="n">
        <x:v>3.48</x:v>
      </x:c>
      <x:c r="C1764" s="195" t="n">
        <x:v>1.25</x:v>
      </x:c>
      <x:c r="D1764" s="195" t="n">
        <x:f>IFERROR(B1764-C1764,"")</x:f>
        <x:v>2.23</x:v>
      </x:c>
    </x:row>
    <x:row r="1765">
      <x:c r="A1765" s="187" t="n">
        <x:v>44949</x:v>
      </x:c>
      <x:c r="B1765" s="195" t="n">
        <x:v>3.52</x:v>
      </x:c>
      <x:c r="C1765" s="195" t="n">
        <x:v>1.24</x:v>
      </x:c>
      <x:c r="D1765" s="195" t="n">
        <x:f>IFERROR(B1765-C1765,"")</x:f>
        <x:v>2.2800000000000002</x:v>
      </x:c>
    </x:row>
    <x:row r="1766">
      <x:c r="A1766" s="187" t="n">
        <x:v>44950</x:v>
      </x:c>
      <x:c r="B1766" s="195" t="n">
        <x:v>3.46</x:v>
      </x:c>
      <x:c r="C1766" s="195" t="n">
        <x:v>1.19</x:v>
      </x:c>
      <x:c r="D1766" s="195" t="n">
        <x:f>IFERROR(B1766-C1766,"")</x:f>
        <x:v>2.27</x:v>
      </x:c>
    </x:row>
    <x:row r="1767">
      <x:c r="A1767" s="187" t="n">
        <x:v>44951</x:v>
      </x:c>
      <x:c r="B1767" s="195" t="n">
        <x:v>3.46</x:v>
      </x:c>
      <x:c r="C1767" s="195" t="n">
        <x:v>1.17</x:v>
      </x:c>
      <x:c r="D1767" s="195" t="n">
        <x:f>IFERROR(B1767-C1767,"")</x:f>
        <x:v>2.29</x:v>
      </x:c>
    </x:row>
    <x:row r="1768">
      <x:c r="A1768" s="187" t="n">
        <x:v>44952</x:v>
      </x:c>
      <x:c r="B1768" s="195" t="n">
        <x:v>3.49</x:v>
      </x:c>
      <x:c r="C1768" s="195" t="n">
        <x:v>1.16</x:v>
      </x:c>
      <x:c r="D1768" s="195" t="n">
        <x:f>IFERROR(B1768-C1768,"")</x:f>
        <x:v>2.33</x:v>
      </x:c>
    </x:row>
    <x:row r="1769">
      <x:c r="A1769" s="187" t="n">
        <x:v>44953</x:v>
      </x:c>
      <x:c r="B1769" s="195" t="n">
        <x:v>3.52</x:v>
      </x:c>
      <x:c r="C1769" s="195" t="n">
        <x:v>1.19</x:v>
      </x:c>
      <x:c r="D1769" s="195" t="n">
        <x:f>IFERROR(B1769-C1769,"")</x:f>
        <x:v>2.33</x:v>
      </x:c>
    </x:row>
    <x:row r="1770">
      <x:c r="A1770" s="187" t="n">
        <x:v>44956</x:v>
      </x:c>
      <x:c r="B1770" s="195" t="n">
        <x:v>3.55</x:v>
      </x:c>
      <x:c r="C1770" s="195" t="n">
        <x:v>1.26</x:v>
      </x:c>
      <x:c r="D1770" s="195" t="n">
        <x:f>IFERROR(B1770-C1770,"")</x:f>
        <x:v>2.29</x:v>
      </x:c>
    </x:row>
    <x:row r="1771">
      <x:c r="A1771" s="187" t="n">
        <x:v>44957</x:v>
      </x:c>
      <x:c r="B1771" s="195" t="n">
        <x:v>3.52</x:v>
      </x:c>
      <x:c r="C1771" s="195" t="n">
        <x:v>1.28</x:v>
      </x:c>
      <x:c r="D1771" s="195" t="n">
        <x:f>IFERROR(B1771-C1771,"")</x:f>
        <x:v>2.24</x:v>
      </x:c>
    </x:row>
    <x:row r="1772">
      <x:c r="A1772" s="187" t="n">
        <x:v>44958</x:v>
      </x:c>
      <x:c r="B1772" s="195" t="n">
        <x:v>3.39</x:v>
      </x:c>
      <x:c r="C1772" s="195" t="n">
        <x:v>1.14</x:v>
      </x:c>
      <x:c r="D1772" s="195" t="n">
        <x:f>IFERROR(B1772-C1772,"")</x:f>
        <x:v>2.25</x:v>
      </x:c>
    </x:row>
    <x:row r="1773">
      <x:c r="A1773" s="187" t="n">
        <x:v>44959</x:v>
      </x:c>
      <x:c r="B1773" s="195" t="n">
        <x:v>3.4</x:v>
      </x:c>
      <x:c r="C1773" s="195" t="n">
        <x:v>1.18</x:v>
      </x:c>
      <x:c r="D1773" s="195" t="n">
        <x:f>IFERROR(B1773-C1773,"")</x:f>
        <x:v>2.2199999999999998</x:v>
      </x:c>
    </x:row>
    <x:row r="1774">
      <x:c r="A1774" s="187" t="n">
        <x:v>44960</x:v>
      </x:c>
      <x:c r="B1774" s="195" t="n">
        <x:v>3.53</x:v>
      </x:c>
      <x:c r="C1774" s="195" t="n">
        <x:v>1.31</x:v>
      </x:c>
      <x:c r="D1774" s="195" t="n">
        <x:f>IFERROR(B1774-C1774,"")</x:f>
        <x:v>2.2199999999999998</x:v>
      </x:c>
    </x:row>
    <x:row r="1775">
      <x:c r="A1775" s="187" t="n">
        <x:v>44963</x:v>
      </x:c>
      <x:c r="B1775" s="195" t="n">
        <x:v>3.63</x:v>
      </x:c>
      <x:c r="C1775" s="195" t="n">
        <x:v>1.38</x:v>
      </x:c>
      <x:c r="D1775" s="195" t="n">
        <x:f>IFERROR(B1775-C1775,"")</x:f>
        <x:v>2.25</x:v>
      </x:c>
    </x:row>
    <x:row r="1776">
      <x:c r="A1776" s="187" t="n">
        <x:v>44964</x:v>
      </x:c>
      <x:c r="B1776" s="195" t="n">
        <x:v>3.67</x:v>
      </x:c>
      <x:c r="C1776" s="195" t="n">
        <x:v>1.36</x:v>
      </x:c>
      <x:c r="D1776" s="195" t="n">
        <x:f>IFERROR(B1776-C1776,"")</x:f>
        <x:v>2.3099999999999996</x:v>
      </x:c>
    </x:row>
    <x:row r="1777">
      <x:c r="A1777" s="187" t="n">
        <x:v>44965</x:v>
      </x:c>
      <x:c r="B1777" s="195" t="n">
        <x:v>3.63</x:v>
      </x:c>
      <x:c r="C1777" s="195" t="n">
        <x:v>1.29</x:v>
      </x:c>
      <x:c r="D1777" s="195" t="n">
        <x:f>IFERROR(B1777-C1777,"")</x:f>
        <x:v>2.34</x:v>
      </x:c>
    </x:row>
    <x:row r="1778">
      <x:c r="A1778" s="187" t="n">
        <x:v>44966</x:v>
      </x:c>
      <x:c r="B1778" s="195" t="n">
        <x:v>3.67</x:v>
      </x:c>
      <x:c r="C1778" s="195" t="n">
        <x:v>1.34</x:v>
      </x:c>
      <x:c r="D1778" s="195" t="n">
        <x:f>IFERROR(B1778-C1778,"")</x:f>
        <x:v>2.33</x:v>
      </x:c>
    </x:row>
    <x:row r="1779">
      <x:c r="A1779" s="187" t="n">
        <x:v>44967</x:v>
      </x:c>
      <x:c r="B1779" s="195" t="n">
        <x:v>3.74</x:v>
      </x:c>
      <x:c r="C1779" s="195" t="n">
        <x:v>1.41</x:v>
      </x:c>
      <x:c r="D1779" s="195" t="n">
        <x:f>IFERROR(B1779-C1779,"")</x:f>
        <x:v>2.33</x:v>
      </x:c>
    </x:row>
    <x:row r="1780">
      <x:c r="A1780" s="187" t="n">
        <x:v>44970</x:v>
      </x:c>
      <x:c r="B1780" s="195" t="n">
        <x:v>3.72</x:v>
      </x:c>
      <x:c r="C1780" s="195" t="n">
        <x:v>1.41</x:v>
      </x:c>
      <x:c r="D1780" s="195" t="n">
        <x:f>IFERROR(B1780-C1780,"")</x:f>
        <x:v>2.3100000000000005</x:v>
      </x:c>
    </x:row>
    <x:row r="1781">
      <x:c r="A1781" s="187" t="n">
        <x:v>44971</x:v>
      </x:c>
      <x:c r="B1781" s="195" t="n">
        <x:v>3.77</x:v>
      </x:c>
      <x:c r="C1781" s="195" t="n">
        <x:v>1.46</x:v>
      </x:c>
      <x:c r="D1781" s="195" t="n">
        <x:f>IFERROR(B1781-C1781,"")</x:f>
        <x:v>2.31</x:v>
      </x:c>
    </x:row>
    <x:row r="1782">
      <x:c r="A1782" s="187" t="n">
        <x:v>44972</x:v>
      </x:c>
      <x:c r="B1782" s="195" t="n">
        <x:v>3.81</x:v>
      </x:c>
      <x:c r="C1782" s="195" t="n">
        <x:v>1.46</x:v>
      </x:c>
      <x:c r="D1782" s="195" t="n">
        <x:f>IFERROR(B1782-C1782,"")</x:f>
        <x:v>2.35</x:v>
      </x:c>
    </x:row>
    <x:row r="1783">
      <x:c r="A1783" s="187" t="n">
        <x:v>44973</x:v>
      </x:c>
      <x:c r="B1783" s="195" t="n">
        <x:v>3.86</x:v>
      </x:c>
      <x:c r="C1783" s="195" t="n">
        <x:v>1.49</x:v>
      </x:c>
      <x:c r="D1783" s="195" t="n">
        <x:f>IFERROR(B1783-C1783,"")</x:f>
        <x:v>2.37</x:v>
      </x:c>
    </x:row>
    <x:row r="1784">
      <x:c r="A1784" s="187" t="n">
        <x:v>44974</x:v>
      </x:c>
      <x:c r="B1784" s="195" t="n">
        <x:v>3.82</x:v>
      </x:c>
      <x:c r="C1784" s="195" t="n">
        <x:v>1.46</x:v>
      </x:c>
      <x:c r="D1784" s="195" t="n">
        <x:f>IFERROR(B1784-C1784,"")</x:f>
        <x:v>2.36</x:v>
      </x:c>
    </x:row>
    <x:row r="1785">
      <x:c r="A1785" s="187" t="n">
        <x:v>44978</x:v>
      </x:c>
      <x:c r="B1785" s="195" t="n">
        <x:v>3.95</x:v>
      </x:c>
      <x:c r="C1785" s="195" t="n">
        <x:v>1.53</x:v>
      </x:c>
      <x:c r="D1785" s="195" t="n">
        <x:f>IFERROR(B1785-C1785,"")</x:f>
        <x:v>2.42</x:v>
      </x:c>
    </x:row>
    <x:row r="1786">
      <x:c r="A1786" s="187" t="n">
        <x:v>44979</x:v>
      </x:c>
      <x:c r="B1786" s="195" t="n">
        <x:v>3.93</x:v>
      </x:c>
      <x:c r="C1786" s="195" t="n">
        <x:v>1.52</x:v>
      </x:c>
      <x:c r="D1786" s="195" t="n">
        <x:f>IFERROR(B1786-C1786,"")</x:f>
        <x:v>2.41</x:v>
      </x:c>
    </x:row>
    <x:row r="1787">
      <x:c r="A1787" s="187" t="n">
        <x:v>44980</x:v>
      </x:c>
      <x:c r="B1787" s="195" t="n">
        <x:v>3.88</x:v>
      </x:c>
      <x:c r="C1787" s="195" t="n">
        <x:v>1.49</x:v>
      </x:c>
      <x:c r="D1787" s="195" t="n">
        <x:f>IFERROR(B1787-C1787,"")</x:f>
        <x:v>2.3899999999999997</x:v>
      </x:c>
    </x:row>
    <x:row r="1788">
      <x:c r="A1788" s="187" t="n">
        <x:v>44981</x:v>
      </x:c>
      <x:c r="B1788" s="195" t="n">
        <x:v>3.95</x:v>
      </x:c>
      <x:c r="C1788" s="195" t="n">
        <x:v>1.57</x:v>
      </x:c>
      <x:c r="D1788" s="195" t="n">
        <x:f>IFERROR(B1788-C1788,"")</x:f>
        <x:v>2.38</x:v>
      </x:c>
    </x:row>
    <x:row r="1789">
      <x:c r="A1789" s="187" t="n">
        <x:v>44984</x:v>
      </x:c>
      <x:c r="B1789" s="195" t="n">
        <x:v>3.92</x:v>
      </x:c>
      <x:c r="C1789" s="195" t="n">
        <x:v>1.56</x:v>
      </x:c>
      <x:c r="D1789" s="195" t="n">
        <x:f>IFERROR(B1789-C1789,"")</x:f>
        <x:v>2.36</x:v>
      </x:c>
    </x:row>
    <x:row r="1790">
      <x:c r="A1790" s="187" t="n">
        <x:v>44985</x:v>
      </x:c>
      <x:c r="B1790" s="195" t="n">
        <x:v>3.92</x:v>
      </x:c>
      <x:c r="C1790" s="195" t="n">
        <x:v>1.49</x:v>
      </x:c>
      <x:c r="D1790" s="195" t="n">
        <x:f>IFERROR(B1790-C1790,"")</x:f>
        <x:v>2.4299999999999997</x:v>
      </x:c>
    </x:row>
    <x:row r="1791">
      <x:c r="A1791" s="187" t="n">
        <x:v>44986</x:v>
      </x:c>
      <x:c r="B1791" s="195" t="n">
        <x:v>4.01</x:v>
      </x:c>
      <x:c r="C1791" s="195" t="n">
        <x:v>1.57</x:v>
      </x:c>
      <x:c r="D1791" s="195" t="n">
        <x:f>IFERROR(B1791-C1791,"")</x:f>
        <x:v>2.4399999999999995</x:v>
      </x:c>
    </x:row>
    <x:row r="1792">
      <x:c r="A1792" s="187" t="n">
        <x:v>44987</x:v>
      </x:c>
      <x:c r="B1792" s="195" t="n">
        <x:v>4.08</x:v>
      </x:c>
      <x:c r="C1792" s="195" t="n">
        <x:v>1.6</x:v>
      </x:c>
      <x:c r="D1792" s="195" t="n">
        <x:f>IFERROR(B1792-C1792,"")</x:f>
        <x:v>2.48</x:v>
      </x:c>
    </x:row>
    <x:row r="1793">
      <x:c r="A1793" s="187" t="n">
        <x:v>44988</x:v>
      </x:c>
      <x:c r="B1793" s="195" t="n">
        <x:v>3.97</x:v>
      </x:c>
      <x:c r="C1793" s="195" t="n">
        <x:v>1.45</x:v>
      </x:c>
      <x:c r="D1793" s="195" t="n">
        <x:f>IFERROR(B1793-C1793,"")</x:f>
        <x:v>2.5200000000000005</x:v>
      </x:c>
    </x:row>
    <x:row r="1794">
      <x:c r="A1794" s="187" t="n">
        <x:v>44991</x:v>
      </x:c>
      <x:c r="B1794" s="195" t="n">
        <x:v>3.98</x:v>
      </x:c>
      <x:c r="C1794" s="195" t="n">
        <x:v>1.49</x:v>
      </x:c>
      <x:c r="D1794" s="195" t="n">
        <x:f>IFERROR(B1794-C1794,"")</x:f>
        <x:v>2.49</x:v>
      </x:c>
    </x:row>
    <x:row r="1795">
      <x:c r="A1795" s="187" t="n">
        <x:v>44992</x:v>
      </x:c>
      <x:c r="B1795" s="195" t="n">
        <x:v>3.97</x:v>
      </x:c>
      <x:c r="C1795" s="195" t="n">
        <x:v>1.59</x:v>
      </x:c>
      <x:c r="D1795" s="195" t="n">
        <x:f>IFERROR(B1795-C1795,"")</x:f>
        <x:v>2.38</x:v>
      </x:c>
    </x:row>
    <x:row r="1796">
      <x:c r="A1796" s="187" t="n">
        <x:v>44993</x:v>
      </x:c>
      <x:c r="B1796" s="195" t="n">
        <x:v>3.98</x:v>
      </x:c>
      <x:c r="C1796" s="195" t="n">
        <x:v>1.66</x:v>
      </x:c>
      <x:c r="D1796" s="195" t="n">
        <x:f>IFERROR(B1796-C1796,"")</x:f>
        <x:v>2.3200000000000003</x:v>
      </x:c>
    </x:row>
    <x:row r="1797">
      <x:c r="A1797" s="187" t="n">
        <x:v>44994</x:v>
      </x:c>
      <x:c r="B1797" s="195" t="n">
        <x:v>3.93</x:v>
      </x:c>
      <x:c r="C1797" s="195" t="n">
        <x:v>1.63</x:v>
      </x:c>
      <x:c r="D1797" s="195" t="n">
        <x:f>IFERROR(B1797-C1797,"")</x:f>
        <x:v>2.3000000000000003</x:v>
      </x:c>
    </x:row>
    <x:row r="1798">
      <x:c r="A1798" s="187" t="n">
        <x:v>44995</x:v>
      </x:c>
      <x:c r="B1798" s="195" t="n">
        <x:v>3.7</x:v>
      </x:c>
      <x:c r="C1798" s="195" t="n">
        <x:v>1.44</x:v>
      </x:c>
      <x:c r="D1798" s="195" t="n">
        <x:f>IFERROR(B1798-C1798,"")</x:f>
        <x:v>2.2600000000000002</x:v>
      </x:c>
    </x:row>
    <x:row r="1799">
      <x:c r="A1799" s="187" t="n">
        <x:v>44998</x:v>
      </x:c>
      <x:c r="B1799" s="195" t="n">
        <x:v>3.55</x:v>
      </x:c>
      <x:c r="C1799" s="195" t="n">
        <x:v>1.31</x:v>
      </x:c>
      <x:c r="D1799" s="195" t="n">
        <x:f>IFERROR(B1799-C1799,"")</x:f>
        <x:v>2.2399999999999998</x:v>
      </x:c>
    </x:row>
    <x:row r="1800">
      <x:c r="A1800" s="187" t="n">
        <x:v>44999</x:v>
      </x:c>
      <x:c r="B1800" s="195" t="n">
        <x:v>3.64</x:v>
      </x:c>
      <x:c r="C1800" s="195" t="n">
        <x:v>1.33</x:v>
      </x:c>
      <x:c r="D1800" s="195" t="n">
        <x:f>IFERROR(B1800-C1800,"")</x:f>
        <x:v>2.31</x:v>
      </x:c>
    </x:row>
    <x:row r="1801">
      <x:c r="A1801" s="187" t="n">
        <x:v>45000</x:v>
      </x:c>
      <x:c r="B1801" s="195" t="n">
        <x:v>3.51</x:v>
      </x:c>
      <x:c r="C1801" s="195" t="n">
        <x:v>1.22</x:v>
      </x:c>
      <x:c r="D1801" s="195" t="n">
        <x:f>IFERROR(B1801-C1801,"")</x:f>
        <x:v>2.29</x:v>
      </x:c>
    </x:row>
    <x:row r="1802">
      <x:c r="A1802" s="187" t="n">
        <x:v>45001</x:v>
      </x:c>
      <x:c r="B1802" s="195" t="n">
        <x:v>3.56</x:v>
      </x:c>
      <x:c r="C1802" s="195" t="n">
        <x:v>1.34</x:v>
      </x:c>
      <x:c r="D1802" s="195" t="n">
        <x:f>IFERROR(B1802-C1802,"")</x:f>
        <x:v>2.2199999999999998</x:v>
      </x:c>
    </x:row>
    <x:row r="1803">
      <x:c r="A1803" s="187" t="n">
        <x:v>45002</x:v>
      </x:c>
      <x:c r="B1803" s="195" t="n">
        <x:v>3.39</x:v>
      </x:c>
      <x:c r="C1803" s="195" t="n">
        <x:v>1.29</x:v>
      </x:c>
      <x:c r="D1803" s="195" t="n">
        <x:f>IFERROR(B1803-C1803,"")</x:f>
        <x:v>2.1</x:v>
      </x:c>
    </x:row>
    <x:row r="1804">
      <x:c r="A1804" s="187" t="n">
        <x:v>45005</x:v>
      </x:c>
      <x:c r="B1804" s="195" t="n">
        <x:v>3.47</x:v>
      </x:c>
      <x:c r="C1804" s="195" t="n">
        <x:v>1.33</x:v>
      </x:c>
      <x:c r="D1804" s="195" t="n">
        <x:f>IFERROR(B1804-C1804,"")</x:f>
        <x:v>2.14</x:v>
      </x:c>
    </x:row>
    <x:row r="1805">
      <x:c r="A1805" s="187" t="n">
        <x:v>45006</x:v>
      </x:c>
      <x:c r="B1805" s="195" t="n">
        <x:v>3.59</x:v>
      </x:c>
      <x:c r="C1805" s="195" t="n">
        <x:v>1.36</x:v>
      </x:c>
      <x:c r="D1805" s="195" t="n">
        <x:f>IFERROR(B1805-C1805,"")</x:f>
        <x:v>2.2299999999999995</x:v>
      </x:c>
    </x:row>
    <x:row r="1806">
      <x:c r="A1806" s="187" t="n">
        <x:v>45007</x:v>
      </x:c>
      <x:c r="B1806" s="195" t="n">
        <x:v>3.48</x:v>
      </x:c>
      <x:c r="C1806" s="195" t="n">
        <x:v>1.2</x:v>
      </x:c>
      <x:c r="D1806" s="195" t="n">
        <x:f>IFERROR(B1806-C1806,"")</x:f>
        <x:v>2.2800000000000002</x:v>
      </x:c>
    </x:row>
    <x:row r="1807">
      <x:c r="A1807" s="187" t="n">
        <x:v>45008</x:v>
      </x:c>
      <x:c r="B1807" s="195" t="n">
        <x:v>3.38</x:v>
      </x:c>
      <x:c r="C1807" s="195" t="n">
        <x:v>1.19</x:v>
      </x:c>
      <x:c r="D1807" s="195" t="n">
        <x:f>IFERROR(B1807-C1807,"")</x:f>
        <x:v>2.19</x:v>
      </x:c>
    </x:row>
    <x:row r="1808">
      <x:c r="A1808" s="187" t="n">
        <x:v>45009</x:v>
      </x:c>
      <x:c r="B1808" s="195" t="n">
        <x:v>3.38</x:v>
      </x:c>
      <x:c r="C1808" s="195" t="n">
        <x:v>1.16</x:v>
      </x:c>
      <x:c r="D1808" s="195" t="n">
        <x:f>IFERROR(B1808-C1808,"")</x:f>
        <x:v>2.2199999999999998</x:v>
      </x:c>
    </x:row>
    <x:row r="1809">
      <x:c r="A1809" s="187" t="n">
        <x:v>45012</x:v>
      </x:c>
      <x:c r="B1809" s="195" t="n">
        <x:v>3.53</x:v>
      </x:c>
      <x:c r="C1809" s="195" t="n">
        <x:v>1.29</x:v>
      </x:c>
      <x:c r="D1809" s="195" t="n">
        <x:f>IFERROR(B1809-C1809,"")</x:f>
        <x:v>2.2399999999999998</x:v>
      </x:c>
    </x:row>
    <x:row r="1810">
      <x:c r="A1810" s="187" t="n">
        <x:v>45013</x:v>
      </x:c>
      <x:c r="B1810" s="195" t="n">
        <x:v>3.55</x:v>
      </x:c>
      <x:c r="C1810" s="195" t="n">
        <x:v>1.24</x:v>
      </x:c>
      <x:c r="D1810" s="195" t="n">
        <x:f>IFERROR(B1810-C1810,"")</x:f>
        <x:v>2.3099999999999996</x:v>
      </x:c>
    </x:row>
    <x:row r="1811">
      <x:c r="A1811" s="187" t="n">
        <x:v>45014</x:v>
      </x:c>
      <x:c r="B1811" s="195" t="n">
        <x:v>3.57</x:v>
      </x:c>
      <x:c r="C1811" s="195" t="n">
        <x:v>1.24</x:v>
      </x:c>
      <x:c r="D1811" s="195" t="n">
        <x:f>IFERROR(B1811-C1811,"")</x:f>
        <x:v>2.33</x:v>
      </x:c>
    </x:row>
    <x:row r="1812">
      <x:c r="A1812" s="187" t="n">
        <x:v>45015</x:v>
      </x:c>
      <x:c r="B1812" s="195" t="n">
        <x:v>3.55</x:v>
      </x:c>
      <x:c r="C1812" s="195" t="n">
        <x:v>1.21</x:v>
      </x:c>
      <x:c r="D1812" s="195" t="n">
        <x:f>IFERROR(B1812-C1812,"")</x:f>
        <x:v>2.34</x:v>
      </x:c>
    </x:row>
    <x:row r="1813">
      <x:c r="A1813" s="187" t="n">
        <x:v>45016</x:v>
      </x:c>
      <x:c r="B1813" s="195" t="n">
        <x:v>3.48</x:v>
      </x:c>
      <x:c r="C1813" s="195" t="n">
        <x:v>1.16</x:v>
      </x:c>
      <x:c r="D1813" s="195" t="n">
        <x:f>IFERROR(B1813-C1813,"")</x:f>
        <x:v>2.3200000000000003</x:v>
      </x:c>
    </x:row>
    <x:row r="1814">
      <x:c r="A1814" s="187" t="n">
        <x:v>45019</x:v>
      </x:c>
      <x:c r="B1814" s="195" t="n">
        <x:v>3.43</x:v>
      </x:c>
      <x:c r="C1814" s="195" t="n">
        <x:v>1.14</x:v>
      </x:c>
      <x:c r="D1814" s="195" t="n">
        <x:f>IFERROR(B1814-C1814,"")</x:f>
        <x:v>2.29</x:v>
      </x:c>
    </x:row>
    <x:row r="1815">
      <x:c r="A1815" s="187" t="n">
        <x:v>45020</x:v>
      </x:c>
      <x:c r="B1815" s="195" t="n">
        <x:v>3.35</x:v>
      </x:c>
      <x:c r="C1815" s="195" t="n">
        <x:v>1.1</x:v>
      </x:c>
      <x:c r="D1815" s="195" t="n">
        <x:f>IFERROR(B1815-C1815,"")</x:f>
        <x:v>2.25</x:v>
      </x:c>
    </x:row>
    <x:row r="1816">
      <x:c r="A1816" s="187" t="n">
        <x:v>45021</x:v>
      </x:c>
      <x:c r="B1816" s="195" t="n">
        <x:v>3.3</x:v>
      </x:c>
      <x:c r="C1816" s="195" t="n">
        <x:v>1.07</x:v>
      </x:c>
      <x:c r="D1816" s="195" t="n">
        <x:f>IFERROR(B1816-C1816,"")</x:f>
        <x:v>2.2299999999999995</x:v>
      </x:c>
    </x:row>
    <x:row r="1817">
      <x:c r="A1817" s="187" t="n">
        <x:v>45022</x:v>
      </x:c>
      <x:c r="B1817" s="195" t="n">
        <x:v>3.3</x:v>
      </x:c>
      <x:c r="C1817" s="195" t="n">
        <x:v>1.06</x:v>
      </x:c>
      <x:c r="D1817" s="195" t="n">
        <x:f>IFERROR(B1817-C1817,"")</x:f>
        <x:v>2.2399999999999998</x:v>
      </x:c>
    </x:row>
    <x:row r="1818">
      <x:c r="A1818" s="187" t="n">
        <x:v>45023</x:v>
      </x:c>
      <x:c r="B1818" s="195" t="n">
        <x:v>3.39</x:v>
      </x:c>
      <x:c r="C1818" s="195" t="n">
        <x:v>1.14</x:v>
      </x:c>
      <x:c r="D1818" s="195" t="n">
        <x:f>IFERROR(B1818-C1818,"")</x:f>
        <x:v>2.25</x:v>
      </x:c>
    </x:row>
    <x:row r="1819">
      <x:c r="A1819" s="187" t="n">
        <x:v>45026</x:v>
      </x:c>
      <x:c r="B1819" s="195" t="n">
        <x:v>3.41</x:v>
      </x:c>
      <x:c r="C1819" s="195" t="n">
        <x:v>1.14</x:v>
      </x:c>
      <x:c r="D1819" s="195" t="n">
        <x:f>IFERROR(B1819-C1819,"")</x:f>
        <x:v>2.2700000000000005</x:v>
      </x:c>
    </x:row>
    <x:row r="1820">
      <x:c r="A1820" s="187" t="n">
        <x:v>45027</x:v>
      </x:c>
      <x:c r="B1820" s="195" t="n">
        <x:v>3.43</x:v>
      </x:c>
      <x:c r="C1820" s="195" t="n">
        <x:v>1.14</x:v>
      </x:c>
      <x:c r="D1820" s="195" t="n">
        <x:f>IFERROR(B1820-C1820,"")</x:f>
        <x:v>2.29</x:v>
      </x:c>
    </x:row>
    <x:row r="1821">
      <x:c r="A1821" s="187" t="n">
        <x:v>45028</x:v>
      </x:c>
      <x:c r="B1821" s="195" t="n">
        <x:v>3.41</x:v>
      </x:c>
      <x:c r="C1821" s="195" t="n">
        <x:v>1.14</x:v>
      </x:c>
      <x:c r="D1821" s="195" t="n">
        <x:f>IFERROR(B1821-C1821,"")</x:f>
        <x:v>2.2700000000000005</x:v>
      </x:c>
    </x:row>
    <x:row r="1822">
      <x:c r="A1822" s="187" t="n">
        <x:v>45029</x:v>
      </x:c>
      <x:c r="B1822" s="195" t="n">
        <x:v>3.45</x:v>
      </x:c>
      <x:c r="C1822" s="195" t="n">
        <x:v>1.16</x:v>
      </x:c>
      <x:c r="D1822" s="195" t="n">
        <x:f>IFERROR(B1822-C1822,"")</x:f>
        <x:v>2.29</x:v>
      </x:c>
    </x:row>
    <x:row r="1823">
      <x:c r="A1823" s="187" t="n">
        <x:v>45030</x:v>
      </x:c>
      <x:c r="B1823" s="195" t="n">
        <x:v>3.52</x:v>
      </x:c>
      <x:c r="C1823" s="195" t="n">
        <x:v>1.22</x:v>
      </x:c>
      <x:c r="D1823" s="195" t="n">
        <x:f>IFERROR(B1823-C1823,"")</x:f>
        <x:v>2.3</x:v>
      </x:c>
    </x:row>
    <x:row r="1824">
      <x:c r="A1824" s="187" t="n">
        <x:v>45033</x:v>
      </x:c>
      <x:c r="B1824" s="195" t="n">
        <x:v>3.6</x:v>
      </x:c>
      <x:c r="C1824" s="195" t="n">
        <x:v>1.28</x:v>
      </x:c>
      <x:c r="D1824" s="195" t="n">
        <x:f>IFERROR(B1824-C1824,"")</x:f>
        <x:v>2.3200000000000003</x:v>
      </x:c>
    </x:row>
    <x:row r="1825">
      <x:c r="A1825" s="187" t="n">
        <x:v>45034</x:v>
      </x:c>
      <x:c r="B1825" s="195" t="n">
        <x:v>3.58</x:v>
      </x:c>
      <x:c r="C1825" s="195" t="n">
        <x:v>1.3</x:v>
      </x:c>
      <x:c r="D1825" s="195" t="n">
        <x:f>IFERROR(B1825-C1825,"")</x:f>
        <x:v>2.2800000000000002</x:v>
      </x:c>
    </x:row>
    <x:row r="1826">
      <x:c r="A1826" s="187" t="n">
        <x:v>45035</x:v>
      </x:c>
      <x:c r="B1826" s="195" t="n">
        <x:v>3.6</x:v>
      </x:c>
      <x:c r="C1826" s="195" t="n">
        <x:v>1.32</x:v>
      </x:c>
      <x:c r="D1826" s="195" t="n">
        <x:f>IFERROR(B1826-C1826,"")</x:f>
        <x:v>2.2800000000000002</x:v>
      </x:c>
    </x:row>
    <x:row r="1827">
      <x:c r="A1827" s="187" t="n">
        <x:v>45036</x:v>
      </x:c>
      <x:c r="B1827" s="195" t="n">
        <x:v>3.54</x:v>
      </x:c>
      <x:c r="C1827" s="195" t="n">
        <x:v>1.28</x:v>
      </x:c>
      <x:c r="D1827" s="195" t="n">
        <x:f>IFERROR(B1827-C1827,"")</x:f>
        <x:v>2.26</x:v>
      </x:c>
    </x:row>
    <x:row r="1828">
      <x:c r="A1828" s="187" t="n">
        <x:v>45037</x:v>
      </x:c>
      <x:c r="B1828" s="195" t="n">
        <x:v>3.57</x:v>
      </x:c>
      <x:c r="C1828" s="195" t="n">
        <x:v>1.29</x:v>
      </x:c>
      <x:c r="D1828" s="195" t="n">
        <x:f>IFERROR(B1828-C1828,"")</x:f>
        <x:v>2.28</x:v>
      </x:c>
    </x:row>
    <x:row r="1829">
      <x:c r="A1829" s="187" t="n">
        <x:v>45040</x:v>
      </x:c>
      <x:c r="B1829" s="195" t="n">
        <x:v>3.52</x:v>
      </x:c>
      <x:c r="C1829" s="195" t="n">
        <x:v>1.24</x:v>
      </x:c>
      <x:c r="D1829" s="195" t="n">
        <x:f>IFERROR(B1829-C1829,"")</x:f>
        <x:v>2.2800000000000002</x:v>
      </x:c>
    </x:row>
    <x:row r="1830">
      <x:c r="A1830" s="187" t="n">
        <x:v>45041</x:v>
      </x:c>
      <x:c r="B1830" s="195" t="n">
        <x:v>3.4</x:v>
      </x:c>
      <x:c r="C1830" s="195" t="n">
        <x:v>1.15</x:v>
      </x:c>
      <x:c r="D1830" s="195" t="n">
        <x:f>IFERROR(B1830-C1830,"")</x:f>
        <x:v>2.25</x:v>
      </x:c>
    </x:row>
    <x:row r="1831">
      <x:c r="A1831" s="187" t="n">
        <x:v>45042</x:v>
      </x:c>
      <x:c r="B1831" s="195" t="n">
        <x:v>3.43</x:v>
      </x:c>
      <x:c r="C1831" s="195" t="n">
        <x:v>1.18</x:v>
      </x:c>
      <x:c r="D1831" s="195" t="n">
        <x:f>IFERROR(B1831-C1831,"")</x:f>
        <x:v>2.25</x:v>
      </x:c>
    </x:row>
    <x:row r="1832">
      <x:c r="A1832" s="187" t="n">
        <x:v>45043</x:v>
      </x:c>
      <x:c r="B1832" s="195" t="n">
        <x:v>3.53</x:v>
      </x:c>
      <x:c r="C1832" s="195" t="n">
        <x:v>1.26</x:v>
      </x:c>
      <x:c r="D1832" s="195" t="n">
        <x:f>IFERROR(B1832-C1832,"")</x:f>
        <x:v>2.2699999999999996</x:v>
      </x:c>
    </x:row>
    <x:row r="1833">
      <x:c r="A1833" s="187" t="n">
        <x:v>45044</x:v>
      </x:c>
      <x:c r="B1833" s="195" t="n">
        <x:v>3.44</x:v>
      </x:c>
      <x:c r="C1833" s="195" t="n">
        <x:v>1.26</x:v>
      </x:c>
      <x:c r="D1833" s="195" t="n">
        <x:f>IFERROR(B1833-C1833,"")</x:f>
        <x:v>2.1799999999999997</x:v>
      </x:c>
    </x:row>
    <x:row r="1834">
      <x:c r="A1834" s="187" t="n">
        <x:v>45047</x:v>
      </x:c>
      <x:c r="B1834" s="195" t="n">
        <x:v>3.59</x:v>
      </x:c>
      <x:c r="C1834" s="195" t="n">
        <x:v>1.36</x:v>
      </x:c>
      <x:c r="D1834" s="195" t="n">
        <x:f>IFERROR(B1834-C1834,"")</x:f>
        <x:v>2.2299999999999995</x:v>
      </x:c>
    </x:row>
    <x:row r="1835">
      <x:c r="A1835" s="187" t="n">
        <x:v>45048</x:v>
      </x:c>
      <x:c r="B1835" s="195" t="n">
        <x:v>3.44</x:v>
      </x:c>
      <x:c r="C1835" s="195" t="n">
        <x:v>1.24</x:v>
      </x:c>
      <x:c r="D1835" s="195" t="n">
        <x:f>IFERROR(B1835-C1835,"")</x:f>
        <x:v>2.2</x:v>
      </x:c>
    </x:row>
    <x:row r="1836">
      <x:c r="A1836" s="187" t="n">
        <x:v>45049</x:v>
      </x:c>
      <x:c r="B1836" s="195" t="n">
        <x:v>3.38</x:v>
      </x:c>
      <x:c r="C1836" s="195" t="n">
        <x:v>1.18</x:v>
      </x:c>
      <x:c r="D1836" s="195" t="n">
        <x:f>IFERROR(B1836-C1836,"")</x:f>
        <x:v>2.2</x:v>
      </x:c>
    </x:row>
    <x:row r="1837">
      <x:c r="A1837" s="187" t="n">
        <x:v>45050</x:v>
      </x:c>
      <x:c r="B1837" s="195" t="n">
        <x:v>3.37</x:v>
      </x:c>
      <x:c r="C1837" s="195" t="n">
        <x:v>1.18</x:v>
      </x:c>
      <x:c r="D1837" s="195" t="n">
        <x:f>IFERROR(B1837-C1837,"")</x:f>
        <x:v>2.1900000000000004</x:v>
      </x:c>
    </x:row>
    <x:row r="1838">
      <x:c r="A1838" s="187" t="n">
        <x:v>45051</x:v>
      </x:c>
      <x:c r="B1838" s="195" t="n">
        <x:v>3.44</x:v>
      </x:c>
      <x:c r="C1838" s="195" t="n">
        <x:v>1.23</x:v>
      </x:c>
      <x:c r="D1838" s="195" t="n">
        <x:f>IFERROR(B1838-C1838,"")</x:f>
        <x:v>2.21</x:v>
      </x:c>
    </x:row>
    <x:row r="1839">
      <x:c r="A1839" s="187" t="n">
        <x:v>45054</x:v>
      </x:c>
      <x:c r="B1839" s="195" t="n">
        <x:v>3.52</x:v>
      </x:c>
      <x:c r="C1839" s="195" t="n">
        <x:v>1.29</x:v>
      </x:c>
      <x:c r="D1839" s="195" t="n">
        <x:f>IFERROR(B1839-C1839,"")</x:f>
        <x:v>2.23</x:v>
      </x:c>
    </x:row>
    <x:row r="1840">
      <x:c r="A1840" s="187" t="n">
        <x:v>45055</x:v>
      </x:c>
      <x:c r="B1840" s="195" t="n">
        <x:v>3.53</x:v>
      </x:c>
      <x:c r="C1840" s="195" t="n">
        <x:v>1.3</x:v>
      </x:c>
      <x:c r="D1840" s="195" t="n">
        <x:f>IFERROR(B1840-C1840,"")</x:f>
        <x:v>2.2299999999999995</x:v>
      </x:c>
    </x:row>
    <x:row r="1841">
      <x:c r="A1841" s="187" t="n">
        <x:v>45056</x:v>
      </x:c>
      <x:c r="B1841" s="195" t="n">
        <x:v>3.43</x:v>
      </x:c>
      <x:c r="C1841" s="195" t="n">
        <x:v>1.26</x:v>
      </x:c>
      <x:c r="D1841" s="195" t="n">
        <x:f>IFERROR(B1841-C1841,"")</x:f>
        <x:v>2.17</x:v>
      </x:c>
    </x:row>
    <x:row r="1842">
      <x:c r="A1842" s="187" t="n">
        <x:v>45057</x:v>
      </x:c>
      <x:c r="B1842" s="195" t="n">
        <x:v>3.39</x:v>
      </x:c>
      <x:c r="C1842" s="195" t="n">
        <x:v>1.23</x:v>
      </x:c>
      <x:c r="D1842" s="195" t="n">
        <x:f>IFERROR(B1842-C1842,"")</x:f>
        <x:v>2.16</x:v>
      </x:c>
    </x:row>
    <x:row r="1843">
      <x:c r="A1843" s="187" t="n">
        <x:v>45058</x:v>
      </x:c>
      <x:c r="B1843" s="195" t="n">
        <x:v>3.46</x:v>
      </x:c>
      <x:c r="C1843" s="195" t="n">
        <x:v>1.28</x:v>
      </x:c>
      <x:c r="D1843" s="195" t="n">
        <x:f>IFERROR(B1843-C1843,"")</x:f>
        <x:v>2.1799999999999997</x:v>
      </x:c>
    </x:row>
    <x:row r="1844">
      <x:c r="A1844" s="187" t="n">
        <x:v>45061</x:v>
      </x:c>
      <x:c r="B1844" s="195" t="n">
        <x:v>3.5</x:v>
      </x:c>
      <x:c r="C1844" s="195" t="n">
        <x:v>1.31</x:v>
      </x:c>
      <x:c r="D1844" s="195" t="n">
        <x:f>IFERROR(B1844-C1844,"")</x:f>
        <x:v>2.19</x:v>
      </x:c>
    </x:row>
    <x:row r="1845">
      <x:c r="A1845" s="187" t="n">
        <x:v>45062</x:v>
      </x:c>
      <x:c r="B1845" s="195" t="n">
        <x:v>3.54</x:v>
      </x:c>
      <x:c r="C1845" s="195" t="n">
        <x:v>1.35</x:v>
      </x:c>
      <x:c r="D1845" s="195" t="n">
        <x:f>IFERROR(B1845-C1845,"")</x:f>
        <x:v>2.19</x:v>
      </x:c>
    </x:row>
    <x:row r="1846">
      <x:c r="A1846" s="187" t="n">
        <x:v>45063</x:v>
      </x:c>
      <x:c r="B1846" s="195" t="n">
        <x:v>3.57</x:v>
      </x:c>
      <x:c r="C1846" s="195" t="n">
        <x:v>1.35</x:v>
      </x:c>
      <x:c r="D1846" s="195" t="n">
        <x:f>IFERROR(B1846-C1846,"")</x:f>
        <x:v>2.2199999999999998</x:v>
      </x:c>
    </x:row>
    <x:row r="1847">
      <x:c r="A1847" s="187" t="n">
        <x:v>45064</x:v>
      </x:c>
      <x:c r="B1847" s="195" t="n">
        <x:v>3.65</x:v>
      </x:c>
      <x:c r="C1847" s="195" t="n">
        <x:v>1.42</x:v>
      </x:c>
      <x:c r="D1847" s="195" t="n">
        <x:f>IFERROR(B1847-C1847,"")</x:f>
        <x:v>2.23</x:v>
      </x:c>
    </x:row>
    <x:row r="1848">
      <x:c r="A1848" s="187" t="n">
        <x:v>45065</x:v>
      </x:c>
      <x:c r="B1848" s="195" t="n">
        <x:v>3.7</x:v>
      </x:c>
      <x:c r="C1848" s="195" t="n">
        <x:v>1.46</x:v>
      </x:c>
      <x:c r="D1848" s="195" t="n">
        <x:f>IFERROR(B1848-C1848,"")</x:f>
        <x:v>2.24</x:v>
      </x:c>
    </x:row>
    <x:row r="1849">
      <x:c r="A1849" s="187" t="n">
        <x:v>45068</x:v>
      </x:c>
      <x:c r="B1849" s="195" t="n">
        <x:v>3.72</x:v>
      </x:c>
      <x:c r="C1849" s="195" t="n">
        <x:v>1.48</x:v>
      </x:c>
      <x:c r="D1849" s="195" t="n">
        <x:f>IFERROR(B1849-C1849,"")</x:f>
        <x:v>2.24</x:v>
      </x:c>
    </x:row>
    <x:row r="1850">
      <x:c r="A1850" s="187" t="n">
        <x:v>45069</x:v>
      </x:c>
      <x:c r="B1850" s="195" t="n">
        <x:v>3.7</x:v>
      </x:c>
      <x:c r="C1850" s="195" t="n">
        <x:v>1.44</x:v>
      </x:c>
      <x:c r="D1850" s="195" t="n">
        <x:f>IFERROR(B1850-C1850,"")</x:f>
        <x:v>2.2600000000000002</x:v>
      </x:c>
    </x:row>
    <x:row r="1851">
      <x:c r="A1851" s="187" t="n">
        <x:v>45070</x:v>
      </x:c>
      <x:c r="B1851" s="195" t="n">
        <x:v>3.73</x:v>
      </x:c>
      <x:c r="C1851" s="195" t="n">
        <x:v>1.48</x:v>
      </x:c>
      <x:c r="D1851" s="195" t="n">
        <x:f>IFERROR(B1851-C1851,"")</x:f>
        <x:v>2.25</x:v>
      </x:c>
    </x:row>
    <x:row r="1852">
      <x:c r="A1852" s="187" t="n">
        <x:v>45071</x:v>
      </x:c>
      <x:c r="B1852" s="195" t="n">
        <x:v>3.83</x:v>
      </x:c>
      <x:c r="C1852" s="195" t="n">
        <x:v>1.58</x:v>
      </x:c>
      <x:c r="D1852" s="195" t="n">
        <x:f>IFERROR(B1852-C1852,"")</x:f>
        <x:v>2.25</x:v>
      </x:c>
    </x:row>
    <x:row r="1853">
      <x:c r="A1853" s="187" t="n">
        <x:v>45072</x:v>
      </x:c>
      <x:c r="B1853" s="195" t="n">
        <x:v>3.8</x:v>
      </x:c>
      <x:c r="C1853" s="195" t="n">
        <x:v>1.57</x:v>
      </x:c>
      <x:c r="D1853" s="195" t="n">
        <x:f>IFERROR(B1853-C1853,"")</x:f>
        <x:v>2.2299999999999995</x:v>
      </x:c>
    </x:row>
    <x:row r="1854">
      <x:c r="A1854" s="187" t="n">
        <x:v>45076</x:v>
      </x:c>
      <x:c r="B1854" s="195" t="n">
        <x:v>3.69</x:v>
      </x:c>
      <x:c r="C1854" s="195" t="n">
        <x:v>1.47</x:v>
      </x:c>
      <x:c r="D1854" s="195" t="n">
        <x:f>IFERROR(B1854-C1854,"")</x:f>
        <x:v>2.2199999999999998</x:v>
      </x:c>
    </x:row>
    <x:row r="1855">
      <x:c r="A1855" s="187" t="n">
        <x:v>45077</x:v>
      </x:c>
      <x:c r="B1855" s="195" t="n">
        <x:v>3.64</x:v>
      </x:c>
      <x:c r="C1855" s="195" t="n">
        <x:v>1.46</x:v>
      </x:c>
      <x:c r="D1855" s="195" t="n">
        <x:f>IFERROR(B1855-C1855,"")</x:f>
        <x:v>2.18</x:v>
      </x:c>
    </x:row>
    <x:row r="1856">
      <x:c r="A1856" s="187" t="n">
        <x:v>45078</x:v>
      </x:c>
      <x:c r="B1856" s="195" t="n">
        <x:v>3.61</x:v>
      </x:c>
      <x:c r="C1856" s="195" t="n">
        <x:v>1.45</x:v>
      </x:c>
      <x:c r="D1856" s="195" t="n">
        <x:f>IFERROR(B1856-C1856,"")</x:f>
        <x:v>2.16</x:v>
      </x:c>
    </x:row>
    <x:row r="1857">
      <x:c r="A1857" s="187" t="n">
        <x:v>45079</x:v>
      </x:c>
      <x:c r="B1857" s="195" t="n">
        <x:v>3.69</x:v>
      </x:c>
      <x:c r="C1857" s="195" t="n">
        <x:v>1.51</x:v>
      </x:c>
      <x:c r="D1857" s="195" t="n">
        <x:f>IFERROR(B1857-C1857,"")</x:f>
        <x:v>2.1799999999999997</x:v>
      </x:c>
    </x:row>
    <x:row r="1858">
      <x:c r="A1858" s="187" t="n">
        <x:v>45082</x:v>
      </x:c>
      <x:c r="B1858" s="195" t="n">
        <x:v>3.69</x:v>
      </x:c>
      <x:c r="C1858" s="195" t="n">
        <x:v>1.5</x:v>
      </x:c>
      <x:c r="D1858" s="195" t="n">
        <x:f>IFERROR(B1858-C1858,"")</x:f>
        <x:v>2.19</x:v>
      </x:c>
    </x:row>
    <x:row r="1859">
      <x:c r="A1859" s="187" t="n">
        <x:v>45083</x:v>
      </x:c>
      <x:c r="B1859" s="195" t="n">
        <x:v>3.7</x:v>
      </x:c>
      <x:c r="C1859" s="195" t="n">
        <x:v>1.5</x:v>
      </x:c>
      <x:c r="D1859" s="195" t="n">
        <x:f>IFERROR(B1859-C1859,"")</x:f>
        <x:v>2.2</x:v>
      </x:c>
    </x:row>
    <x:row r="1860">
      <x:c r="A1860" s="187" t="n">
        <x:v>45084</x:v>
      </x:c>
      <x:c r="B1860" s="195" t="n">
        <x:v>3.79</x:v>
      </x:c>
      <x:c r="C1860" s="195" t="n">
        <x:v>1.58</x:v>
      </x:c>
      <x:c r="D1860" s="195" t="n">
        <x:f>IFERROR(B1860-C1860,"")</x:f>
        <x:v>2.21</x:v>
      </x:c>
    </x:row>
    <x:row r="1861">
      <x:c r="A1861" s="187" t="n">
        <x:v>45085</x:v>
      </x:c>
      <x:c r="B1861" s="195" t="n">
        <x:v>3.73</x:v>
      </x:c>
      <x:c r="C1861" s="195" t="n">
        <x:v>1.53</x:v>
      </x:c>
      <x:c r="D1861" s="195" t="n">
        <x:f>IFERROR(B1861-C1861,"")</x:f>
        <x:v>2.2</x:v>
      </x:c>
    </x:row>
    <x:row r="1862">
      <x:c r="A1862" s="187" t="n">
        <x:v>45086</x:v>
      </x:c>
      <x:c r="B1862" s="195" t="n">
        <x:v>3.75</x:v>
      </x:c>
      <x:c r="C1862" s="195" t="n">
        <x:v>1.55</x:v>
      </x:c>
      <x:c r="D1862" s="195" t="n">
        <x:f>IFERROR(B1862-C1862,"")</x:f>
        <x:v>2.2</x:v>
      </x:c>
    </x:row>
    <x:row r="1863">
      <x:c r="A1863" s="187" t="n">
        <x:v>45089</x:v>
      </x:c>
      <x:c r="B1863" s="195" t="n">
        <x:v>3.73</x:v>
      </x:c>
      <x:c r="C1863" s="195" t="n">
        <x:v>1.56</x:v>
      </x:c>
      <x:c r="D1863" s="195" t="n">
        <x:f>IFERROR(B1863-C1863,"")</x:f>
        <x:v>2.17</x:v>
      </x:c>
    </x:row>
    <x:row r="1864">
      <x:c r="A1864" s="187" t="n">
        <x:v>45090</x:v>
      </x:c>
      <x:c r="B1864" s="195" t="n">
        <x:v>3.84</x:v>
      </x:c>
      <x:c r="C1864" s="195" t="n">
        <x:v>1.64</x:v>
      </x:c>
      <x:c r="D1864" s="195" t="n">
        <x:f>IFERROR(B1864-C1864,"")</x:f>
        <x:v>2.2</x:v>
      </x:c>
    </x:row>
    <x:row r="1865">
      <x:c r="A1865" s="187" t="n">
        <x:v>45091</x:v>
      </x:c>
      <x:c r="B1865" s="195" t="n">
        <x:v>3.83</x:v>
      </x:c>
      <x:c r="C1865" s="195" t="n">
        <x:v>1.62</x:v>
      </x:c>
      <x:c r="D1865" s="195" t="n">
        <x:f>IFERROR(B1865-C1865,"")</x:f>
        <x:v>2.21</x:v>
      </x:c>
    </x:row>
    <x:row r="1866">
      <x:c r="A1866" s="187" t="n">
        <x:v>45092</x:v>
      </x:c>
      <x:c r="B1866" s="195" t="n">
        <x:v>3.72</x:v>
      </x:c>
      <x:c r="C1866" s="195" t="n">
        <x:v>1.51</x:v>
      </x:c>
      <x:c r="D1866" s="195" t="n">
        <x:f>IFERROR(B1866-C1866,"")</x:f>
        <x:v>2.21</x:v>
      </x:c>
    </x:row>
    <x:row r="1867">
      <x:c r="A1867" s="187" t="n">
        <x:v>45093</x:v>
      </x:c>
      <x:c r="B1867" s="195" t="n">
        <x:v>3.77</x:v>
      </x:c>
      <x:c r="C1867" s="195" t="n">
        <x:v>1.55</x:v>
      </x:c>
      <x:c r="D1867" s="195" t="n">
        <x:f>IFERROR(B1867-C1867,"")</x:f>
        <x:v>2.2199999999999998</x:v>
      </x:c>
    </x:row>
    <x:row r="1868">
      <x:c r="A1868" s="187" t="n">
        <x:v>45097</x:v>
      </x:c>
      <x:c r="B1868" s="195" t="n">
        <x:v>3.74</x:v>
      </x:c>
      <x:c r="C1868" s="195" t="n">
        <x:v>1.52</x:v>
      </x:c>
      <x:c r="D1868" s="195" t="n">
        <x:f>IFERROR(B1868-C1868,"")</x:f>
        <x:v>2.22</x:v>
      </x:c>
    </x:row>
    <x:row r="1869">
      <x:c r="A1869" s="187" t="n">
        <x:v>45098</x:v>
      </x:c>
      <x:c r="B1869" s="195" t="n">
        <x:v>3.72</x:v>
      </x:c>
      <x:c r="C1869" s="195" t="n">
        <x:v>1.51</x:v>
      </x:c>
      <x:c r="D1869" s="195" t="n">
        <x:f>IFERROR(B1869-C1869,"")</x:f>
        <x:v>2.21</x:v>
      </x:c>
    </x:row>
    <x:row r="1870">
      <x:c r="A1870" s="187" t="n">
        <x:v>45099</x:v>
      </x:c>
      <x:c r="B1870" s="195" t="n">
        <x:v>3.8</x:v>
      </x:c>
      <x:c r="C1870" s="195" t="n">
        <x:v>1.56</x:v>
      </x:c>
      <x:c r="D1870" s="195" t="n">
        <x:f>IFERROR(B1870-C1870,"")</x:f>
        <x:v>2.2399999999999998</x:v>
      </x:c>
    </x:row>
    <x:row r="1871">
      <x:c r="A1871" s="187" t="n">
        <x:v>45100</x:v>
      </x:c>
      <x:c r="B1871" s="195" t="n">
        <x:v>3.74</x:v>
      </x:c>
      <x:c r="C1871" s="195" t="n">
        <x:v>1.53</x:v>
      </x:c>
      <x:c r="D1871" s="195" t="n">
        <x:f>IFERROR(B1871-C1871,"")</x:f>
        <x:v>2.21</x:v>
      </x:c>
    </x:row>
    <x:row r="1872">
      <x:c r="A1872" s="187" t="n">
        <x:v>45103</x:v>
      </x:c>
      <x:c r="B1872" s="195" t="n">
        <x:v>3.72</x:v>
      </x:c>
      <x:c r="C1872" s="195" t="n">
        <x:v>1.54</x:v>
      </x:c>
      <x:c r="D1872" s="195" t="n">
        <x:f>IFERROR(B1872-C1872,"")</x:f>
        <x:v>2.18</x:v>
      </x:c>
    </x:row>
    <x:row r="1873">
      <x:c r="A1873" s="187" t="n">
        <x:v>45104</x:v>
      </x:c>
      <x:c r="B1873" s="195" t="n">
        <x:v>3.77</x:v>
      </x:c>
      <x:c r="C1873" s="195" t="n">
        <x:v>1.57</x:v>
      </x:c>
      <x:c r="D1873" s="195" t="n">
        <x:f>IFERROR(B1873-C1873,"")</x:f>
        <x:v>2.2</x:v>
      </x:c>
    </x:row>
    <x:row r="1874">
      <x:c r="A1874" s="187" t="n">
        <x:v>45105</x:v>
      </x:c>
      <x:c r="B1874" s="195" t="n">
        <x:v>3.71</x:v>
      </x:c>
      <x:c r="C1874" s="195" t="n">
        <x:v>1.53</x:v>
      </x:c>
      <x:c r="D1874" s="195" t="n">
        <x:f>IFERROR(B1874-C1874,"")</x:f>
        <x:v>2.1799999999999997</x:v>
      </x:c>
    </x:row>
    <x:row r="1875">
      <x:c r="A1875" s="187" t="n">
        <x:v>45106</x:v>
      </x:c>
      <x:c r="B1875" s="195" t="n">
        <x:v>3.85</x:v>
      </x:c>
      <x:c r="C1875" s="195" t="n">
        <x:v>1.65</x:v>
      </x:c>
      <x:c r="D1875" s="195" t="n">
        <x:f>IFERROR(B1875-C1875,"")</x:f>
        <x:v>2.2</x:v>
      </x:c>
    </x:row>
    <x:row r="1876">
      <x:c r="A1876" s="187" t="n">
        <x:v>45107</x:v>
      </x:c>
      <x:c r="B1876" s="195" t="n">
        <x:v>3.81</x:v>
      </x:c>
      <x:c r="C1876" s="195" t="n">
        <x:v>1.59</x:v>
      </x:c>
      <x:c r="D1876" s="195" t="n">
        <x:f>IFERROR(B1876-C1876,"")</x:f>
        <x:v>2.2199999999999998</x:v>
      </x:c>
    </x:row>
    <x:row r="1877">
      <x:c r="A1877" s="187" t="n">
        <x:v>45110</x:v>
      </x:c>
      <x:c r="B1877" s="195" t="n">
        <x:v>3.86</x:v>
      </x:c>
      <x:c r="C1877" s="195" t="n">
        <x:v>1.61</x:v>
      </x:c>
      <x:c r="D1877" s="195" t="n">
        <x:f>IFERROR(B1877-C1877,"")</x:f>
        <x:v>2.25</x:v>
      </x:c>
    </x:row>
    <x:row r="1878">
      <x:c r="A1878" s="187" t="n">
        <x:v>45112</x:v>
      </x:c>
      <x:c r="B1878" s="195" t="n">
        <x:v>3.95</x:v>
      </x:c>
      <x:c r="C1878" s="195" t="n">
        <x:v>1.69</x:v>
      </x:c>
      <x:c r="D1878" s="195" t="n">
        <x:f>IFERROR(B1878-C1878,"")</x:f>
        <x:v>2.2600000000000002</x:v>
      </x:c>
    </x:row>
    <x:row r="1879">
      <x:c r="A1879" s="187" t="n">
        <x:v>45113</x:v>
      </x:c>
      <x:c r="B1879" s="195" t="n">
        <x:v>4.05</x:v>
      </x:c>
      <x:c r="C1879" s="195" t="n">
        <x:v>1.78</x:v>
      </x:c>
      <x:c r="D1879" s="195" t="n">
        <x:f>IFERROR(B1879-C1879,"")</x:f>
        <x:v>2.2699999999999996</x:v>
      </x:c>
    </x:row>
    <x:row r="1880">
      <x:c r="A1880" s="187" t="n">
        <x:v>45114</x:v>
      </x:c>
      <x:c r="B1880" s="195" t="n">
        <x:v>4.06</x:v>
      </x:c>
      <x:c r="C1880" s="195" t="n">
        <x:v>1.79</x:v>
      </x:c>
      <x:c r="D1880" s="195" t="n">
        <x:f>IFERROR(B1880-C1880,"")</x:f>
        <x:v>2.2699999999999996</x:v>
      </x:c>
    </x:row>
    <x:row r="1881">
      <x:c r="A1881" s="187" t="n">
        <x:v>45117</x:v>
      </x:c>
      <x:c r="B1881" s="195" t="n">
        <x:v>4.01</x:v>
      </x:c>
      <x:c r="C1881" s="195" t="n">
        <x:v>1.76</x:v>
      </x:c>
      <x:c r="D1881" s="195" t="n">
        <x:f>IFERROR(B1881-C1881,"")</x:f>
        <x:v>2.25</x:v>
      </x:c>
    </x:row>
    <x:row r="1882">
      <x:c r="A1882" s="187" t="n">
        <x:v>45118</x:v>
      </x:c>
      <x:c r="B1882" s="195" t="n">
        <x:v>3.99</x:v>
      </x:c>
      <x:c r="C1882" s="195" t="n">
        <x:v>1.75</x:v>
      </x:c>
      <x:c r="D1882" s="195" t="n">
        <x:f>IFERROR(B1882-C1882,"")</x:f>
        <x:v>2.24</x:v>
      </x:c>
    </x:row>
    <x:row r="1883">
      <x:c r="A1883" s="187" t="n">
        <x:v>45119</x:v>
      </x:c>
      <x:c r="B1883" s="195" t="n">
        <x:v>3.86</x:v>
      </x:c>
      <x:c r="C1883" s="195" t="n">
        <x:v>1.6</x:v>
      </x:c>
      <x:c r="D1883" s="195" t="n">
        <x:f>IFERROR(B1883-C1883,"")</x:f>
        <x:v>2.26</x:v>
      </x:c>
    </x:row>
    <x:row r="1884">
      <x:c r="A1884" s="187" t="n">
        <x:v>45120</x:v>
      </x:c>
      <x:c r="B1884" s="195" t="n">
        <x:v>3.76</x:v>
      </x:c>
      <x:c r="C1884" s="195" t="n">
        <x:v>1.52</x:v>
      </x:c>
      <x:c r="D1884" s="195" t="n">
        <x:f>IFERROR(B1884-C1884,"")</x:f>
        <x:v>2.2399999999999998</x:v>
      </x:c>
    </x:row>
    <x:row r="1885">
      <x:c r="A1885" s="187" t="n">
        <x:v>45121</x:v>
      </x:c>
      <x:c r="B1885" s="195" t="n">
        <x:v>3.83</x:v>
      </x:c>
      <x:c r="C1885" s="195" t="n">
        <x:v>1.59</x:v>
      </x:c>
      <x:c r="D1885" s="195" t="n">
        <x:f>IFERROR(B1885-C1885,"")</x:f>
        <x:v>2.24</x:v>
      </x:c>
    </x:row>
    <x:row r="1886">
      <x:c r="A1886" s="187" t="n">
        <x:v>45124</x:v>
      </x:c>
      <x:c r="B1886" s="195" t="n">
        <x:v>3.81</x:v>
      </x:c>
      <x:c r="C1886" s="195" t="n">
        <x:v>1.56</x:v>
      </x:c>
      <x:c r="D1886" s="195" t="n">
        <x:f>IFERROR(B1886-C1886,"")</x:f>
        <x:v>2.25</x:v>
      </x:c>
    </x:row>
    <x:row r="1887">
      <x:c r="A1887" s="187" t="n">
        <x:v>45125</x:v>
      </x:c>
      <x:c r="B1887" s="195" t="n">
        <x:v>3.8</x:v>
      </x:c>
      <x:c r="C1887" s="195" t="n">
        <x:v>1.57</x:v>
      </x:c>
      <x:c r="D1887" s="195" t="n">
        <x:f>IFERROR(B1887-C1887,"")</x:f>
        <x:v>2.2299999999999995</x:v>
      </x:c>
    </x:row>
    <x:row r="1888">
      <x:c r="A1888" s="187" t="n">
        <x:v>45126</x:v>
      </x:c>
      <x:c r="B1888" s="195" t="n">
        <x:v>3.75</x:v>
      </x:c>
      <x:c r="C1888" s="195" t="n">
        <x:v>1.53</x:v>
      </x:c>
      <x:c r="D1888" s="195" t="n">
        <x:f>IFERROR(B1888-C1888,"")</x:f>
        <x:v>2.2199999999999998</x:v>
      </x:c>
    </x:row>
    <x:row r="1889">
      <x:c r="A1889" s="187" t="n">
        <x:v>45127</x:v>
      </x:c>
      <x:c r="B1889" s="195" t="n">
        <x:v>3.85</x:v>
      </x:c>
      <x:c r="C1889" s="195" t="n">
        <x:v>1.5</x:v>
      </x:c>
      <x:c r="D1889" s="195" t="n">
        <x:f>IFERROR(B1889-C1889,"")</x:f>
        <x:v>2.35</x:v>
      </x:c>
    </x:row>
    <x:row r="1890">
      <x:c r="A1890" s="187" t="n">
        <x:v>45128</x:v>
      </x:c>
      <x:c r="B1890" s="195" t="n">
        <x:v>3.84</x:v>
      </x:c>
      <x:c r="C1890" s="195" t="n">
        <x:v>1.49</x:v>
      </x:c>
      <x:c r="D1890" s="195" t="n">
        <x:f>IFERROR(B1890-C1890,"")</x:f>
        <x:v>2.3499999999999996</x:v>
      </x:c>
    </x:row>
    <x:row r="1891">
      <x:c r="A1891" s="187" t="n">
        <x:v>45131</x:v>
      </x:c>
      <x:c r="B1891" s="195" t="n">
        <x:v>3.86</x:v>
      </x:c>
      <x:c r="C1891" s="195" t="n">
        <x:v>1.48</x:v>
      </x:c>
      <x:c r="D1891" s="195" t="n">
        <x:f>IFERROR(B1891-C1891,"")</x:f>
        <x:v>2.38</x:v>
      </x:c>
    </x:row>
    <x:row r="1892">
      <x:c r="A1892" s="187" t="n">
        <x:v>45132</x:v>
      </x:c>
      <x:c r="B1892" s="195" t="n">
        <x:v>3.91</x:v>
      </x:c>
      <x:c r="C1892" s="195" t="n">
        <x:v>1.52</x:v>
      </x:c>
      <x:c r="D1892" s="195" t="n">
        <x:f>IFERROR(B1892-C1892,"")</x:f>
        <x:v>2.39</x:v>
      </x:c>
    </x:row>
    <x:row r="1893">
      <x:c r="A1893" s="187" t="n">
        <x:v>45133</x:v>
      </x:c>
      <x:c r="B1893" s="195" t="n">
        <x:v>3.86</x:v>
      </x:c>
      <x:c r="C1893" s="195" t="n">
        <x:v>1.5</x:v>
      </x:c>
      <x:c r="D1893" s="195" t="n">
        <x:f>IFERROR(B1893-C1893,"")</x:f>
        <x:v>2.36</x:v>
      </x:c>
    </x:row>
    <x:row r="1894">
      <x:c r="A1894" s="187" t="n">
        <x:v>45134</x:v>
      </x:c>
      <x:c r="B1894" s="195" t="n">
        <x:v>4.01</x:v>
      </x:c>
      <x:c r="C1894" s="195" t="n">
        <x:v>1.64</x:v>
      </x:c>
      <x:c r="D1894" s="195" t="n">
        <x:f>IFERROR(B1894-C1894,"")</x:f>
        <x:v>2.37</x:v>
      </x:c>
    </x:row>
    <x:row r="1895">
      <x:c r="A1895" s="187" t="n">
        <x:v>45135</x:v>
      </x:c>
      <x:c r="B1895" s="195" t="n">
        <x:v>3.96</x:v>
      </x:c>
      <x:c r="C1895" s="195" t="n">
        <x:v>1.58</x:v>
      </x:c>
      <x:c r="D1895" s="195" t="n">
        <x:f>IFERROR(B1895-C1895,"")</x:f>
        <x:v>2.38</x:v>
      </x:c>
    </x:row>
    <x:row r="1896">
      <x:c r="A1896" s="187" t="n">
        <x:v>45138</x:v>
      </x:c>
      <x:c r="B1896" s="195" t="n">
        <x:v>3.97</x:v>
      </x:c>
      <x:c r="C1896" s="195" t="n">
        <x:v>1.6</x:v>
      </x:c>
      <x:c r="D1896" s="195" t="n">
        <x:f>IFERROR(B1896-C1896,"")</x:f>
        <x:v>2.37</x:v>
      </x:c>
    </x:row>
    <x:row r="1897">
      <x:c r="A1897" s="187" t="n">
        <x:v>45139</x:v>
      </x:c>
      <x:c r="B1897" s="195" t="n">
        <x:v>4.05</x:v>
      </x:c>
      <x:c r="C1897" s="195" t="n">
        <x:v>1.68</x:v>
      </x:c>
      <x:c r="D1897" s="195" t="n">
        <x:f>IFERROR(B1897-C1897,"")</x:f>
        <x:v>2.37</x:v>
      </x:c>
    </x:row>
    <x:row r="1898">
      <x:c r="A1898" s="187" t="n">
        <x:v>45140</x:v>
      </x:c>
      <x:c r="B1898" s="195" t="n">
        <x:v>4.08</x:v>
      </x:c>
      <x:c r="C1898" s="195" t="n">
        <x:v>1.72</x:v>
      </x:c>
      <x:c r="D1898" s="195" t="n">
        <x:f>IFERROR(B1898-C1898,"")</x:f>
        <x:v>2.3600000000000003</x:v>
      </x:c>
    </x:row>
    <x:row r="1899">
      <x:c r="A1899" s="187" t="n">
        <x:v>45141</x:v>
      </x:c>
      <x:c r="B1899" s="195" t="n">
        <x:v>4.2</x:v>
      </x:c>
      <x:c r="C1899" s="195" t="n">
        <x:v>1.83</x:v>
      </x:c>
      <x:c r="D1899" s="195" t="n">
        <x:f>IFERROR(B1899-C1899,"")</x:f>
        <x:v>2.37</x:v>
      </x:c>
    </x:row>
    <x:row r="1900">
      <x:c r="A1900" s="187" t="n">
        <x:v>45142</x:v>
      </x:c>
      <x:c r="B1900" s="195" t="n">
        <x:v>4.05</x:v>
      </x:c>
      <x:c r="C1900" s="195" t="n">
        <x:v>1.67</x:v>
      </x:c>
      <x:c r="D1900" s="195" t="n">
        <x:f>IFERROR(B1900-C1900,"")</x:f>
        <x:v>2.38</x:v>
      </x:c>
    </x:row>
    <x:row r="1901">
      <x:c r="A1901" s="187" t="n">
        <x:v>45145</x:v>
      </x:c>
      <x:c r="B1901" s="195" t="n">
        <x:v>4.09</x:v>
      </x:c>
      <x:c r="C1901" s="195" t="n">
        <x:v>1.68</x:v>
      </x:c>
      <x:c r="D1901" s="195" t="n">
        <x:f>IFERROR(B1901-C1901,"")</x:f>
        <x:v>2.41</x:v>
      </x:c>
    </x:row>
    <x:row r="1902">
      <x:c r="A1902" s="187" t="n">
        <x:v>45146</x:v>
      </x:c>
      <x:c r="B1902" s="195" t="n">
        <x:v>4.02</x:v>
      </x:c>
      <x:c r="C1902" s="195" t="n">
        <x:v>1.66</x:v>
      </x:c>
      <x:c r="D1902" s="195" t="n">
        <x:f>IFERROR(B1902-C1902,"")</x:f>
        <x:v>2.3599999999999994</x:v>
      </x:c>
    </x:row>
    <x:row r="1903">
      <x:c r="A1903" s="187" t="n">
        <x:v>45147</x:v>
      </x:c>
      <x:c r="B1903" s="195" t="n">
        <x:v>4</x:v>
      </x:c>
      <x:c r="C1903" s="195" t="n">
        <x:v>1.66</x:v>
      </x:c>
      <x:c r="D1903" s="195" t="n">
        <x:f>IFERROR(B1903-C1903,"")</x:f>
        <x:v>2.34</x:v>
      </x:c>
    </x:row>
    <x:row r="1904">
      <x:c r="A1904" s="187" t="n">
        <x:v>45148</x:v>
      </x:c>
      <x:c r="B1904" s="195" t="n">
        <x:v>4.09</x:v>
      </x:c>
      <x:c r="C1904" s="195" t="n">
        <x:v>1.76</x:v>
      </x:c>
      <x:c r="D1904" s="195" t="n">
        <x:f>IFERROR(B1904-C1904,"")</x:f>
        <x:v>2.33</x:v>
      </x:c>
    </x:row>
    <x:row r="1905">
      <x:c r="A1905" s="187" t="n">
        <x:v>45149</x:v>
      </x:c>
      <x:c r="B1905" s="195" t="n">
        <x:v>4.16</x:v>
      </x:c>
      <x:c r="C1905" s="195" t="n">
        <x:v>1.8</x:v>
      </x:c>
      <x:c r="D1905" s="195" t="n">
        <x:f>IFERROR(B1905-C1905,"")</x:f>
        <x:v>2.3600000000000003</x:v>
      </x:c>
    </x:row>
    <x:row r="1906">
      <x:c r="A1906" s="187" t="n">
        <x:v>45152</x:v>
      </x:c>
      <x:c r="B1906" s="195" t="n">
        <x:v>4.19</x:v>
      </x:c>
      <x:c r="C1906" s="195" t="n">
        <x:v>1.83</x:v>
      </x:c>
      <x:c r="D1906" s="195" t="n">
        <x:f>IFERROR(B1906-C1906,"")</x:f>
        <x:v>2.3600000000000003</x:v>
      </x:c>
    </x:row>
    <x:row r="1907">
      <x:c r="A1907" s="187" t="n">
        <x:v>45153</x:v>
      </x:c>
      <x:c r="B1907" s="195" t="n">
        <x:v>4.21</x:v>
      </x:c>
      <x:c r="C1907" s="195" t="n">
        <x:v>1.89</x:v>
      </x:c>
      <x:c r="D1907" s="195" t="n">
        <x:f>IFERROR(B1907-C1907,"")</x:f>
        <x:v>2.3200000000000003</x:v>
      </x:c>
    </x:row>
    <x:row r="1908">
      <x:c r="A1908" s="187" t="n">
        <x:v>45154</x:v>
      </x:c>
      <x:c r="B1908" s="195" t="n">
        <x:v>4.28</x:v>
      </x:c>
      <x:c r="C1908" s="195" t="n">
        <x:v>1.96</x:v>
      </x:c>
      <x:c r="D1908" s="195" t="n">
        <x:f>IFERROR(B1908-C1908,"")</x:f>
        <x:v>2.3200000000000003</x:v>
      </x:c>
    </x:row>
    <x:row r="1909">
      <x:c r="A1909" s="187" t="n">
        <x:v>45155</x:v>
      </x:c>
      <x:c r="B1909" s="195" t="n">
        <x:v>4.3</x:v>
      </x:c>
      <x:c r="C1909" s="195" t="n">
        <x:v>1.97</x:v>
      </x:c>
      <x:c r="D1909" s="195" t="n">
        <x:f>IFERROR(B1909-C1909,"")</x:f>
        <x:v>2.33</x:v>
      </x:c>
    </x:row>
    <x:row r="1910">
      <x:c r="A1910" s="187" t="n">
        <x:v>45156</x:v>
      </x:c>
      <x:c r="B1910" s="195" t="n">
        <x:v>4.26</x:v>
      </x:c>
      <x:c r="C1910" s="195" t="n">
        <x:v>1.94</x:v>
      </x:c>
      <x:c r="D1910" s="195" t="n">
        <x:f>IFERROR(B1910-C1910,"")</x:f>
        <x:v>2.32</x:v>
      </x:c>
    </x:row>
    <x:row r="1911">
      <x:c r="A1911" s="187" t="n">
        <x:v>45159</x:v>
      </x:c>
      <x:c r="B1911" s="195" t="n">
        <x:v>4.34</x:v>
      </x:c>
      <x:c r="C1911" s="195" t="n">
        <x:v>2</x:v>
      </x:c>
      <x:c r="D1911" s="195" t="n">
        <x:f>IFERROR(B1911-C1911,"")</x:f>
        <x:v>2.34</x:v>
      </x:c>
    </x:row>
    <x:row r="1912">
      <x:c r="A1912" s="187" t="n">
        <x:v>45160</x:v>
      </x:c>
      <x:c r="B1912" s="195" t="n">
        <x:v>4.34</x:v>
      </x:c>
      <x:c r="C1912" s="195" t="n">
        <x:v>1.99</x:v>
      </x:c>
      <x:c r="D1912" s="195" t="n">
        <x:f>IFERROR(B1912-C1912,"")</x:f>
        <x:v>2.3499999999999996</x:v>
      </x:c>
    </x:row>
    <x:row r="1913">
      <x:c r="A1913" s="187" t="n">
        <x:v>45161</x:v>
      </x:c>
      <x:c r="B1913" s="195" t="n">
        <x:v>4.19</x:v>
      </x:c>
      <x:c r="C1913" s="195" t="n">
        <x:v>1.84</x:v>
      </x:c>
      <x:c r="D1913" s="195" t="n">
        <x:f>IFERROR(B1913-C1913,"")</x:f>
        <x:v>2.3500000000000005</x:v>
      </x:c>
    </x:row>
    <x:row r="1914">
      <x:c r="A1914" s="187" t="n">
        <x:v>45162</x:v>
      </x:c>
      <x:c r="B1914" s="195" t="n">
        <x:v>4.23</x:v>
      </x:c>
      <x:c r="C1914" s="195" t="n">
        <x:v>1.91</x:v>
      </x:c>
      <x:c r="D1914" s="195" t="n">
        <x:f>IFERROR(B1914-C1914,"")</x:f>
        <x:v>2.3200000000000003</x:v>
      </x:c>
    </x:row>
    <x:row r="1915">
      <x:c r="A1915" s="187" t="n">
        <x:v>45163</x:v>
      </x:c>
      <x:c r="B1915" s="195" t="n">
        <x:v>4.25</x:v>
      </x:c>
      <x:c r="C1915" s="195" t="n">
        <x:v>1.92</x:v>
      </x:c>
      <x:c r="D1915" s="195" t="n">
        <x:f>IFERROR(B1915-C1915,"")</x:f>
        <x:v>2.33</x:v>
      </x:c>
    </x:row>
    <x:row r="1916">
      <x:c r="A1916" s="187" t="n">
        <x:v>45166</x:v>
      </x:c>
      <x:c r="B1916" s="195" t="n">
        <x:v>4.2</x:v>
      </x:c>
      <x:c r="C1916" s="195" t="n">
        <x:v>1.9</x:v>
      </x:c>
      <x:c r="D1916" s="195" t="n">
        <x:f>IFERROR(B1916-C1916,"")</x:f>
        <x:v>2.3000000000000003</x:v>
      </x:c>
    </x:row>
    <x:row r="1917">
      <x:c r="A1917" s="187" t="n">
        <x:v>45167</x:v>
      </x:c>
      <x:c r="B1917" s="195" t="n">
        <x:v>4.12</x:v>
      </x:c>
      <x:c r="C1917" s="195" t="n">
        <x:v>1.83</x:v>
      </x:c>
      <x:c r="D1917" s="195" t="n">
        <x:f>IFERROR(B1917-C1917,"")</x:f>
        <x:v>2.29</x:v>
      </x:c>
    </x:row>
    <x:row r="1918">
      <x:c r="A1918" s="187" t="n">
        <x:v>45168</x:v>
      </x:c>
      <x:c r="B1918" s="195" t="n">
        <x:v>4.12</x:v>
      </x:c>
      <x:c r="C1918" s="195" t="n">
        <x:v>1.86</x:v>
      </x:c>
      <x:c r="D1918" s="195" t="n">
        <x:f>IFERROR(B1918-C1918,"")</x:f>
        <x:v>2.26</x:v>
      </x:c>
    </x:row>
    <x:row r="1919">
      <x:c r="A1919" s="187" t="n">
        <x:v>45169</x:v>
      </x:c>
      <x:c r="B1919" s="195" t="n">
        <x:v>4.09</x:v>
      </x:c>
      <x:c r="C1919" s="195" t="n">
        <x:v>1.85</x:v>
      </x:c>
      <x:c r="D1919" s="195" t="n">
        <x:f>IFERROR(B1919-C1919,"")</x:f>
        <x:v>2.2399999999999998</x:v>
      </x:c>
    </x:row>
    <x:row r="1920">
      <x:c r="A1920" s="187" t="n">
        <x:v>45170</x:v>
      </x:c>
      <x:c r="B1920" s="195" t="n">
        <x:v>4.18</x:v>
      </x:c>
      <x:c r="C1920" s="195" t="n">
        <x:v>1.92</x:v>
      </x:c>
      <x:c r="D1920" s="195" t="n">
        <x:f>IFERROR(B1920-C1920,"")</x:f>
        <x:v>2.26</x:v>
      </x:c>
    </x:row>
    <x:row r="1921">
      <x:c r="A1921" s="187" t="n">
        <x:v>45174</x:v>
      </x:c>
      <x:c r="B1921" s="195" t="n">
        <x:v>4.27</x:v>
      </x:c>
      <x:c r="C1921" s="195" t="n">
        <x:v>1.98</x:v>
      </x:c>
      <x:c r="D1921" s="195" t="n">
        <x:f>IFERROR(B1921-C1921,"")</x:f>
        <x:v>2.2899999999999996</x:v>
      </x:c>
    </x:row>
    <x:row r="1922">
      <x:c r="A1922" s="187" t="n">
        <x:v>45175</x:v>
      </x:c>
      <x:c r="B1922" s="195" t="n">
        <x:v>4.3</x:v>
      </x:c>
      <x:c r="C1922" s="195" t="n">
        <x:v>2</x:v>
      </x:c>
      <x:c r="D1922" s="195" t="n">
        <x:f>IFERROR(B1922-C1922,"")</x:f>
        <x:v>2.3</x:v>
      </x:c>
    </x:row>
    <x:row r="1923">
      <x:c r="A1923" s="187" t="n">
        <x:v>45176</x:v>
      </x:c>
      <x:c r="B1923" s="195" t="n">
        <x:v>4.27</x:v>
      </x:c>
      <x:c r="C1923" s="195" t="n">
        <x:v>1.95</x:v>
      </x:c>
      <x:c r="D1923" s="195" t="n">
        <x:f>IFERROR(B1923-C1923,"")</x:f>
        <x:v>2.3199999999999994</x:v>
      </x:c>
    </x:row>
    <x:row r="1924">
      <x:c r="A1924" s="187" t="n">
        <x:v>45177</x:v>
      </x:c>
      <x:c r="B1924" s="195" t="n">
        <x:v>4.26</x:v>
      </x:c>
      <x:c r="C1924" s="195" t="n">
        <x:v>1.93</x:v>
      </x:c>
      <x:c r="D1924" s="195" t="n">
        <x:f>IFERROR(B1924-C1924,"")</x:f>
        <x:v>2.33</x:v>
      </x:c>
    </x:row>
    <x:row r="1925">
      <x:c r="A1925" s="187" t="n">
        <x:v>45180</x:v>
      </x:c>
      <x:c r="B1925" s="195" t="n">
        <x:v>4.29</x:v>
      </x:c>
      <x:c r="C1925" s="195" t="n">
        <x:v>1.94</x:v>
      </x:c>
      <x:c r="D1925" s="195" t="n">
        <x:f>IFERROR(B1925-C1925,"")</x:f>
        <x:v>2.35</x:v>
      </x:c>
    </x:row>
    <x:row r="1926">
      <x:c r="A1926" s="187" t="n">
        <x:v>45181</x:v>
      </x:c>
      <x:c r="B1926" s="195" t="n">
        <x:v>4.27</x:v>
      </x:c>
      <x:c r="C1926" s="195" t="n">
        <x:v>1.93</x:v>
      </x:c>
      <x:c r="D1926" s="195" t="n">
        <x:f>IFERROR(B1926-C1926,"")</x:f>
        <x:v>2.34</x:v>
      </x:c>
    </x:row>
    <x:row r="1927">
      <x:c r="A1927" s="187" t="n">
        <x:v>45182</x:v>
      </x:c>
      <x:c r="B1927" s="195" t="n">
        <x:v>4.25</x:v>
      </x:c>
      <x:c r="C1927" s="195" t="n">
        <x:v>1.9</x:v>
      </x:c>
      <x:c r="D1927" s="195" t="n">
        <x:f>IFERROR(B1927-C1927,"")</x:f>
        <x:v>2.35</x:v>
      </x:c>
    </x:row>
    <x:row r="1928">
      <x:c r="A1928" s="187" t="n">
        <x:v>45183</x:v>
      </x:c>
      <x:c r="B1928" s="195" t="n">
        <x:v>4.29</x:v>
      </x:c>
      <x:c r="C1928" s="195" t="n">
        <x:v>1.95</x:v>
      </x:c>
      <x:c r="D1928" s="195" t="n">
        <x:f>IFERROR(B1928-C1928,"")</x:f>
        <x:v>2.34</x:v>
      </x:c>
    </x:row>
    <x:row r="1929">
      <x:c r="A1929" s="187" t="n">
        <x:v>45184</x:v>
      </x:c>
      <x:c r="B1929" s="195" t="n">
        <x:v>4.33</x:v>
      </x:c>
      <x:c r="C1929" s="195" t="n">
        <x:v>1.98</x:v>
      </x:c>
      <x:c r="D1929" s="195" t="n">
        <x:f>IFERROR(B1929-C1929,"")</x:f>
        <x:v>2.35</x:v>
      </x:c>
    </x:row>
    <x:row r="1930">
      <x:c r="A1930" s="187" t="n">
        <x:v>45187</x:v>
      </x:c>
      <x:c r="B1930" s="195" t="n">
        <x:v>4.32</x:v>
      </x:c>
      <x:c r="C1930" s="195" t="n">
        <x:v>1.96</x:v>
      </x:c>
      <x:c r="D1930" s="195" t="n">
        <x:f>IFERROR(B1930-C1930,"")</x:f>
        <x:v>2.3600000000000003</x:v>
      </x:c>
    </x:row>
    <x:row r="1931">
      <x:c r="A1931" s="187" t="n">
        <x:v>45188</x:v>
      </x:c>
      <x:c r="B1931" s="195" t="n">
        <x:v>4.37</x:v>
      </x:c>
      <x:c r="C1931" s="195" t="n">
        <x:v>2</x:v>
      </x:c>
      <x:c r="D1931" s="195" t="n">
        <x:f>IFERROR(B1931-C1931,"")</x:f>
        <x:v>2.37</x:v>
      </x:c>
    </x:row>
    <x:row r="1932">
      <x:c r="A1932" s="187" t="n">
        <x:v>45189</x:v>
      </x:c>
      <x:c r="B1932" s="195" t="n">
        <x:v>4.35</x:v>
      </x:c>
      <x:c r="C1932" s="195" t="n">
        <x:v>2</x:v>
      </x:c>
      <x:c r="D1932" s="195" t="n">
        <x:f>IFERROR(B1932-C1932,"")</x:f>
        <x:v>2.3499999999999996</x:v>
      </x:c>
    </x:row>
    <x:row r="1933">
      <x:c r="A1933" s="187" t="n">
        <x:v>45190</x:v>
      </x:c>
      <x:c r="B1933" s="195" t="n">
        <x:v>4.49</x:v>
      </x:c>
      <x:c r="C1933" s="195" t="n">
        <x:v>2.11</x:v>
      </x:c>
      <x:c r="D1933" s="195" t="n">
        <x:f>IFERROR(B1933-C1933,"")</x:f>
        <x:v>2.3800000000000003</x:v>
      </x:c>
    </x:row>
    <x:row r="1934">
      <x:c r="A1934" s="187" t="n">
        <x:v>45191</x:v>
      </x:c>
      <x:c r="B1934" s="195" t="n">
        <x:v>4.44</x:v>
      </x:c>
      <x:c r="C1934" s="195" t="n">
        <x:v>2.07</x:v>
      </x:c>
      <x:c r="D1934" s="195" t="n">
        <x:f>IFERROR(B1934-C1934,"")</x:f>
        <x:v>2.3700000000000006</x:v>
      </x:c>
    </x:row>
    <x:row r="1935">
      <x:c r="A1935" s="187" t="n">
        <x:v>45194</x:v>
      </x:c>
      <x:c r="B1935" s="195" t="n">
        <x:v>4.55</x:v>
      </x:c>
      <x:c r="C1935" s="195" t="n">
        <x:v>2.18</x:v>
      </x:c>
      <x:c r="D1935" s="195" t="n">
        <x:f>IFERROR(B1935-C1935,"")</x:f>
        <x:v>2.3699999999999997</x:v>
      </x:c>
    </x:row>
    <x:row r="1936">
      <x:c r="A1936" s="187" t="n">
        <x:v>45195</x:v>
      </x:c>
      <x:c r="B1936" s="195" t="n">
        <x:v>4.56</x:v>
      </x:c>
      <x:c r="C1936" s="195" t="n">
        <x:v>2.23</x:v>
      </x:c>
      <x:c r="D1936" s="195" t="n">
        <x:f>IFERROR(B1936-C1936,"")</x:f>
        <x:v>2.3299999999999996</x:v>
      </x:c>
    </x:row>
    <x:row r="1937">
      <x:c r="A1937" s="187" t="n">
        <x:v>45196</x:v>
      </x:c>
      <x:c r="B1937" s="195" t="n">
        <x:v>4.61</x:v>
      </x:c>
      <x:c r="C1937" s="195" t="n">
        <x:v>2.27</x:v>
      </x:c>
      <x:c r="D1937" s="195" t="n">
        <x:f>IFERROR(B1937-C1937,"")</x:f>
        <x:v>2.3400000000000003</x:v>
      </x:c>
    </x:row>
    <x:row r="1938">
      <x:c r="A1938" s="187" t="n">
        <x:v>45197</x:v>
      </x:c>
      <x:c r="B1938" s="195" t="n">
        <x:v>4.59</x:v>
      </x:c>
      <x:c r="C1938" s="195" t="n">
        <x:v>2.2</x:v>
      </x:c>
      <x:c r="D1938" s="195" t="n">
        <x:f>IFERROR(B1938-C1938,"")</x:f>
        <x:v>2.3899999999999997</x:v>
      </x:c>
    </x:row>
    <x:row r="1939">
      <x:c r="A1939" s="187" t="n">
        <x:v>45198</x:v>
      </x:c>
      <x:c r="B1939" s="195" t="n">
        <x:v>4.59</x:v>
      </x:c>
      <x:c r="C1939" s="195" t="n">
        <x:v>2.24</x:v>
      </x:c>
      <x:c r="D1939" s="195" t="n">
        <x:f>IFERROR(B1939-C1939,"")</x:f>
        <x:v>2.3499999999999996</x:v>
      </x:c>
    </x:row>
    <x:row r="1940">
      <x:c r="A1940" s="187" t="n">
        <x:v>45201</x:v>
      </x:c>
      <x:c r="B1940" s="195" t="n">
        <x:v>4.69</x:v>
      </x:c>
      <x:c r="C1940" s="195" t="n">
        <x:v>2.34</x:v>
      </x:c>
      <x:c r="D1940" s="195" t="n">
        <x:f>IFERROR(B1940-C1940,"")</x:f>
        <x:v>2.3500000000000005</x:v>
      </x:c>
    </x:row>
    <x:row r="1941">
      <x:c r="A1941" s="187" t="n">
        <x:v>45202</x:v>
      </x:c>
      <x:c r="B1941" s="195" t="n">
        <x:v>4.81</x:v>
      </x:c>
      <x:c r="C1941" s="195" t="n">
        <x:v>2.45</x:v>
      </x:c>
      <x:c r="D1941" s="195" t="n">
        <x:f>IFERROR(B1941-C1941,"")</x:f>
        <x:v>2.3599999999999994</x:v>
      </x:c>
    </x:row>
    <x:row r="1942">
      <x:c r="A1942" s="187" t="n">
        <x:v>45203</x:v>
      </x:c>
      <x:c r="B1942" s="195" t="n">
        <x:v>4.73</x:v>
      </x:c>
      <x:c r="C1942" s="195" t="n">
        <x:v>2.4</x:v>
      </x:c>
      <x:c r="D1942" s="195" t="n">
        <x:f>IFERROR(B1942-C1942,"")</x:f>
        <x:v>2.3300000000000005</x:v>
      </x:c>
    </x:row>
    <x:row r="1943">
      <x:c r="A1943" s="187" t="n">
        <x:v>45204</x:v>
      </x:c>
      <x:c r="B1943" s="195" t="n">
        <x:v>4.72</x:v>
      </x:c>
      <x:c r="C1943" s="195" t="n">
        <x:v>2.41</x:v>
      </x:c>
      <x:c r="D1943" s="195" t="n">
        <x:f>IFERROR(B1943-C1943,"")</x:f>
        <x:v>2.3099999999999996</x:v>
      </x:c>
    </x:row>
    <x:row r="1944">
      <x:c r="A1944" s="187" t="n">
        <x:v>45205</x:v>
      </x:c>
      <x:c r="B1944" s="195" t="n">
        <x:v>4.78</x:v>
      </x:c>
      <x:c r="C1944" s="195" t="n">
        <x:v>2.47</x:v>
      </x:c>
      <x:c r="D1944" s="195" t="n">
        <x:f>IFERROR(B1944-C1944,"")</x:f>
        <x:v>2.31</x:v>
      </x:c>
    </x:row>
    <x:row r="1945">
      <x:c r="A1945" s="187" t="n">
        <x:v>45209</x:v>
      </x:c>
      <x:c r="B1945" s="195" t="n">
        <x:v>4.66</x:v>
      </x:c>
      <x:c r="C1945" s="195" t="n">
        <x:v>2.34</x:v>
      </x:c>
      <x:c r="D1945" s="195" t="n">
        <x:f>IFERROR(B1945-C1945,"")</x:f>
        <x:v>2.3200000000000003</x:v>
      </x:c>
    </x:row>
    <x:row r="1946">
      <x:c r="A1946" s="187" t="n">
        <x:v>45210</x:v>
      </x:c>
      <x:c r="B1946" s="195" t="n">
        <x:v>4.58</x:v>
      </x:c>
      <x:c r="C1946" s="195" t="n">
        <x:v>2.26</x:v>
      </x:c>
      <x:c r="D1946" s="195" t="n">
        <x:f>IFERROR(B1946-C1946,"")</x:f>
        <x:v>2.3200000000000003</x:v>
      </x:c>
    </x:row>
    <x:row r="1947">
      <x:c r="A1947" s="187" t="n">
        <x:v>45211</x:v>
      </x:c>
      <x:c r="B1947" s="195" t="n">
        <x:v>4.7</x:v>
      </x:c>
      <x:c r="C1947" s="195" t="n">
        <x:v>2.36</x:v>
      </x:c>
      <x:c r="D1947" s="195" t="n">
        <x:f>IFERROR(B1947-C1947,"")</x:f>
        <x:v>2.3400000000000003</x:v>
      </x:c>
    </x:row>
    <x:row r="1948">
      <x:c r="A1948" s="187" t="n">
        <x:v>45212</x:v>
      </x:c>
      <x:c r="B1948" s="195" t="n">
        <x:v>4.63</x:v>
      </x:c>
      <x:c r="C1948" s="195" t="n">
        <x:v>2.29</x:v>
      </x:c>
      <x:c r="D1948" s="195" t="n">
        <x:f>IFERROR(B1948-C1948,"")</x:f>
        <x:v>2.34</x:v>
      </x:c>
    </x:row>
    <x:row r="1949">
      <x:c r="A1949" s="187" t="n">
        <x:v>45215</x:v>
      </x:c>
      <x:c r="B1949" s="195" t="n">
        <x:v>4.71</x:v>
      </x:c>
      <x:c r="C1949" s="195" t="n">
        <x:v>2.33</x:v>
      </x:c>
      <x:c r="D1949" s="195" t="n">
        <x:f>IFERROR(B1949-C1949,"")</x:f>
        <x:v>2.38</x:v>
      </x:c>
    </x:row>
    <x:row r="1950">
      <x:c r="A1950" s="187" t="n">
        <x:v>45216</x:v>
      </x:c>
      <x:c r="B1950" s="195" t="n">
        <x:v>4.83</x:v>
      </x:c>
      <x:c r="C1950" s="195" t="n">
        <x:v>2.42</x:v>
      </x:c>
      <x:c r="D1950" s="195" t="n">
        <x:f>IFERROR(B1950-C1950,"")</x:f>
        <x:v>2.41</x:v>
      </x:c>
    </x:row>
    <x:row r="1951">
      <x:c r="A1951" s="187" t="n">
        <x:v>45217</x:v>
      </x:c>
      <x:c r="B1951" s="195" t="n">
        <x:v>4.91</x:v>
      </x:c>
      <x:c r="C1951" s="195" t="n">
        <x:v>2.47</x:v>
      </x:c>
      <x:c r="D1951" s="195" t="n">
        <x:f>IFERROR(B1951-C1951,"")</x:f>
        <x:v>2.44</x:v>
      </x:c>
    </x:row>
    <x:row r="1952">
      <x:c r="A1952" s="187" t="n">
        <x:v>45218</x:v>
      </x:c>
      <x:c r="B1952" s="195" t="n">
        <x:v>4.98</x:v>
      </x:c>
      <x:c r="C1952" s="195" t="n">
        <x:v>2.49</x:v>
      </x:c>
      <x:c r="D1952" s="195" t="n">
        <x:f>IFERROR(B1952-C1952,"")</x:f>
        <x:v>2.49</x:v>
      </x:c>
    </x:row>
    <x:row r="1953">
      <x:c r="A1953" s="187" t="n">
        <x:v>45219</x:v>
      </x:c>
      <x:c r="B1953" s="195" t="n">
        <x:v>4.93</x:v>
      </x:c>
      <x:c r="C1953" s="195" t="n">
        <x:v>2.46</x:v>
      </x:c>
      <x:c r="D1953" s="195" t="n">
        <x:f>IFERROR(B1953-C1953,"")</x:f>
        <x:v>2.4699999999999998</x:v>
      </x:c>
    </x:row>
    <x:row r="1954">
      <x:c r="A1954" s="187" t="n">
        <x:v>45222</x:v>
      </x:c>
      <x:c r="B1954" s="195" t="n">
        <x:v>4.86</x:v>
      </x:c>
      <x:c r="C1954" s="195" t="n">
        <x:v>2.45</x:v>
      </x:c>
      <x:c r="D1954" s="195" t="n">
        <x:f>IFERROR(B1954-C1954,"")</x:f>
        <x:v>2.41</x:v>
      </x:c>
    </x:row>
    <x:row r="1955">
      <x:c r="A1955" s="187" t="n">
        <x:v>45223</x:v>
      </x:c>
      <x:c r="B1955" s="195" t="n">
        <x:v>4.83</x:v>
      </x:c>
      <x:c r="C1955" s="195" t="n">
        <x:v>2.43</x:v>
      </x:c>
      <x:c r="D1955" s="195" t="n">
        <x:f>IFERROR(B1955-C1955,"")</x:f>
        <x:v>2.4</x:v>
      </x:c>
    </x:row>
    <x:row r="1956">
      <x:c r="A1956" s="187" t="n">
        <x:v>45224</x:v>
      </x:c>
      <x:c r="B1956" s="195" t="n">
        <x:v>4.95</x:v>
      </x:c>
      <x:c r="C1956" s="195" t="n">
        <x:v>2.52</x:v>
      </x:c>
      <x:c r="D1956" s="195" t="n">
        <x:f>IFERROR(B1956-C1956,"")</x:f>
        <x:v>2.43</x:v>
      </x:c>
    </x:row>
    <x:row r="1957">
      <x:c r="A1957" s="187" t="n">
        <x:v>45225</x:v>
      </x:c>
      <x:c r="B1957" s="195" t="n">
        <x:v>4.86</x:v>
      </x:c>
      <x:c r="C1957" s="195" t="n">
        <x:v>2.44</x:v>
      </x:c>
      <x:c r="D1957" s="195" t="n">
        <x:f>IFERROR(B1957-C1957,"")</x:f>
        <x:v>2.4200000000000004</x:v>
      </x:c>
    </x:row>
    <x:row r="1958">
      <x:c r="A1958" s="187" t="n">
        <x:v>45226</x:v>
      </x:c>
      <x:c r="B1958" s="195" t="n">
        <x:v>4.84</x:v>
      </x:c>
      <x:c r="C1958" s="195" t="n">
        <x:v>2.42</x:v>
      </x:c>
      <x:c r="D1958" s="195" t="n">
        <x:f>IFERROR(B1958-C1958,"")</x:f>
        <x:v>2.42</x:v>
      </x:c>
    </x:row>
    <x:row r="1959">
      <x:c r="A1959" s="187" t="n">
        <x:v>45229</x:v>
      </x:c>
      <x:c r="B1959" s="195" t="n">
        <x:v>4.88</x:v>
      </x:c>
      <x:c r="C1959" s="195" t="n">
        <x:v>2.44</x:v>
      </x:c>
      <x:c r="D1959" s="195" t="n">
        <x:f>IFERROR(B1959-C1959,"")</x:f>
        <x:v>2.44</x:v>
      </x:c>
    </x:row>
    <x:row r="1960">
      <x:c r="A1960" s="187" t="n">
        <x:v>45230</x:v>
      </x:c>
      <x:c r="B1960" s="195" t="n">
        <x:v>4.88</x:v>
      </x:c>
      <x:c r="C1960" s="195" t="n">
        <x:v>2.46</x:v>
      </x:c>
      <x:c r="D1960" s="195" t="n">
        <x:f>IFERROR(B1960-C1960,"")</x:f>
        <x:v>2.42</x:v>
      </x:c>
    </x:row>
    <x:row r="1961">
      <x:c r="A1961" s="187" t="n">
        <x:v>45231</x:v>
      </x:c>
      <x:c r="B1961" s="195" t="n">
        <x:v>4.77</x:v>
      </x:c>
      <x:c r="C1961" s="195" t="n">
        <x:v>2.36</x:v>
      </x:c>
      <x:c r="D1961" s="195" t="n">
        <x:f>IFERROR(B1961-C1961,"")</x:f>
        <x:v>2.4099999999999997</x:v>
      </x:c>
    </x:row>
    <x:row r="1962">
      <x:c r="A1962" s="187" t="n">
        <x:v>45232</x:v>
      </x:c>
      <x:c r="B1962" s="195" t="n">
        <x:v>4.67</x:v>
      </x:c>
      <x:c r="C1962" s="195" t="n">
        <x:v>2.27</x:v>
      </x:c>
      <x:c r="D1962" s="195" t="n">
        <x:f>IFERROR(B1962-C1962,"")</x:f>
        <x:v>2.4</x:v>
      </x:c>
    </x:row>
    <x:row r="1963">
      <x:c r="A1963" s="187" t="n">
        <x:v>45233</x:v>
      </x:c>
      <x:c r="B1963" s="195" t="n">
        <x:v>4.57</x:v>
      </x:c>
      <x:c r="C1963" s="195" t="n">
        <x:v>2.18</x:v>
      </x:c>
      <x:c r="D1963" s="195" t="n">
        <x:f>IFERROR(B1963-C1963,"")</x:f>
        <x:v>2.39</x:v>
      </x:c>
    </x:row>
    <x:row r="1964">
      <x:c r="A1964" s="187" t="n">
        <x:v>45236</x:v>
      </x:c>
      <x:c r="B1964" s="195" t="n">
        <x:v>4.67</x:v>
      </x:c>
      <x:c r="C1964" s="195" t="n">
        <x:v>2.25</x:v>
      </x:c>
      <x:c r="D1964" s="195" t="n">
        <x:f>IFERROR(B1964-C1964,"")</x:f>
        <x:v>2.42</x:v>
      </x:c>
    </x:row>
    <x:row r="1965">
      <x:c r="A1965" s="187" t="n">
        <x:v>45237</x:v>
      </x:c>
      <x:c r="B1965" s="195" t="n">
        <x:v>4.58</x:v>
      </x:c>
      <x:c r="C1965" s="195" t="n">
        <x:v>2.19</x:v>
      </x:c>
      <x:c r="D1965" s="195" t="n">
        <x:f>IFERROR(B1965-C1965,"")</x:f>
        <x:v>2.39</x:v>
      </x:c>
    </x:row>
    <x:row r="1966">
      <x:c r="A1966" s="187" t="n">
        <x:v>45238</x:v>
      </x:c>
      <x:c r="B1966" s="195" t="n">
        <x:v>4.49</x:v>
      </x:c>
      <x:c r="C1966" s="195" t="n">
        <x:v>2.15</x:v>
      </x:c>
      <x:c r="D1966" s="195" t="n">
        <x:f>IFERROR(B1966-C1966,"")</x:f>
        <x:v>2.3400000000000003</x:v>
      </x:c>
    </x:row>
    <x:row r="1967">
      <x:c r="A1967" s="187" t="n">
        <x:v>45239</x:v>
      </x:c>
      <x:c r="B1967" s="195" t="n">
        <x:v>4.62</x:v>
      </x:c>
      <x:c r="C1967" s="195" t="n">
        <x:v>2.29</x:v>
      </x:c>
      <x:c r="D1967" s="195" t="n">
        <x:f>IFERROR(B1967-C1967,"")</x:f>
        <x:v>2.33</x:v>
      </x:c>
    </x:row>
    <x:row r="1968">
      <x:c r="A1968" s="187" t="n">
        <x:v>45240</x:v>
      </x:c>
      <x:c r="B1968" s="195" t="n">
        <x:v>4.61</x:v>
      </x:c>
      <x:c r="C1968" s="195" t="n">
        <x:v>2.29</x:v>
      </x:c>
      <x:c r="D1968" s="195" t="n">
        <x:f>IFERROR(B1968-C1968,"")</x:f>
        <x:v>2.3200000000000003</x:v>
      </x:c>
    </x:row>
    <x:row r="1969">
      <x:c r="A1969" s="187" t="n">
        <x:v>45243</x:v>
      </x:c>
      <x:c r="B1969" s="195" t="n">
        <x:v>4.63</x:v>
      </x:c>
      <x:c r="C1969" s="195" t="n">
        <x:v>2.32</x:v>
      </x:c>
      <x:c r="D1969" s="195" t="n">
        <x:f>IFERROR(B1969-C1969,"")</x:f>
        <x:v>2.31</x:v>
      </x:c>
    </x:row>
    <x:row r="1970">
      <x:c r="A1970" s="187" t="n">
        <x:v>45244</x:v>
      </x:c>
      <x:c r="B1970" s="195" t="n">
        <x:v>4.44</x:v>
      </x:c>
      <x:c r="C1970" s="195" t="n">
        <x:v>2.16</x:v>
      </x:c>
      <x:c r="D1970" s="195" t="n">
        <x:f>IFERROR(B1970-C1970,"")</x:f>
        <x:v>2.2800000000000002</x:v>
      </x:c>
    </x:row>
    <x:row r="1971">
      <x:c r="A1971" s="187" t="n">
        <x:v>45245</x:v>
      </x:c>
      <x:c r="B1971" s="195" t="n">
        <x:v>4.53</x:v>
      </x:c>
      <x:c r="C1971" s="195" t="n">
        <x:v>2.22</x:v>
      </x:c>
      <x:c r="D1971" s="195" t="n">
        <x:f>IFERROR(B1971-C1971,"")</x:f>
        <x:v>2.31</x:v>
      </x:c>
    </x:row>
    <x:row r="1972">
      <x:c r="A1972" s="187" t="n">
        <x:v>45246</x:v>
      </x:c>
      <x:c r="B1972" s="195" t="n">
        <x:v>4.45</x:v>
      </x:c>
      <x:c r="C1972" s="195" t="n">
        <x:v>2.18</x:v>
      </x:c>
      <x:c r="D1972" s="195" t="n">
        <x:f>IFERROR(B1972-C1972,"")</x:f>
        <x:v>2.27</x:v>
      </x:c>
    </x:row>
    <x:row r="1973">
      <x:c r="A1973" s="187" t="n">
        <x:v>45247</x:v>
      </x:c>
      <x:c r="B1973" s="195" t="n">
        <x:v>4.44</x:v>
      </x:c>
      <x:c r="C1973" s="195" t="n">
        <x:v>2.16</x:v>
      </x:c>
      <x:c r="D1973" s="195" t="n">
        <x:f>IFERROR(B1973-C1973,"")</x:f>
        <x:v>2.2800000000000002</x:v>
      </x:c>
    </x:row>
    <x:row r="1974">
      <x:c r="A1974" s="187" t="n">
        <x:v>45250</x:v>
      </x:c>
      <x:c r="B1974" s="195" t="n">
        <x:v>4.42</x:v>
      </x:c>
      <x:c r="C1974" s="195" t="n">
        <x:v>2.12</x:v>
      </x:c>
      <x:c r="D1974" s="195" t="n">
        <x:f>IFERROR(B1974-C1974,"")</x:f>
        <x:v>2.3</x:v>
      </x:c>
    </x:row>
    <x:row r="1975">
      <x:c r="A1975" s="187" t="n">
        <x:v>45251</x:v>
      </x:c>
      <x:c r="B1975" s="195" t="n">
        <x:v>4.41</x:v>
      </x:c>
      <x:c r="C1975" s="195" t="n">
        <x:v>2.16</x:v>
      </x:c>
      <x:c r="D1975" s="195" t="n">
        <x:f>IFERROR(B1975-C1975,"")</x:f>
        <x:v>2.25</x:v>
      </x:c>
    </x:row>
    <x:row r="1976">
      <x:c r="A1976" s="187" t="n">
        <x:v>45252</x:v>
      </x:c>
      <x:c r="B1976" s="195" t="n">
        <x:v>4.42</x:v>
      </x:c>
      <x:c r="C1976" s="195" t="n">
        <x:v>2.16</x:v>
      </x:c>
      <x:c r="D1976" s="195" t="n">
        <x:f>IFERROR(B1976-C1976,"")</x:f>
        <x:v>2.26</x:v>
      </x:c>
    </x:row>
    <x:row r="1977">
      <x:c r="A1977" s="187" t="n">
        <x:v>45254</x:v>
      </x:c>
      <x:c r="B1977" s="195" t="n">
        <x:v>4.47</x:v>
      </x:c>
      <x:c r="C1977" s="195" t="n">
        <x:v>2.21</x:v>
      </x:c>
      <x:c r="D1977" s="195" t="n">
        <x:f>IFERROR(B1977-C1977,"")</x:f>
        <x:v>2.26</x:v>
      </x:c>
    </x:row>
    <x:row r="1978">
      <x:c r="A1978" s="187" t="n">
        <x:v>45257</x:v>
      </x:c>
      <x:c r="B1978" s="195" t="n">
        <x:v>4.39</x:v>
      </x:c>
      <x:c r="C1978" s="195" t="n">
        <x:v>2.18</x:v>
      </x:c>
      <x:c r="D1978" s="195" t="n">
        <x:f>IFERROR(B1978-C1978,"")</x:f>
        <x:v>2.2099999999999995</x:v>
      </x:c>
    </x:row>
    <x:row r="1979">
      <x:c r="A1979" s="187" t="n">
        <x:v>45258</x:v>
      </x:c>
      <x:c r="B1979" s="195" t="n">
        <x:v>4.34</x:v>
      </x:c>
      <x:c r="C1979" s="195" t="n">
        <x:v>2.12</x:v>
      </x:c>
      <x:c r="D1979" s="195" t="n">
        <x:f>IFERROR(B1979-C1979,"")</x:f>
        <x:v>2.2199999999999998</x:v>
      </x:c>
    </x:row>
    <x:row r="1980">
      <x:c r="A1980" s="187" t="n">
        <x:v>45259</x:v>
      </x:c>
      <x:c r="B1980" s="195" t="n">
        <x:v>4.27</x:v>
      </x:c>
      <x:c r="C1980" s="195" t="n">
        <x:v>2.06</x:v>
      </x:c>
      <x:c r="D1980" s="195" t="n">
        <x:f>IFERROR(B1980-C1980,"")</x:f>
        <x:v>2.2099999999999995</x:v>
      </x:c>
    </x:row>
    <x:row r="1981">
      <x:c r="A1981" s="187" t="n">
        <x:v>45260</x:v>
      </x:c>
      <x:c r="B1981" s="195" t="n">
        <x:v>4.37</x:v>
      </x:c>
      <x:c r="C1981" s="195" t="n">
        <x:v>2.14</x:v>
      </x:c>
      <x:c r="D1981" s="195" t="n">
        <x:f>IFERROR(B1981-C1981,"")</x:f>
        <x:v>2.23</x:v>
      </x:c>
    </x:row>
    <x:row r="1982">
      <x:c r="A1982" s="187" t="n">
        <x:v>45261</x:v>
      </x:c>
      <x:c r="B1982" s="195" t="n">
        <x:v>4.22</x:v>
      </x:c>
      <x:c r="C1982" s="195" t="n">
        <x:v>2</x:v>
      </x:c>
      <x:c r="D1982" s="195" t="n">
        <x:f>IFERROR(B1982-C1982,"")</x:f>
        <x:v>2.2199999999999998</x:v>
      </x:c>
    </x:row>
    <x:row r="1983">
      <x:c r="A1983" s="187" t="n">
        <x:v>45264</x:v>
      </x:c>
      <x:c r="B1983" s="195" t="n">
        <x:v>4.28</x:v>
      </x:c>
      <x:c r="C1983" s="195" t="n">
        <x:v>2.07</x:v>
      </x:c>
      <x:c r="D1983" s="195" t="n">
        <x:f>IFERROR(B1983-C1983,"")</x:f>
        <x:v>2.2100000000000004</x:v>
      </x:c>
    </x:row>
    <x:row r="1984">
      <x:c r="A1984" s="187" t="n">
        <x:v>45265</x:v>
      </x:c>
      <x:c r="B1984" s="195" t="n">
        <x:v>4.18</x:v>
      </x:c>
      <x:c r="C1984" s="195" t="n">
        <x:v>2.01</x:v>
      </x:c>
      <x:c r="D1984" s="195" t="n">
        <x:f>IFERROR(B1984-C1984,"")</x:f>
        <x:v>2.17</x:v>
      </x:c>
    </x:row>
    <x:row r="1985">
      <x:c r="A1985" s="187" t="n">
        <x:v>45266</x:v>
      </x:c>
      <x:c r="B1985" s="195" t="n">
        <x:v>4.12</x:v>
      </x:c>
      <x:c r="C1985" s="195" t="n">
        <x:v>1.98</x:v>
      </x:c>
      <x:c r="D1985" s="195" t="n">
        <x:f>IFERROR(B1985-C1985,"")</x:f>
        <x:v>2.14</x:v>
      </x:c>
    </x:row>
    <x:row r="1986">
      <x:c r="A1986" s="187" t="n">
        <x:v>45267</x:v>
      </x:c>
      <x:c r="B1986" s="195" t="n">
        <x:v>4.14</x:v>
      </x:c>
      <x:c r="C1986" s="195" t="n">
        <x:v>1.97</x:v>
      </x:c>
      <x:c r="D1986" s="195" t="n">
        <x:f>IFERROR(B1986-C1986,"")</x:f>
        <x:v>2.17</x:v>
      </x:c>
    </x:row>
    <x:row r="1987">
      <x:c r="A1987" s="187" t="n">
        <x:v>45268</x:v>
      </x:c>
      <x:c r="B1987" s="195" t="n">
        <x:v>4.23</x:v>
      </x:c>
      <x:c r="C1987" s="195" t="n">
        <x:v>2.02</x:v>
      </x:c>
      <x:c r="D1987" s="195" t="n">
        <x:f>IFERROR(B1987-C1987,"")</x:f>
        <x:v>2.2100000000000004</x:v>
      </x:c>
    </x:row>
    <x:row r="1988">
      <x:c r="A1988" s="187" t="n">
        <x:v>45271</x:v>
      </x:c>
      <x:c r="B1988" s="195" t="n">
        <x:v>4.23</x:v>
      </x:c>
      <x:c r="C1988" s="195" t="n">
        <x:v>2.04</x:v>
      </x:c>
      <x:c r="D1988" s="195" t="n">
        <x:f>IFERROR(B1988-C1988,"")</x:f>
        <x:v>2.1900000000000004</x:v>
      </x:c>
    </x:row>
    <x:row r="1989">
      <x:c r="A1989" s="187" t="n">
        <x:v>45272</x:v>
      </x:c>
      <x:c r="B1989" s="195" t="n">
        <x:v>4.2</x:v>
      </x:c>
      <x:c r="C1989" s="195" t="n">
        <x:v>2.04</x:v>
      </x:c>
      <x:c r="D1989" s="195" t="n">
        <x:f>IFERROR(B1989-C1989,"")</x:f>
        <x:v>2.16</x:v>
      </x:c>
    </x:row>
    <x:row r="1990">
      <x:c r="A1990" s="187" t="n">
        <x:v>45273</x:v>
      </x:c>
      <x:c r="B1990" s="195" t="n">
        <x:v>4.04</x:v>
      </x:c>
      <x:c r="C1990" s="195" t="n">
        <x:v>1.88</x:v>
      </x:c>
      <x:c r="D1990" s="195" t="n">
        <x:f>IFERROR(B1990-C1990,"")</x:f>
        <x:v>2.16</x:v>
      </x:c>
    </x:row>
    <x:row r="1991">
      <x:c r="A1991" s="187" t="n">
        <x:v>45274</x:v>
      </x:c>
      <x:c r="B1991" s="195" t="n">
        <x:v>3.92</x:v>
      </x:c>
      <x:c r="C1991" s="195" t="n">
        <x:v>1.7</x:v>
      </x:c>
      <x:c r="D1991" s="195" t="n">
        <x:f>IFERROR(B1991-C1991,"")</x:f>
        <x:v>2.2199999999999998</x:v>
      </x:c>
    </x:row>
    <x:row r="1992">
      <x:c r="A1992" s="187" t="n">
        <x:v>45275</x:v>
      </x:c>
      <x:c r="B1992" s="195" t="n">
        <x:v>3.91</x:v>
      </x:c>
      <x:c r="C1992" s="195" t="n">
        <x:v>1.69</x:v>
      </x:c>
      <x:c r="D1992" s="195" t="n">
        <x:f>IFERROR(B1992-C1992,"")</x:f>
        <x:v>2.22</x:v>
      </x:c>
    </x:row>
    <x:row r="1993">
      <x:c r="A1993" s="187" t="n">
        <x:v>45278</x:v>
      </x:c>
      <x:c r="B1993" s="195" t="n">
        <x:v>3.95</x:v>
      </x:c>
      <x:c r="C1993" s="195" t="n">
        <x:v>1.74</x:v>
      </x:c>
      <x:c r="D1993" s="195" t="n">
        <x:f>IFERROR(B1993-C1993,"")</x:f>
        <x:v>2.21</x:v>
      </x:c>
    </x:row>
    <x:row r="1994">
      <x:c r="A1994" s="187" t="n">
        <x:v>45279</x:v>
      </x:c>
      <x:c r="B1994" s="195" t="n">
        <x:v>3.93</x:v>
      </x:c>
      <x:c r="C1994" s="195" t="n">
        <x:v>1.74</x:v>
      </x:c>
      <x:c r="D1994" s="195" t="n">
        <x:f>IFERROR(B1994-C1994,"")</x:f>
        <x:v>2.1900000000000004</x:v>
      </x:c>
    </x:row>
    <x:row r="1995">
      <x:c r="A1995" s="187" t="n">
        <x:v>45280</x:v>
      </x:c>
      <x:c r="B1995" s="195" t="n">
        <x:v>3.86</x:v>
      </x:c>
      <x:c r="C1995" s="195" t="n">
        <x:v>1.67</x:v>
      </x:c>
      <x:c r="D1995" s="195" t="n">
        <x:f>IFERROR(B1995-C1995,"")</x:f>
        <x:v>2.19</x:v>
      </x:c>
    </x:row>
    <x:row r="1996">
      <x:c r="A1996" s="187" t="n">
        <x:v>45281</x:v>
      </x:c>
      <x:c r="B1996" s="195" t="n">
        <x:v>3.89</x:v>
      </x:c>
      <x:c r="C1996" s="195" t="n">
        <x:v>1.7</x:v>
      </x:c>
      <x:c r="D1996" s="195" t="n">
        <x:f>IFERROR(B1996-C1996,"")</x:f>
        <x:v>2.1900000000000004</x:v>
      </x:c>
    </x:row>
    <x:row r="1997">
      <x:c r="A1997" s="187" t="n">
        <x:v>45282</x:v>
      </x:c>
      <x:c r="B1997" s="195" t="n">
        <x:v>3.9</x:v>
      </x:c>
      <x:c r="C1997" s="195" t="n">
        <x:v>1.71</x:v>
      </x:c>
      <x:c r="D1997" s="195" t="n">
        <x:f>IFERROR(B1997-C1997,"")</x:f>
        <x:v>2.19</x:v>
      </x:c>
    </x:row>
    <x:row r="1998">
      <x:c r="A1998" s="187" t="n">
        <x:v>45286</x:v>
      </x:c>
      <x:c r="B1998" s="195" t="n">
        <x:v>3.89</x:v>
      </x:c>
      <x:c r="C1998" s="195" t="n">
        <x:v>1.71</x:v>
      </x:c>
      <x:c r="D1998" s="195" t="n">
        <x:f>IFERROR(B1998-C1998,"")</x:f>
        <x:v>2.18</x:v>
      </x:c>
    </x:row>
    <x:row r="1999">
      <x:c r="A1999" s="187" t="n">
        <x:v>45287</x:v>
      </x:c>
      <x:c r="B1999" s="195" t="n">
        <x:v>3.79</x:v>
      </x:c>
      <x:c r="C1999" s="195" t="n">
        <x:v>1.64</x:v>
      </x:c>
      <x:c r="D1999" s="195" t="n">
        <x:f>IFERROR(B1999-C1999,"")</x:f>
        <x:v>2.1500000000000004</x:v>
      </x:c>
    </x:row>
    <x:row r="2000">
      <x:c r="A2000" s="187" t="n">
        <x:v>45288</x:v>
      </x:c>
      <x:c r="B2000" s="195" t="n">
        <x:v>3.84</x:v>
      </x:c>
      <x:c r="C2000" s="195" t="n">
        <x:v>1.68</x:v>
      </x:c>
      <x:c r="D2000" s="195" t="n">
        <x:f>IFERROR(B2000-C2000,"")</x:f>
        <x:v>2.16</x:v>
      </x:c>
    </x:row>
    <x:row r="2001">
      <x:c r="A2001" s="187" t="n">
        <x:v>45289</x:v>
      </x:c>
      <x:c r="B2001" s="195" t="n">
        <x:v>3.88</x:v>
      </x:c>
      <x:c r="C2001" s="195" t="n">
        <x:v>1.72</x:v>
      </x:c>
      <x:c r="D2001" s="195" t="n">
        <x:f>IFERROR(B2001-C2001,"")</x:f>
        <x:v>2.16</x:v>
      </x:c>
    </x:row>
    <x:row r="2002">
      <x:c r="A2002" s="187" t="n">
        <x:v>45293</x:v>
      </x:c>
      <x:c r="B2002" s="195" t="n">
        <x:v>3.95</x:v>
      </x:c>
      <x:c r="C2002" s="195" t="n">
        <x:v>1.74</x:v>
      </x:c>
      <x:c r="D2002" s="195" t="n">
        <x:f>IFERROR(B2002-C2002,"")</x:f>
        <x:v>2.21</x:v>
      </x:c>
    </x:row>
    <x:row r="2003">
      <x:c r="A2003" s="187" t="n">
        <x:v>45294</x:v>
      </x:c>
      <x:c r="B2003" s="195" t="n">
        <x:v>3.91</x:v>
      </x:c>
      <x:c r="C2003" s="195" t="n">
        <x:v>1.71</x:v>
      </x:c>
      <x:c r="D2003" s="195" t="n">
        <x:f>IFERROR(B2003-C2003,"")</x:f>
        <x:v>2.2</x:v>
      </x:c>
    </x:row>
    <x:row r="2004">
      <x:c r="A2004" s="187" t="n">
        <x:v>45295</x:v>
      </x:c>
      <x:c r="B2004" s="195" t="n">
        <x:v>3.99</x:v>
      </x:c>
      <x:c r="C2004" s="195" t="n">
        <x:v>1.77</x:v>
      </x:c>
      <x:c r="D2004" s="195" t="n">
        <x:f>IFERROR(B2004-C2004,"")</x:f>
        <x:v>2.22</x:v>
      </x:c>
    </x:row>
    <x:row r="2005">
      <x:c r="A2005" s="187" t="n">
        <x:v>45296</x:v>
      </x:c>
      <x:c r="B2005" s="195" t="n">
        <x:v>4.05</x:v>
      </x:c>
      <x:c r="C2005" s="195" t="n">
        <x:v>1.83</x:v>
      </x:c>
      <x:c r="D2005" s="195" t="n">
        <x:f>IFERROR(B2005-C2005,"")</x:f>
        <x:v>2.2199999999999998</x:v>
      </x:c>
    </x:row>
    <x:row r="2006">
      <x:c r="A2006" s="187" t="n">
        <x:v>45299</x:v>
      </x:c>
      <x:c r="B2006" s="195" t="n">
        <x:v>4.01</x:v>
      </x:c>
      <x:c r="C2006" s="195" t="n">
        <x:v>1.79</x:v>
      </x:c>
      <x:c r="D2006" s="195" t="n">
        <x:f>IFERROR(B2006-C2006,"")</x:f>
        <x:v>2.2199999999999998</x:v>
      </x:c>
    </x:row>
    <x:row r="2007">
      <x:c r="A2007" s="187" t="n">
        <x:v>45300</x:v>
      </x:c>
      <x:c r="B2007" s="195" t="n">
        <x:v>4.02</x:v>
      </x:c>
      <x:c r="C2007" s="195" t="n">
        <x:v>1.8</x:v>
      </x:c>
      <x:c r="D2007" s="195" t="n">
        <x:f>IFERROR(B2007-C2007,"")</x:f>
        <x:v>2.2199999999999998</x:v>
      </x:c>
    </x:row>
    <x:row r="2008">
      <x:c r="A2008" s="187" t="n">
        <x:v>45301</x:v>
      </x:c>
      <x:c r="B2008" s="195" t="n">
        <x:v>4.04</x:v>
      </x:c>
      <x:c r="C2008" s="195" t="n">
        <x:v>1.82</x:v>
      </x:c>
      <x:c r="D2008" s="195" t="n">
        <x:f>IFERROR(B2008-C2008,"")</x:f>
        <x:v>2.2199999999999998</x:v>
      </x:c>
    </x:row>
    <x:row r="2009">
      <x:c r="A2009" s="187" t="n">
        <x:v>45302</x:v>
      </x:c>
      <x:c r="B2009" s="195" t="n">
        <x:v>3.98</x:v>
      </x:c>
      <x:c r="C2009" s="195" t="n">
        <x:v>1.76</x:v>
      </x:c>
      <x:c r="D2009" s="195" t="n">
        <x:f>IFERROR(B2009-C2009,"")</x:f>
        <x:v>2.2199999999999998</x:v>
      </x:c>
    </x:row>
    <x:row r="2010">
      <x:c r="A2010" s="187" t="n">
        <x:v>45303</x:v>
      </x:c>
      <x:c r="B2010" s="195" t="n">
        <x:v>3.96</x:v>
      </x:c>
      <x:c r="C2010" s="195" t="n">
        <x:v>1.69</x:v>
      </x:c>
      <x:c r="D2010" s="195" t="n">
        <x:f>IFERROR(B2010-C2010,"")</x:f>
        <x:v>2.27</x:v>
      </x:c>
    </x:row>
    <x:row r="2011">
      <x:c r="A2011" s="187" t="n">
        <x:v>45307</x:v>
      </x:c>
      <x:c r="B2011" s="195" t="n">
        <x:v>4.07</x:v>
      </x:c>
      <x:c r="C2011" s="195" t="n">
        <x:v>1.77</x:v>
      </x:c>
      <x:c r="D2011" s="195" t="n">
        <x:f>IFERROR(B2011-C2011,"")</x:f>
        <x:v>2.3000000000000003</x:v>
      </x:c>
    </x:row>
    <x:row r="2012">
      <x:c r="A2012" s="187" t="n">
        <x:v>45308</x:v>
      </x:c>
      <x:c r="B2012" s="195" t="n">
        <x:v>4.1</x:v>
      </x:c>
      <x:c r="C2012" s="195" t="n">
        <x:v>1.8</x:v>
      </x:c>
      <x:c r="D2012" s="195" t="n">
        <x:f>IFERROR(B2012-C2012,"")</x:f>
        <x:v>2.3</x:v>
      </x:c>
    </x:row>
    <x:row r="2013">
      <x:c r="A2013" s="187" t="n">
        <x:v>45309</x:v>
      </x:c>
      <x:c r="B2013" s="195" t="n">
        <x:v>4.14</x:v>
      </x:c>
      <x:c r="C2013" s="195" t="n">
        <x:v>1.8</x:v>
      </x:c>
      <x:c r="D2013" s="195" t="n">
        <x:f>IFERROR(B2013-C2013,"")</x:f>
        <x:v>2.34</x:v>
      </x:c>
    </x:row>
    <x:row r="2014">
      <x:c r="A2014" s="187" t="n">
        <x:v>45310</x:v>
      </x:c>
      <x:c r="B2014" s="195" t="n">
        <x:v>4.15</x:v>
      </x:c>
      <x:c r="C2014" s="195" t="n">
        <x:v>1.81</x:v>
      </x:c>
      <x:c r="D2014" s="195" t="n">
        <x:f>IFERROR(B2014-C2014,"")</x:f>
        <x:v>2.3400000000000003</x:v>
      </x:c>
    </x:row>
    <x:row r="2015">
      <x:c r="A2015" s="187" t="n">
        <x:v>45313</x:v>
      </x:c>
      <x:c r="B2015" s="195" t="n">
        <x:v>4.11</x:v>
      </x:c>
      <x:c r="C2015" s="195" t="n">
        <x:v>1.8</x:v>
      </x:c>
      <x:c r="D2015" s="195" t="n">
        <x:f>IFERROR(B2015-C2015,"")</x:f>
        <x:v>2.3100000000000005</x:v>
      </x:c>
    </x:row>
    <x:row r="2016">
      <x:c r="A2016" s="187" t="n">
        <x:v>45314</x:v>
      </x:c>
      <x:c r="B2016" s="195" t="n">
        <x:v>4.14</x:v>
      </x:c>
      <x:c r="C2016" s="195" t="n">
        <x:v>1.85</x:v>
      </x:c>
      <x:c r="D2016" s="195" t="n">
        <x:f>IFERROR(B2016-C2016,"")</x:f>
        <x:v>2.2899999999999996</x:v>
      </x:c>
    </x:row>
    <x:row r="2017">
      <x:c r="A2017" s="187" t="n">
        <x:v>45315</x:v>
      </x:c>
      <x:c r="B2017" s="195" t="n">
        <x:v>4.18</x:v>
      </x:c>
      <x:c r="C2017" s="195" t="n">
        <x:v>1.88</x:v>
      </x:c>
      <x:c r="D2017" s="195" t="n">
        <x:f>IFERROR(B2017-C2017,"")</x:f>
        <x:v>2.3</x:v>
      </x:c>
    </x:row>
    <x:row r="2018">
      <x:c r="A2018" s="187" t="n">
        <x:v>45316</x:v>
      </x:c>
      <x:c r="B2018" s="195" t="n">
        <x:v>4.14</x:v>
      </x:c>
      <x:c r="C2018" s="195" t="n">
        <x:v>1.85</x:v>
      </x:c>
      <x:c r="D2018" s="195" t="n">
        <x:f>IFERROR(B2018-C2018,"")</x:f>
        <x:v>2.2899999999999996</x:v>
      </x:c>
    </x:row>
    <x:row r="2019">
      <x:c r="A2019" s="187" t="n">
        <x:v>45317</x:v>
      </x:c>
      <x:c r="B2019" s="195" t="n">
        <x:v>4.15</x:v>
      </x:c>
      <x:c r="C2019" s="195" t="n">
        <x:v>1.85</x:v>
      </x:c>
      <x:c r="D2019" s="195" t="n">
        <x:f>IFERROR(B2019-C2019,"")</x:f>
        <x:v>2.3000000000000003</x:v>
      </x:c>
    </x:row>
    <x:row r="2020">
      <x:c r="A2020" s="187" t="n">
        <x:v>45320</x:v>
      </x:c>
      <x:c r="B2020" s="195" t="n">
        <x:v>4.08</x:v>
      </x:c>
      <x:c r="C2020" s="195" t="n">
        <x:v>1.78</x:v>
      </x:c>
      <x:c r="D2020" s="195" t="n">
        <x:f>IFERROR(B2020-C2020,"")</x:f>
        <x:v>2.3</x:v>
      </x:c>
    </x:row>
    <x:row r="2021">
      <x:c r="A2021" s="187" t="n">
        <x:v>45321</x:v>
      </x:c>
      <x:c r="B2021" s="195" t="n">
        <x:v>4.06</x:v>
      </x:c>
      <x:c r="C2021" s="195" t="n">
        <x:v>1.8</x:v>
      </x:c>
      <x:c r="D2021" s="195" t="n">
        <x:f>IFERROR(B2021-C2021,"")</x:f>
        <x:v>2.26</x:v>
      </x:c>
    </x:row>
    <x:row r="2022">
      <x:c r="A2022" s="187" t="n">
        <x:v>45322</x:v>
      </x:c>
      <x:c r="B2022" s="195" t="n">
        <x:v>3.99</x:v>
      </x:c>
      <x:c r="C2022" s="195" t="n">
        <x:v>1.73</x:v>
      </x:c>
      <x:c r="D2022" s="195" t="n">
        <x:f>IFERROR(B2022-C2022,"")</x:f>
        <x:v>2.2600000000000002</x:v>
      </x:c>
    </x:row>
    <x:row r="2023">
      <x:c r="A2023" s="187" t="n">
        <x:v>45323</x:v>
      </x:c>
      <x:c r="B2023" s="195" t="n">
        <x:v>3.87</x:v>
      </x:c>
      <x:c r="C2023" s="195" t="n">
        <x:v>1.68</x:v>
      </x:c>
      <x:c r="D2023" s="195" t="n">
        <x:f>IFERROR(B2023-C2023,"")</x:f>
        <x:v>2.1900000000000004</x:v>
      </x:c>
    </x:row>
    <x:row r="2024">
      <x:c r="A2024" s="187" t="n">
        <x:v>45324</x:v>
      </x:c>
      <x:c r="B2024" s="195" t="n">
        <x:v>4.03</x:v>
      </x:c>
      <x:c r="C2024" s="195" t="n">
        <x:v>1.82</x:v>
      </x:c>
      <x:c r="D2024" s="195" t="n">
        <x:f>IFERROR(B2024-C2024,"")</x:f>
        <x:v>2.21</x:v>
      </x:c>
    </x:row>
    <x:row r="2025">
      <x:c r="A2025" s="187" t="n">
        <x:v>45327</x:v>
      </x:c>
      <x:c r="B2025" s="195" t="n">
        <x:v>4.17</x:v>
      </x:c>
      <x:c r="C2025" s="195" t="n">
        <x:v>1.9</x:v>
      </x:c>
      <x:c r="D2025" s="195" t="n">
        <x:f>IFERROR(B2025-C2025,"")</x:f>
        <x:v>2.27</x:v>
      </x:c>
    </x:row>
    <x:row r="2026">
      <x:c r="A2026" s="187" t="n">
        <x:v>45328</x:v>
      </x:c>
      <x:c r="B2026" s="195" t="n">
        <x:v>4.09</x:v>
      </x:c>
      <x:c r="C2026" s="195" t="n">
        <x:v>1.85</x:v>
      </x:c>
      <x:c r="D2026" s="195" t="n">
        <x:f>IFERROR(B2026-C2026,"")</x:f>
        <x:v>2.2399999999999998</x:v>
      </x:c>
    </x:row>
    <x:row r="2027">
      <x:c r="A2027" s="187" t="n">
        <x:v>45329</x:v>
      </x:c>
      <x:c r="B2027" s="195" t="n">
        <x:v>4.09</x:v>
      </x:c>
      <x:c r="C2027" s="195" t="n">
        <x:v>1.86</x:v>
      </x:c>
      <x:c r="D2027" s="195" t="n">
        <x:f>IFERROR(B2027-C2027,"")</x:f>
        <x:v>2.2299999999999995</x:v>
      </x:c>
    </x:row>
    <x:row r="2028">
      <x:c r="A2028" s="187" t="n">
        <x:v>45330</x:v>
      </x:c>
      <x:c r="B2028" s="195" t="n">
        <x:v>4.15</x:v>
      </x:c>
      <x:c r="C2028" s="195" t="n">
        <x:v>1.91</x:v>
      </x:c>
      <x:c r="D2028" s="195" t="n">
        <x:f>IFERROR(B2028-C2028,"")</x:f>
        <x:v>2.24</x:v>
      </x:c>
    </x:row>
    <x:row r="2029">
      <x:c r="A2029" s="187" t="n">
        <x:v>45331</x:v>
      </x:c>
      <x:c r="B2029" s="195" t="n">
        <x:v>4.17</x:v>
      </x:c>
      <x:c r="C2029" s="195" t="n">
        <x:v>1.92</x:v>
      </x:c>
      <x:c r="D2029" s="195" t="n">
        <x:f>IFERROR(B2029-C2029,"")</x:f>
        <x:v>2.25</x:v>
      </x:c>
    </x:row>
    <x:row r="2030">
      <x:c r="A2030" s="187" t="n">
        <x:v>45334</x:v>
      </x:c>
      <x:c r="B2030" s="195" t="n">
        <x:v>4.17</x:v>
      </x:c>
      <x:c r="C2030" s="195" t="n">
        <x:v>1.93</x:v>
      </x:c>
      <x:c r="D2030" s="195" t="n">
        <x:f>IFERROR(B2030-C2030,"")</x:f>
        <x:v>2.24</x:v>
      </x:c>
    </x:row>
    <x:row r="2031">
      <x:c r="A2031" s="187" t="n">
        <x:v>45335</x:v>
      </x:c>
      <x:c r="B2031" s="195" t="n">
        <x:v>4.31</x:v>
      </x:c>
      <x:c r="C2031" s="195" t="n">
        <x:v>2.02</x:v>
      </x:c>
      <x:c r="D2031" s="195" t="n">
        <x:f>IFERROR(B2031-C2031,"")</x:f>
        <x:v>2.2899999999999996</x:v>
      </x:c>
    </x:row>
    <x:row r="2032">
      <x:c r="A2032" s="187" t="n">
        <x:v>45336</x:v>
      </x:c>
      <x:c r="B2032" s="195" t="n">
        <x:v>4.27</x:v>
      </x:c>
      <x:c r="C2032" s="195" t="n">
        <x:v>1.97</x:v>
      </x:c>
      <x:c r="D2032" s="195" t="n">
        <x:f>IFERROR(B2032-C2032,"")</x:f>
        <x:v>2.3</x:v>
      </x:c>
    </x:row>
    <x:row r="2033">
      <x:c r="A2033" s="187" t="n">
        <x:v>45337</x:v>
      </x:c>
      <x:c r="B2033" s="195" t="n">
        <x:v>4.24</x:v>
      </x:c>
      <x:c r="C2033" s="195" t="n">
        <x:v>1.94</x:v>
      </x:c>
      <x:c r="D2033" s="195" t="n">
        <x:f>IFERROR(B2033-C2033,"")</x:f>
        <x:v>2.3000000000000003</x:v>
      </x:c>
    </x:row>
    <x:row r="2034">
      <x:c r="A2034" s="187" t="n">
        <x:v>45338</x:v>
      </x:c>
      <x:c r="B2034" s="195" t="n">
        <x:v>4.3</x:v>
      </x:c>
      <x:c r="C2034" s="195" t="n">
        <x:v>1.97</x:v>
      </x:c>
      <x:c r="D2034" s="195" t="n">
        <x:f>IFERROR(B2034-C2034,"")</x:f>
        <x:v>2.33</x:v>
      </x:c>
    </x:row>
    <x:row r="2035">
      <x:c r="A2035" s="187" t="n">
        <x:v>45342</x:v>
      </x:c>
      <x:c r="B2035" s="195" t="n">
        <x:v>4.27</x:v>
      </x:c>
      <x:c r="C2035" s="195" t="n">
        <x:v>1.95</x:v>
      </x:c>
      <x:c r="D2035" s="195" t="n">
        <x:f>IFERROR(B2035-C2035,"")</x:f>
        <x:v>2.3199999999999994</x:v>
      </x:c>
    </x:row>
    <x:row r="2036">
      <x:c r="A2036" s="187" t="n">
        <x:v>45343</x:v>
      </x:c>
      <x:c r="B2036" s="195" t="n">
        <x:v>4.32</x:v>
      </x:c>
      <x:c r="C2036" s="195" t="n">
        <x:v>1.98</x:v>
      </x:c>
      <x:c r="D2036" s="195" t="n">
        <x:f>IFERROR(B2036-C2036,"")</x:f>
        <x:v>2.3400000000000003</x:v>
      </x:c>
    </x:row>
    <x:row r="2037">
      <x:c r="A2037" s="187" t="n">
        <x:v>45344</x:v>
      </x:c>
      <x:c r="B2037" s="195" t="n">
        <x:v>4.33</x:v>
      </x:c>
      <x:c r="C2037" s="195" t="n">
        <x:v>2.02</x:v>
      </x:c>
      <x:c r="D2037" s="195" t="n">
        <x:f>IFERROR(B2037-C2037,"")</x:f>
        <x:v>2.31</x:v>
      </x:c>
    </x:row>
    <x:row r="2038">
      <x:c r="A2038" s="187" t="n">
        <x:v>45345</x:v>
      </x:c>
      <x:c r="B2038" s="195" t="n">
        <x:v>4.26</x:v>
      </x:c>
      <x:c r="C2038" s="195" t="n">
        <x:v>1.96</x:v>
      </x:c>
      <x:c r="D2038" s="195" t="n">
        <x:f>IFERROR(B2038-C2038,"")</x:f>
        <x:v>2.3</x:v>
      </x:c>
    </x:row>
    <x:row r="2039">
      <x:c r="A2039" s="187" t="n">
        <x:v>45348</x:v>
      </x:c>
      <x:c r="B2039" s="195" t="n">
        <x:v>4.28</x:v>
      </x:c>
      <x:c r="C2039" s="195" t="n">
        <x:v>1.97</x:v>
      </x:c>
      <x:c r="D2039" s="195" t="n">
        <x:f>IFERROR(B2039-C2039,"")</x:f>
        <x:v>2.3100000000000005</x:v>
      </x:c>
    </x:row>
    <x:row r="2040">
      <x:c r="A2040" s="187" t="n">
        <x:v>45349</x:v>
      </x:c>
      <x:c r="B2040" s="195" t="n">
        <x:v>4.31</x:v>
      </x:c>
      <x:c r="C2040" s="195" t="n">
        <x:v>1.99</x:v>
      </x:c>
      <x:c r="D2040" s="195" t="n">
        <x:f>IFERROR(B2040-C2040,"")</x:f>
        <x:v>2.3199999999999994</x:v>
      </x:c>
    </x:row>
    <x:row r="2041">
      <x:c r="A2041" s="187" t="n">
        <x:v>45350</x:v>
      </x:c>
      <x:c r="B2041" s="195" t="n">
        <x:v>4.27</x:v>
      </x:c>
      <x:c r="C2041" s="195" t="n">
        <x:v>1.94</x:v>
      </x:c>
      <x:c r="D2041" s="195" t="n">
        <x:f>IFERROR(B2041-C2041,"")</x:f>
        <x:v>2.3299999999999996</x:v>
      </x:c>
    </x:row>
    <x:row r="2042">
      <x:c r="A2042" s="187" t="n">
        <x:v>45351</x:v>
      </x:c>
      <x:c r="B2042" s="195" t="n">
        <x:v>4.25</x:v>
      </x:c>
      <x:c r="C2042" s="195" t="n">
        <x:v>1.92</x:v>
      </x:c>
      <x:c r="D2042" s="195" t="n">
        <x:f>IFERROR(B2042-C2042,"")</x:f>
        <x:v>2.33</x:v>
      </x:c>
    </x:row>
    <x:row r="2043">
      <x:c r="A2043" s="187" t="n">
        <x:v>45352</x:v>
      </x:c>
      <x:c r="B2043" s="195" t="n">
        <x:v>4.19</x:v>
      </x:c>
      <x:c r="C2043" s="195" t="n">
        <x:v>1.87</x:v>
      </x:c>
      <x:c r="D2043" s="195" t="n">
        <x:f>IFERROR(B2043-C2043,"")</x:f>
        <x:v>2.3200000000000003</x:v>
      </x:c>
    </x:row>
    <x:row r="2044">
      <x:c r="A2044" s="187" t="n">
        <x:v>45355</x:v>
      </x:c>
      <x:c r="B2044" s="195" t="n">
        <x:v>4.22</x:v>
      </x:c>
      <x:c r="C2044" s="195" t="n">
        <x:v>1.88</x:v>
      </x:c>
      <x:c r="D2044" s="195" t="n">
        <x:f>IFERROR(B2044-C2044,"")</x:f>
        <x:v>2.34</x:v>
      </x:c>
    </x:row>
    <x:row r="2045">
      <x:c r="A2045" s="187" t="n">
        <x:v>45356</x:v>
      </x:c>
      <x:c r="B2045" s="195" t="n">
        <x:v>4.13</x:v>
      </x:c>
      <x:c r="C2045" s="195" t="n">
        <x:v>1.81</x:v>
      </x:c>
      <x:c r="D2045" s="195" t="n">
        <x:f>IFERROR(B2045-C2045,"")</x:f>
        <x:v>2.32</x:v>
      </x:c>
    </x:row>
    <x:row r="2046">
      <x:c r="A2046" s="187" t="n">
        <x:v>45357</x:v>
      </x:c>
      <x:c r="B2046" s="195" t="n">
        <x:v>4.11</x:v>
      </x:c>
      <x:c r="C2046" s="195" t="n">
        <x:v>1.81</x:v>
      </x:c>
      <x:c r="D2046" s="195" t="n">
        <x:f>IFERROR(B2046-C2046,"")</x:f>
        <x:v>2.3000000000000003</x:v>
      </x:c>
    </x:row>
    <x:row r="2047">
      <x:c r="A2047" s="187" t="n">
        <x:v>45358</x:v>
      </x:c>
      <x:c r="B2047" s="195" t="n">
        <x:v>4.09</x:v>
      </x:c>
      <x:c r="C2047" s="195" t="n">
        <x:v>1.81</x:v>
      </x:c>
      <x:c r="D2047" s="195" t="n">
        <x:f>IFERROR(B2047-C2047,"")</x:f>
        <x:v>2.28</x:v>
      </x:c>
    </x:row>
    <x:row r="2048">
      <x:c r="A2048" s="187" t="n">
        <x:v>45359</x:v>
      </x:c>
      <x:c r="B2048" s="195" t="n">
        <x:v>4.09</x:v>
      </x:c>
      <x:c r="C2048" s="195" t="n">
        <x:v>1.81</x:v>
      </x:c>
      <x:c r="D2048" s="195" t="n">
        <x:f>IFERROR(B2048-C2048,"")</x:f>
        <x:v>2.28</x:v>
      </x:c>
    </x:row>
    <x:row r="2049">
      <x:c r="A2049" s="187" t="n">
        <x:v>45362</x:v>
      </x:c>
      <x:c r="B2049" s="195" t="n">
        <x:v>4.1</x:v>
      </x:c>
      <x:c r="C2049" s="195" t="n">
        <x:v>1.83</x:v>
      </x:c>
      <x:c r="D2049" s="195" t="n">
        <x:f>IFERROR(B2049-C2049,"")</x:f>
        <x:v>2.2699999999999996</x:v>
      </x:c>
    </x:row>
    <x:row r="2050">
      <x:c r="A2050" s="187" t="n">
        <x:v>45363</x:v>
      </x:c>
      <x:c r="B2050" s="195" t="n">
        <x:v>4.16</x:v>
      </x:c>
      <x:c r="C2050" s="195" t="n">
        <x:v>1.86</x:v>
      </x:c>
      <x:c r="D2050" s="195" t="n">
        <x:f>IFERROR(B2050-C2050,"")</x:f>
        <x:v>2.3</x:v>
      </x:c>
    </x:row>
    <x:row r="2051">
      <x:c r="A2051" s="187" t="n">
        <x:v>45364</x:v>
      </x:c>
      <x:c r="B2051" s="195" t="n">
        <x:v>4.19</x:v>
      </x:c>
      <x:c r="C2051" s="195" t="n">
        <x:v>1.89</x:v>
      </x:c>
      <x:c r="D2051" s="195" t="n">
        <x:f>IFERROR(B2051-C2051,"")</x:f>
        <x:v>2.3000000000000007</x:v>
      </x:c>
    </x:row>
    <x:row r="2052">
      <x:c r="A2052" s="187" t="n">
        <x:v>45365</x:v>
      </x:c>
      <x:c r="B2052" s="195" t="n">
        <x:v>4.29</x:v>
      </x:c>
      <x:c r="C2052" s="195" t="n">
        <x:v>1.99</x:v>
      </x:c>
      <x:c r="D2052" s="195" t="n">
        <x:f>IFERROR(B2052-C2052,"")</x:f>
        <x:v>2.3</x:v>
      </x:c>
    </x:row>
    <x:row r="2053">
      <x:c r="A2053" s="187" t="n">
        <x:v>45366</x:v>
      </x:c>
      <x:c r="B2053" s="195" t="n">
        <x:v>4.31</x:v>
      </x:c>
      <x:c r="C2053" s="195" t="n">
        <x:v>1.99</x:v>
      </x:c>
      <x:c r="D2053" s="195" t="n">
        <x:f>IFERROR(B2053-C2053,"")</x:f>
        <x:v>2.3199999999999994</x:v>
      </x:c>
    </x:row>
    <x:row r="2054">
      <x:c r="A2054" s="187" t="n">
        <x:v>45369</x:v>
      </x:c>
      <x:c r="B2054" s="195" t="n">
        <x:v>4.34</x:v>
      </x:c>
      <x:c r="C2054" s="195" t="n">
        <x:v>2.03</x:v>
      </x:c>
      <x:c r="D2054" s="195" t="n">
        <x:f>IFERROR(B2054-C2054,"")</x:f>
        <x:v>2.31</x:v>
      </x:c>
    </x:row>
    <x:row r="2055">
      <x:c r="A2055" s="187" t="n">
        <x:v>45370</x:v>
      </x:c>
      <x:c r="B2055" s="195" t="n">
        <x:v>4.3</x:v>
      </x:c>
      <x:c r="C2055" s="195" t="n">
        <x:v>2</x:v>
      </x:c>
      <x:c r="D2055" s="195" t="n">
        <x:f>IFERROR(B2055-C2055,"")</x:f>
        <x:v>2.3</x:v>
      </x:c>
    </x:row>
    <x:row r="2056">
      <x:c r="A2056" s="187" t="n">
        <x:v>45371</x:v>
      </x:c>
      <x:c r="B2056" s="195" t="n">
        <x:v>4.27</x:v>
      </x:c>
      <x:c r="C2056" s="195" t="n">
        <x:v>1.96</x:v>
      </x:c>
      <x:c r="D2056" s="195" t="n">
        <x:f>IFERROR(B2056-C2056,"")</x:f>
        <x:v>2.3099999999999996</x:v>
      </x:c>
    </x:row>
    <x:row r="2057">
      <x:c r="A2057" s="187" t="n">
        <x:v>45372</x:v>
      </x:c>
      <x:c r="B2057" s="195" t="n">
        <x:v>4.27</x:v>
      </x:c>
      <x:c r="C2057" s="195" t="n">
        <x:v>1.93</x:v>
      </x:c>
      <x:c r="D2057" s="195" t="n">
        <x:f>IFERROR(B2057-C2057,"")</x:f>
        <x:v>2.34</x:v>
      </x:c>
    </x:row>
    <x:row r="2058">
      <x:c r="A2058" s="187" t="n">
        <x:v>45373</x:v>
      </x:c>
      <x:c r="B2058" s="195" t="n">
        <x:v>4.22</x:v>
      </x:c>
      <x:c r="C2058" s="195" t="n">
        <x:v>1.87</x:v>
      </x:c>
      <x:c r="D2058" s="195" t="n">
        <x:f>IFERROR(B2058-C2058,"")</x:f>
        <x:v>2.3499999999999996</x:v>
      </x:c>
    </x:row>
    <x:row r="2059">
      <x:c r="A2059" s="187" t="n">
        <x:v>45376</x:v>
      </x:c>
      <x:c r="B2059" s="195" t="n">
        <x:v>4.25</x:v>
      </x:c>
      <x:c r="C2059" s="195" t="n">
        <x:v>1.92</x:v>
      </x:c>
      <x:c r="D2059" s="195" t="n">
        <x:f>IFERROR(B2059-C2059,"")</x:f>
        <x:v>2.33</x:v>
      </x:c>
    </x:row>
    <x:row r="2060">
      <x:c r="A2060" s="187" t="n">
        <x:v>45377</x:v>
      </x:c>
      <x:c r="B2060" s="195" t="n">
        <x:v>4.24</x:v>
      </x:c>
      <x:c r="C2060" s="195" t="n">
        <x:v>1.92</x:v>
      </x:c>
      <x:c r="D2060" s="195" t="n">
        <x:f>IFERROR(B2060-C2060,"")</x:f>
        <x:v>2.3200000000000003</x:v>
      </x:c>
    </x:row>
    <x:row r="2061">
      <x:c r="A2061" s="187" t="n">
        <x:v>45378</x:v>
      </x:c>
      <x:c r="B2061" s="195" t="n">
        <x:v>4.2</x:v>
      </x:c>
      <x:c r="C2061" s="195" t="n">
        <x:v>1.88</x:v>
      </x:c>
      <x:c r="D2061" s="195" t="n">
        <x:f>IFERROR(B2061-C2061,"")</x:f>
        <x:v>2.3200000000000003</x:v>
      </x:c>
    </x:row>
    <x:row r="2062">
      <x:c r="A2062" s="187" t="n">
        <x:v>45379</x:v>
      </x:c>
      <x:c r="B2062" s="195" t="n">
        <x:v>4.2</x:v>
      </x:c>
      <x:c r="C2062" s="195" t="n">
        <x:v>1.88</x:v>
      </x:c>
      <x:c r="D2062" s="195" t="n">
        <x:f>IFERROR(B2062-C2062,"")</x:f>
        <x:v>2.3200000000000003</x:v>
      </x:c>
    </x:row>
    <x:row r="2063">
      <x:c r="A2063" s="187" t="n">
        <x:v>45383</x:v>
      </x:c>
      <x:c r="B2063" s="195" t="n">
        <x:v>4.33</x:v>
      </x:c>
      <x:c r="C2063" s="195" t="n">
        <x:v>1.98</x:v>
      </x:c>
      <x:c r="D2063" s="195" t="n">
        <x:f>IFERROR(B2063-C2063,"")</x:f>
        <x:v>2.35</x:v>
      </x:c>
    </x:row>
    <x:row r="2064">
      <x:c r="A2064" s="187" t="n">
        <x:v>45384</x:v>
      </x:c>
      <x:c r="B2064" s="195" t="n">
        <x:v>4.36</x:v>
      </x:c>
      <x:c r="C2064" s="195" t="n">
        <x:v>2</x:v>
      </x:c>
      <x:c r="D2064" s="195" t="n">
        <x:f>IFERROR(B2064-C2064,"")</x:f>
        <x:v>2.3600000000000003</x:v>
      </x:c>
    </x:row>
    <x:row r="2065">
      <x:c r="A2065" s="187" t="n">
        <x:v>45385</x:v>
      </x:c>
      <x:c r="B2065" s="195" t="n">
        <x:v>4.36</x:v>
      </x:c>
      <x:c r="C2065" s="195" t="n">
        <x:v>2</x:v>
      </x:c>
      <x:c r="D2065" s="195" t="n">
        <x:f>IFERROR(B2065-C2065,"")</x:f>
        <x:v>2.3600000000000003</x:v>
      </x:c>
    </x:row>
    <x:row r="2066">
      <x:c r="A2066" s="187" t="n">
        <x:v>45386</x:v>
      </x:c>
      <x:c r="B2066" s="195" t="n">
        <x:v>4.31</x:v>
      </x:c>
      <x:c r="C2066" s="195" t="n">
        <x:v>1.97</x:v>
      </x:c>
      <x:c r="D2066" s="195" t="n">
        <x:f>IFERROR(B2066-C2066,"")</x:f>
        <x:v>2.34</x:v>
      </x:c>
    </x:row>
    <x:row r="2067">
      <x:c r="A2067" s="187" t="n">
        <x:v>45387</x:v>
      </x:c>
      <x:c r="B2067" s="195" t="n">
        <x:v>4.39</x:v>
      </x:c>
      <x:c r="C2067" s="195" t="n">
        <x:v>2.02</x:v>
      </x:c>
      <x:c r="D2067" s="195" t="n">
        <x:f>IFERROR(B2067-C2067,"")</x:f>
        <x:v>2.3699999999999997</x:v>
      </x:c>
    </x:row>
    <x:row r="2068">
      <x:c r="A2068" s="187" t="n">
        <x:v>45390</x:v>
      </x:c>
      <x:c r="B2068" s="195" t="n">
        <x:v>4.42</x:v>
      </x:c>
      <x:c r="C2068" s="195" t="n">
        <x:v>2.04</x:v>
      </x:c>
      <x:c r="D2068" s="195" t="n">
        <x:f>IFERROR(B2068-C2068,"")</x:f>
        <x:v>2.38</x:v>
      </x:c>
    </x:row>
    <x:row r="2069">
      <x:c r="A2069" s="187" t="n">
        <x:v>45391</x:v>
      </x:c>
      <x:c r="B2069" s="195" t="n">
        <x:v>4.36</x:v>
      </x:c>
      <x:c r="C2069" s="195" t="n">
        <x:v>2</x:v>
      </x:c>
      <x:c r="D2069" s="195" t="n">
        <x:f>IFERROR(B2069-C2069,"")</x:f>
        <x:v>2.3600000000000003</x:v>
      </x:c>
    </x:row>
    <x:row r="2070">
      <x:c r="A2070" s="187" t="n">
        <x:v>45392</x:v>
      </x:c>
      <x:c r="B2070" s="195" t="n">
        <x:v>4.55</x:v>
      </x:c>
      <x:c r="C2070" s="195" t="n">
        <x:v>2.15</x:v>
      </x:c>
      <x:c r="D2070" s="195" t="n">
        <x:f>IFERROR(B2070-C2070,"")</x:f>
        <x:v>2.4</x:v>
      </x:c>
    </x:row>
    <x:row r="2071">
      <x:c r="A2071" s="187" t="n">
        <x:v>45393</x:v>
      </x:c>
      <x:c r="B2071" s="195" t="n">
        <x:v>4.56</x:v>
      </x:c>
      <x:c r="C2071" s="195" t="n">
        <x:v>2.16</x:v>
      </x:c>
      <x:c r="D2071" s="195" t="n">
        <x:f>IFERROR(B2071-C2071,"")</x:f>
        <x:v>2.3999999999999995</x:v>
      </x:c>
    </x:row>
    <x:row r="2072">
      <x:c r="A2072" s="187" t="n">
        <x:v>45394</x:v>
      </x:c>
      <x:c r="B2072" s="195" t="n">
        <x:v>4.5</x:v>
      </x:c>
      <x:c r="C2072" s="195" t="n">
        <x:v>2.11</x:v>
      </x:c>
      <x:c r="D2072" s="195" t="n">
        <x:f>IFERROR(B2072-C2072,"")</x:f>
        <x:v>2.39</x:v>
      </x:c>
    </x:row>
    <x:row r="2073">
      <x:c r="A2073" s="187" t="n">
        <x:v>45397</x:v>
      </x:c>
      <x:c r="B2073" s="195" t="n">
        <x:v>4.63</x:v>
      </x:c>
      <x:c r="C2073" s="195" t="n">
        <x:v>2.2</x:v>
      </x:c>
      <x:c r="D2073" s="195" t="n">
        <x:f>IFERROR(B2073-C2073,"")</x:f>
        <x:v>2.4299999999999997</x:v>
      </x:c>
    </x:row>
    <x:row r="2074">
      <x:c r="A2074" s="187" t="n">
        <x:v>45398</x:v>
      </x:c>
      <x:c r="B2074" s="195" t="n">
        <x:v>4.67</x:v>
      </x:c>
      <x:c r="C2074" s="195" t="n">
        <x:v>2.24</x:v>
      </x:c>
      <x:c r="D2074" s="195" t="n">
        <x:f>IFERROR(B2074-C2074,"")</x:f>
        <x:v>2.4299999999999997</x:v>
      </x:c>
    </x:row>
    <x:row r="2075">
      <x:c r="A2075" s="187" t="n">
        <x:v>45399</x:v>
      </x:c>
      <x:c r="B2075" s="195" t="n">
        <x:v>4.59</x:v>
      </x:c>
      <x:c r="C2075" s="195" t="n">
        <x:v>2.2</x:v>
      </x:c>
      <x:c r="D2075" s="195" t="n">
        <x:f>IFERROR(B2075-C2075,"")</x:f>
        <x:v>2.3899999999999997</x:v>
      </x:c>
    </x:row>
    <x:row r="2076">
      <x:c r="A2076" s="187" t="n">
        <x:v>45400</x:v>
      </x:c>
      <x:c r="B2076" s="195" t="n">
        <x:v>4.64</x:v>
      </x:c>
      <x:c r="C2076" s="195" t="n">
        <x:v>2.24</x:v>
      </x:c>
      <x:c r="D2076" s="195" t="n">
        <x:f>IFERROR(B2076-C2076,"")</x:f>
        <x:v>2.3999999999999995</x:v>
      </x:c>
    </x:row>
    <x:row r="2077">
      <x:c r="A2077" s="187" t="n">
        <x:v>45401</x:v>
      </x:c>
      <x:c r="B2077" s="195" t="n">
        <x:v>4.62</x:v>
      </x:c>
      <x:c r="C2077" s="195" t="n">
        <x:v>2.21</x:v>
      </x:c>
      <x:c r="D2077" s="195" t="n">
        <x:f>IFERROR(B2077-C2077,"")</x:f>
        <x:v>2.41</x:v>
      </x:c>
    </x:row>
    <x:row r="2078">
      <x:c r="A2078" s="187" t="n">
        <x:v>45404</x:v>
      </x:c>
      <x:c r="B2078" s="195" t="n">
        <x:v>4.62</x:v>
      </x:c>
      <x:c r="C2078" s="195" t="n">
        <x:v>2.21</x:v>
      </x:c>
      <x:c r="D2078" s="195" t="n">
        <x:f>IFERROR(B2078-C2078,"")</x:f>
        <x:v>2.41</x:v>
      </x:c>
    </x:row>
    <x:row r="2079">
      <x:c r="A2079" s="187" t="n">
        <x:v>45405</x:v>
      </x:c>
      <x:c r="B2079" s="195" t="n">
        <x:v>4.61</x:v>
      </x:c>
      <x:c r="C2079" s="195" t="n">
        <x:v>2.2</x:v>
      </x:c>
      <x:c r="D2079" s="195" t="n">
        <x:f>IFERROR(B2079-C2079,"")</x:f>
        <x:v>2.41</x:v>
      </x:c>
    </x:row>
    <x:row r="2080">
      <x:c r="A2080" s="187" t="n">
        <x:v>45406</x:v>
      </x:c>
      <x:c r="B2080" s="195" t="n">
        <x:v>4.65</x:v>
      </x:c>
      <x:c r="C2080" s="195" t="n">
        <x:v>2.24</x:v>
      </x:c>
      <x:c r="D2080" s="195" t="n">
        <x:f>IFERROR(B2080-C2080,"")</x:f>
        <x:v>2.41</x:v>
      </x:c>
    </x:row>
    <x:row r="2081">
      <x:c r="A2081" s="187" t="n">
        <x:v>45407</x:v>
      </x:c>
      <x:c r="B2081" s="195" t="n">
        <x:v>4.7</x:v>
      </x:c>
      <x:c r="C2081" s="195" t="n">
        <x:v>2.28</x:v>
      </x:c>
      <x:c r="D2081" s="195" t="n">
        <x:f>IFERROR(B2081-C2081,"")</x:f>
        <x:v>2.4200000000000004</x:v>
      </x:c>
    </x:row>
    <x:row r="2082">
      <x:c r="A2082" s="187" t="n">
        <x:v>45408</x:v>
      </x:c>
      <x:c r="B2082" s="195" t="n">
        <x:v>4.67</x:v>
      </x:c>
      <x:c r="C2082" s="195" t="n">
        <x:v>2.24</x:v>
      </x:c>
      <x:c r="D2082" s="195" t="n">
        <x:f>IFERROR(B2082-C2082,"")</x:f>
        <x:v>2.4299999999999997</x:v>
      </x:c>
    </x:row>
    <x:row r="2083">
      <x:c r="A2083" s="187" t="n">
        <x:v>45411</x:v>
      </x:c>
      <x:c r="B2083" s="195" t="n">
        <x:v>4.63</x:v>
      </x:c>
      <x:c r="C2083" s="195" t="n">
        <x:v>2.22</x:v>
      </x:c>
      <x:c r="D2083" s="195" t="n">
        <x:f>IFERROR(B2083-C2083,"")</x:f>
        <x:v>2.4099999999999997</x:v>
      </x:c>
    </x:row>
    <x:row r="2084">
      <x:c r="A2084" s="187" t="n">
        <x:v>45412</x:v>
      </x:c>
      <x:c r="B2084" s="195" t="n">
        <x:v>4.69</x:v>
      </x:c>
      <x:c r="C2084" s="195" t="n">
        <x:v>2.28</x:v>
      </x:c>
      <x:c r="D2084" s="195" t="n">
        <x:f>IFERROR(B2084-C2084,"")</x:f>
        <x:v>2.4100000000000006</x:v>
      </x:c>
    </x:row>
    <x:row r="2085">
      <x:c r="A2085" s="187" t="n">
        <x:v>45413</x:v>
      </x:c>
      <x:c r="B2085" s="195" t="n">
        <x:v>4.63</x:v>
      </x:c>
      <x:c r="C2085" s="195" t="n">
        <x:v>2.25</x:v>
      </x:c>
      <x:c r="D2085" s="195" t="n">
        <x:f>IFERROR(B2085-C2085,"")</x:f>
        <x:v>2.38</x:v>
      </x:c>
    </x:row>
    <x:row r="2086">
      <x:c r="A2086" s="187" t="n">
        <x:v>45414</x:v>
      </x:c>
      <x:c r="B2086" s="195" t="n">
        <x:v>4.58</x:v>
      </x:c>
      <x:c r="C2086" s="195" t="n">
        <x:v>2.21</x:v>
      </x:c>
      <x:c r="D2086" s="195" t="n">
        <x:f>IFERROR(B2086-C2086,"")</x:f>
        <x:v>2.37</x:v>
      </x:c>
    </x:row>
    <x:row r="2087">
      <x:c r="A2087" s="187" t="n">
        <x:v>45415</x:v>
      </x:c>
      <x:c r="B2087" s="195" t="n">
        <x:v>4.5</x:v>
      </x:c>
      <x:c r="C2087" s="195" t="n">
        <x:v>2.15</x:v>
      </x:c>
      <x:c r="D2087" s="195" t="n">
        <x:f>IFERROR(B2087-C2087,"")</x:f>
        <x:v>2.35</x:v>
      </x:c>
    </x:row>
    <x:row r="2088">
      <x:c r="A2088" s="187" t="n">
        <x:v>45418</x:v>
      </x:c>
      <x:c r="B2088" s="195" t="n">
        <x:v>4.49</x:v>
      </x:c>
      <x:c r="C2088" s="195" t="n">
        <x:v>2.14</x:v>
      </x:c>
      <x:c r="D2088" s="195" t="n">
        <x:f>IFERROR(B2088-C2088,"")</x:f>
        <x:v>2.35</x:v>
      </x:c>
    </x:row>
    <x:row r="2089">
      <x:c r="A2089" s="187" t="n">
        <x:v>45419</x:v>
      </x:c>
      <x:c r="B2089" s="195" t="n">
        <x:v>4.47</x:v>
      </x:c>
      <x:c r="C2089" s="195" t="n">
        <x:v>2.15</x:v>
      </x:c>
      <x:c r="D2089" s="195" t="n">
        <x:f>IFERROR(B2089-C2089,"")</x:f>
        <x:v>2.32</x:v>
      </x:c>
    </x:row>
    <x:row r="2090">
      <x:c r="A2090" s="187" t="n">
        <x:v>45420</x:v>
      </x:c>
      <x:c r="B2090" s="195" t="n">
        <x:v>4.48</x:v>
      </x:c>
      <x:c r="C2090" s="195" t="n">
        <x:v>2.17</x:v>
      </x:c>
      <x:c r="D2090" s="195" t="n">
        <x:f>IFERROR(B2090-C2090,"")</x:f>
        <x:v>2.3100000000000005</x:v>
      </x:c>
    </x:row>
    <x:row r="2091">
      <x:c r="A2091" s="187" t="n">
        <x:v>45421</x:v>
      </x:c>
      <x:c r="B2091" s="195" t="n">
        <x:v>4.45</x:v>
      </x:c>
      <x:c r="C2091" s="195" t="n">
        <x:v>2.13</x:v>
      </x:c>
      <x:c r="D2091" s="195" t="n">
        <x:f>IFERROR(B2091-C2091,"")</x:f>
        <x:v>2.3200000000000003</x:v>
      </x:c>
    </x:row>
    <x:row r="2092">
      <x:c r="A2092" s="187" t="n">
        <x:v>45422</x:v>
      </x:c>
      <x:c r="B2092" s="195" t="n">
        <x:v>4.5</x:v>
      </x:c>
      <x:c r="C2092" s="195" t="n">
        <x:v>2.16</x:v>
      </x:c>
      <x:c r="D2092" s="195" t="n">
        <x:f>IFERROR(B2092-C2092,"")</x:f>
        <x:v>2.34</x:v>
      </x:c>
    </x:row>
    <x:row r="2093">
      <x:c r="A2093" s="187" t="n">
        <x:v>45425</x:v>
      </x:c>
      <x:c r="B2093" s="195" t="n">
        <x:v>4.48</x:v>
      </x:c>
      <x:c r="C2093" s="195" t="n">
        <x:v>2.15</x:v>
      </x:c>
      <x:c r="D2093" s="195" t="n">
        <x:f>IFERROR(B2093-C2093,"")</x:f>
        <x:v>2.3300000000000005</x:v>
      </x:c>
    </x:row>
    <x:row r="2094">
      <x:c r="A2094" s="187" t="n">
        <x:v>45426</x:v>
      </x:c>
      <x:c r="B2094" s="195" t="n">
        <x:v>4.45</x:v>
      </x:c>
      <x:c r="C2094" s="195" t="n">
        <x:v>2.12</x:v>
      </x:c>
      <x:c r="D2094" s="195" t="n">
        <x:f>IFERROR(B2094-C2094,"")</x:f>
        <x:v>2.33</x:v>
      </x:c>
    </x:row>
    <x:row r="2095">
      <x:c r="A2095" s="187" t="n">
        <x:v>45427</x:v>
      </x:c>
      <x:c r="B2095" s="195" t="n">
        <x:v>4.36</x:v>
      </x:c>
      <x:c r="C2095" s="195" t="n">
        <x:v>2.05</x:v>
      </x:c>
      <x:c r="D2095" s="195" t="n">
        <x:f>IFERROR(B2095-C2095,"")</x:f>
        <x:v>2.3100000000000005</x:v>
      </x:c>
    </x:row>
    <x:row r="2096">
      <x:c r="A2096" s="187" t="n">
        <x:v>45428</x:v>
      </x:c>
      <x:c r="B2096" s="195" t="n">
        <x:v>4.38</x:v>
      </x:c>
      <x:c r="C2096" s="195" t="n">
        <x:v>2.07</x:v>
      </x:c>
      <x:c r="D2096" s="195" t="n">
        <x:f>IFERROR(B2096-C2096,"")</x:f>
        <x:v>2.31</x:v>
      </x:c>
    </x:row>
    <x:row r="2097">
      <x:c r="A2097" s="187" t="n">
        <x:v>45429</x:v>
      </x:c>
      <x:c r="B2097" s="195" t="n">
        <x:v>4.42</x:v>
      </x:c>
      <x:c r="C2097" s="195" t="n">
        <x:v>2.1</x:v>
      </x:c>
      <x:c r="D2097" s="195" t="n">
        <x:f>IFERROR(B2097-C2097,"")</x:f>
        <x:v>2.32</x:v>
      </x:c>
    </x:row>
    <x:row r="2098">
      <x:c r="A2098" s="187" t="n">
        <x:v>45432</x:v>
      </x:c>
      <x:c r="B2098" s="195" t="n">
        <x:v>4.44</x:v>
      </x:c>
      <x:c r="C2098" s="195" t="n">
        <x:v>2.11</x:v>
      </x:c>
      <x:c r="D2098" s="195" t="n">
        <x:f>IFERROR(B2098-C2098,"")</x:f>
        <x:v>2.3300000000000005</x:v>
      </x:c>
    </x:row>
    <x:row r="2099">
      <x:c r="A2099" s="187" t="n">
        <x:v>45433</x:v>
      </x:c>
      <x:c r="B2099" s="195" t="n">
        <x:v>4.41</x:v>
      </x:c>
      <x:c r="C2099" s="195" t="n">
        <x:v>2.09</x:v>
      </x:c>
      <x:c r="D2099" s="195" t="n">
        <x:f>IFERROR(B2099-C2099,"")</x:f>
        <x:v>2.3200000000000003</x:v>
      </x:c>
    </x:row>
    <x:row r="2100">
      <x:c r="A2100" s="187" t="n">
        <x:v>45434</x:v>
      </x:c>
      <x:c r="B2100" s="195" t="n">
        <x:v>4.43</x:v>
      </x:c>
      <x:c r="C2100" s="195" t="n">
        <x:v>2.1</x:v>
      </x:c>
      <x:c r="D2100" s="195" t="n">
        <x:f>IFERROR(B2100-C2100,"")</x:f>
        <x:v>2.3299999999999996</x:v>
      </x:c>
    </x:row>
    <x:row r="2101">
      <x:c r="A2101" s="187" t="n">
        <x:v>45435</x:v>
      </x:c>
      <x:c r="B2101" s="195" t="n">
        <x:v>4.47</x:v>
      </x:c>
      <x:c r="C2101" s="195" t="n">
        <x:v>2.17</x:v>
      </x:c>
      <x:c r="D2101" s="195" t="n">
        <x:f>IFERROR(B2101-C2101,"")</x:f>
        <x:v>2.3</x:v>
      </x:c>
    </x:row>
    <x:row r="2102">
      <x:c r="A2102" s="187" t="n">
        <x:v>45436</x:v>
      </x:c>
      <x:c r="B2102" s="195" t="n">
        <x:v>4.46</x:v>
      </x:c>
      <x:c r="C2102" s="195" t="n">
        <x:v>2.14</x:v>
      </x:c>
      <x:c r="D2102" s="195" t="n">
        <x:f>IFERROR(B2102-C2102,"")</x:f>
        <x:v>2.32</x:v>
      </x:c>
    </x:row>
    <x:row r="2103">
      <x:c r="A2103" s="187" t="n">
        <x:v>45440</x:v>
      </x:c>
      <x:c r="B2103" s="195" t="n">
        <x:v>4.54</x:v>
      </x:c>
      <x:c r="C2103" s="195" t="n">
        <x:v>2.2</x:v>
      </x:c>
      <x:c r="D2103" s="195" t="n">
        <x:f>IFERROR(B2103-C2103,"")</x:f>
        <x:v>2.34</x:v>
      </x:c>
    </x:row>
    <x:row r="2104">
      <x:c r="A2104" s="187" t="n">
        <x:v>45441</x:v>
      </x:c>
      <x:c r="B2104" s="195" t="n">
        <x:v>4.61</x:v>
      </x:c>
      <x:c r="C2104" s="195" t="n">
        <x:v>2.25</x:v>
      </x:c>
      <x:c r="D2104" s="195" t="n">
        <x:f>IFERROR(B2104-C2104,"")</x:f>
        <x:v>2.3600000000000003</x:v>
      </x:c>
    </x:row>
    <x:row r="2105">
      <x:c r="A2105" s="187" t="n">
        <x:v>45442</x:v>
      </x:c>
      <x:c r="B2105" s="195" t="n">
        <x:v>4.55</x:v>
      </x:c>
      <x:c r="C2105" s="195" t="n">
        <x:v>2.19</x:v>
      </x:c>
      <x:c r="D2105" s="195" t="n">
        <x:f>IFERROR(B2105-C2105,"")</x:f>
        <x:v>2.36</x:v>
      </x:c>
    </x:row>
    <x:row r="2106">
      <x:c r="A2106" s="187" t="n">
        <x:v>45443</x:v>
      </x:c>
      <x:c r="B2106" s="195" t="n">
        <x:v>4.51</x:v>
      </x:c>
      <x:c r="C2106" s="195" t="n">
        <x:v>2.16</x:v>
      </x:c>
      <x:c r="D2106" s="195" t="n">
        <x:f>IFERROR(B2106-C2106,"")</x:f>
        <x:v>2.3499999999999996</x:v>
      </x:c>
    </x:row>
    <x:row r="2107">
      <x:c r="A2107" s="187" t="n">
        <x:v>45446</x:v>
      </x:c>
      <x:c r="B2107" s="195" t="n">
        <x:v>4.41</x:v>
      </x:c>
      <x:c r="C2107" s="195" t="n">
        <x:v>2.08</x:v>
      </x:c>
      <x:c r="D2107" s="195" t="n">
        <x:f>IFERROR(B2107-C2107,"")</x:f>
        <x:v>2.33</x:v>
      </x:c>
    </x:row>
    <x:row r="2108">
      <x:c r="A2108" s="187" t="n">
        <x:v>45447</x:v>
      </x:c>
      <x:c r="B2108" s="195" t="n">
        <x:v>4.33</x:v>
      </x:c>
      <x:c r="C2108" s="195" t="n">
        <x:v>2.02</x:v>
      </x:c>
      <x:c r="D2108" s="195" t="n">
        <x:f>IFERROR(B2108-C2108,"")</x:f>
        <x:v>2.31</x:v>
      </x:c>
    </x:row>
    <x:row r="2109">
      <x:c r="A2109" s="187" t="n">
        <x:v>45448</x:v>
      </x:c>
      <x:c r="B2109" s="195" t="n">
        <x:v>4.29</x:v>
      </x:c>
      <x:c r="C2109" s="195" t="n">
        <x:v>1.99</x:v>
      </x:c>
      <x:c r="D2109" s="195" t="n">
        <x:f>IFERROR(B2109-C2109,"")</x:f>
        <x:v>2.3</x:v>
      </x:c>
    </x:row>
    <x:row r="2110">
      <x:c r="A2110" s="187" t="n">
        <x:v>45449</x:v>
      </x:c>
      <x:c r="B2110" s="195" t="n">
        <x:v>4.28</x:v>
      </x:c>
      <x:c r="C2110" s="195" t="n">
        <x:v>2</x:v>
      </x:c>
      <x:c r="D2110" s="195" t="n">
        <x:f>IFERROR(B2110-C2110,"")</x:f>
        <x:v>2.2800000000000002</x:v>
      </x:c>
    </x:row>
    <x:row r="2111">
      <x:c r="A2111" s="187" t="n">
        <x:v>45450</x:v>
      </x:c>
      <x:c r="B2111" s="195" t="n">
        <x:v>4.43</x:v>
      </x:c>
      <x:c r="C2111" s="195" t="n">
        <x:v>2.13</x:v>
      </x:c>
      <x:c r="D2111" s="195" t="n">
        <x:f>IFERROR(B2111-C2111,"")</x:f>
        <x:v>2.3</x:v>
      </x:c>
    </x:row>
    <x:row r="2112">
      <x:c r="A2112" s="187" t="n">
        <x:v>45453</x:v>
      </x:c>
      <x:c r="B2112" s="195" t="n">
        <x:v>4.47</x:v>
      </x:c>
      <x:c r="C2112" s="195" t="n">
        <x:v>2.16</x:v>
      </x:c>
      <x:c r="D2112" s="195" t="n">
        <x:f>IFERROR(B2112-C2112,"")</x:f>
        <x:v>2.3099999999999996</x:v>
      </x:c>
    </x:row>
    <x:row r="2113">
      <x:c r="A2113" s="187" t="n">
        <x:v>45454</x:v>
      </x:c>
      <x:c r="B2113" s="195" t="n">
        <x:v>4.39</x:v>
      </x:c>
      <x:c r="C2113" s="195" t="n">
        <x:v>2.12</x:v>
      </x:c>
      <x:c r="D2113" s="195" t="n">
        <x:f>IFERROR(B2113-C2113,"")</x:f>
        <x:v>2.2699999999999996</x:v>
      </x:c>
    </x:row>
    <x:row r="2114">
      <x:c r="A2114" s="187" t="n">
        <x:v>45455</x:v>
      </x:c>
      <x:c r="B2114" s="195" t="n">
        <x:v>4.31</x:v>
      </x:c>
      <x:c r="C2114" s="195" t="n">
        <x:v>2.09</x:v>
      </x:c>
      <x:c r="D2114" s="195" t="n">
        <x:f>IFERROR(B2114-C2114,"")</x:f>
        <x:v>2.2199999999999998</x:v>
      </x:c>
    </x:row>
    <x:row r="2115">
      <x:c r="A2115" s="187" t="n">
        <x:v>45456</x:v>
      </x:c>
      <x:c r="B2115" s="195" t="n">
        <x:v>4.24</x:v>
      </x:c>
      <x:c r="C2115" s="195" t="n">
        <x:v>2.03</x:v>
      </x:c>
      <x:c r="D2115" s="195" t="n">
        <x:f>IFERROR(B2115-C2115,"")</x:f>
        <x:v>2.2100000000000004</x:v>
      </x:c>
    </x:row>
    <x:row r="2116">
      <x:c r="A2116" s="187" t="n">
        <x:v>45457</x:v>
      </x:c>
      <x:c r="B2116" s="195" t="n">
        <x:v>4.2</x:v>
      </x:c>
      <x:c r="C2116" s="195" t="n">
        <x:v>2.03</x:v>
      </x:c>
      <x:c r="D2116" s="195" t="n">
        <x:f>IFERROR(B2116-C2116,"")</x:f>
        <x:v>2.1700000000000004</x:v>
      </x:c>
    </x:row>
    <x:row r="2117">
      <x:c r="A2117" s="187" t="n">
        <x:v>45460</x:v>
      </x:c>
      <x:c r="B2117" s="195" t="n">
        <x:v>4.28</x:v>
      </x:c>
      <x:c r="C2117" s="195" t="n">
        <x:v>2.06</x:v>
      </x:c>
      <x:c r="D2117" s="195" t="n">
        <x:f>IFERROR(B2117-C2117,"")</x:f>
        <x:v>2.22</x:v>
      </x:c>
    </x:row>
    <x:row r="2118">
      <x:c r="A2118" s="187" t="n">
        <x:v>45461</x:v>
      </x:c>
      <x:c r="B2118" s="195" t="n">
        <x:v>4.22</x:v>
      </x:c>
      <x:c r="C2118" s="195" t="n">
        <x:v>2.01</x:v>
      </x:c>
      <x:c r="D2118" s="195" t="n">
        <x:f>IFERROR(B2118-C2118,"")</x:f>
        <x:v>2.21</x:v>
      </x:c>
    </x:row>
    <x:row r="2119">
      <x:c r="A2119" s="187" t="n">
        <x:v>45463</x:v>
      </x:c>
      <x:c r="B2119" s="195" t="n">
        <x:v>4.25</x:v>
      </x:c>
      <x:c r="C2119" s="195" t="n">
        <x:v>2</x:v>
      </x:c>
      <x:c r="D2119" s="195" t="n">
        <x:f>IFERROR(B2119-C2119,"")</x:f>
        <x:v>2.25</x:v>
      </x:c>
    </x:row>
    <x:row r="2120">
      <x:c r="A2120" s="187" t="n">
        <x:v>45464</x:v>
      </x:c>
      <x:c r="B2120" s="195" t="n">
        <x:v>4.25</x:v>
      </x:c>
      <x:c r="C2120" s="195" t="n">
        <x:v>2.02</x:v>
      </x:c>
      <x:c r="D2120" s="195" t="n">
        <x:f>IFERROR(B2120-C2120,"")</x:f>
        <x:v>2.23</x:v>
      </x:c>
    </x:row>
    <x:row r="2121">
      <x:c r="A2121" s="187" t="n">
        <x:v>45467</x:v>
      </x:c>
      <x:c r="B2121" s="195" t="n">
        <x:v>4.25</x:v>
      </x:c>
      <x:c r="C2121" s="195" t="n">
        <x:v>2.03</x:v>
      </x:c>
      <x:c r="D2121" s="195" t="n">
        <x:f>IFERROR(B2121-C2121,"")</x:f>
        <x:v>2.22</x:v>
      </x:c>
    </x:row>
    <x:row r="2122">
      <x:c r="A2122" s="187" t="n">
        <x:v>45468</x:v>
      </x:c>
      <x:c r="B2122" s="195" t="n">
        <x:v>4.23</x:v>
      </x:c>
      <x:c r="C2122" s="195" t="n">
        <x:v>2.01</x:v>
      </x:c>
      <x:c r="D2122" s="195" t="n">
        <x:f>IFERROR(B2122-C2122,"")</x:f>
        <x:v>2.2200000000000006</x:v>
      </x:c>
    </x:row>
    <x:row r="2123">
      <x:c r="A2123" s="187" t="n">
        <x:v>45469</x:v>
      </x:c>
      <x:c r="B2123" s="195" t="n">
        <x:v>4.32</x:v>
      </x:c>
      <x:c r="C2123" s="195" t="n">
        <x:v>2.06</x:v>
      </x:c>
      <x:c r="D2123" s="195" t="n">
        <x:f>IFERROR(B2123-C2123,"")</x:f>
        <x:v>2.2600000000000002</x:v>
      </x:c>
    </x:row>
    <x:row r="2124">
      <x:c r="A2124" s="187" t="n">
        <x:v>45470</x:v>
      </x:c>
      <x:c r="B2124" s="195" t="n">
        <x:v>4.29</x:v>
      </x:c>
      <x:c r="C2124" s="195" t="n">
        <x:v>2.03</x:v>
      </x:c>
      <x:c r="D2124" s="195" t="n">
        <x:f>IFERROR(B2124-C2124,"")</x:f>
        <x:v>2.2600000000000002</x:v>
      </x:c>
    </x:row>
    <x:row r="2125">
      <x:c r="A2125" s="187" t="n">
        <x:v>45471</x:v>
      </x:c>
      <x:c r="B2125" s="195" t="n">
        <x:v>4.36</x:v>
      </x:c>
      <x:c r="C2125" s="195" t="n">
        <x:v>2.08</x:v>
      </x:c>
      <x:c r="D2125" s="195" t="n">
        <x:f>IFERROR(B2125-C2125,"")</x:f>
        <x:v>2.2800000000000002</x:v>
      </x:c>
    </x:row>
    <x:row r="2126">
      <x:c r="A2126" s="187" t="n">
        <x:v>45474</x:v>
      </x:c>
      <x:c r="B2126" s="195" t="n">
        <x:v>4.48</x:v>
      </x:c>
      <x:c r="C2126" s="195" t="n">
        <x:v>2.16</x:v>
      </x:c>
      <x:c r="D2126" s="195" t="n">
        <x:f>IFERROR(B2126-C2126,"")</x:f>
        <x:v>2.3200000000000003</x:v>
      </x:c>
    </x:row>
    <x:row r="2127">
      <x:c r="A2127" s="187" t="n">
        <x:v>45475</x:v>
      </x:c>
      <x:c r="B2127" s="195" t="n">
        <x:v>4.43</x:v>
      </x:c>
      <x:c r="C2127" s="195" t="n">
        <x:v>2.13</x:v>
      </x:c>
      <x:c r="D2127" s="195" t="n">
        <x:f>IFERROR(B2127-C2127,"")</x:f>
        <x:v>2.3</x:v>
      </x:c>
    </x:row>
    <x:row r="2128">
      <x:c r="A2128" s="187" t="n">
        <x:v>45476</x:v>
      </x:c>
      <x:c r="B2128" s="195" t="n">
        <x:v>4.36</x:v>
      </x:c>
      <x:c r="C2128" s="195" t="n">
        <x:v>2.09</x:v>
      </x:c>
      <x:c r="D2128" s="195" t="n">
        <x:f>IFERROR(B2128-C2128,"")</x:f>
        <x:v>2.2700000000000005</x:v>
      </x:c>
    </x:row>
    <x:row r="2129">
      <x:c r="A2129" s="187" t="n">
        <x:v>45478</x:v>
      </x:c>
      <x:c r="B2129" s="195" t="n">
        <x:v>4.28</x:v>
      </x:c>
      <x:c r="C2129" s="195" t="n">
        <x:v>2</x:v>
      </x:c>
      <x:c r="D2129" s="195" t="n">
        <x:f>IFERROR(B2129-C2129,"")</x:f>
        <x:v>2.2800000000000002</x:v>
      </x:c>
    </x:row>
    <x:row r="2130">
      <x:c r="A2130" s="187" t="n">
        <x:v>45481</x:v>
      </x:c>
      <x:c r="B2130" s="195" t="n">
        <x:v>4.28</x:v>
      </x:c>
      <x:c r="C2130" s="195" t="n">
        <x:v>2.01</x:v>
      </x:c>
      <x:c r="D2130" s="195" t="n">
        <x:f>IFERROR(B2130-C2130,"")</x:f>
        <x:v>2.2700000000000005</x:v>
      </x:c>
    </x:row>
    <x:row r="2131">
      <x:c r="A2131" s="187" t="n">
        <x:v>45482</x:v>
      </x:c>
      <x:c r="B2131" s="195" t="n">
        <x:v>4.3</x:v>
      </x:c>
      <x:c r="C2131" s="195" t="n">
        <x:v>2.04</x:v>
      </x:c>
      <x:c r="D2131" s="195" t="n">
        <x:f>IFERROR(B2131-C2131,"")</x:f>
        <x:v>2.26</x:v>
      </x:c>
    </x:row>
    <x:row r="2132">
      <x:c r="A2132" s="187" t="n">
        <x:v>45483</x:v>
      </x:c>
      <x:c r="B2132" s="195" t="n">
        <x:v>4.28</x:v>
      </x:c>
      <x:c r="C2132" s="195" t="n">
        <x:v>2.01</x:v>
      </x:c>
      <x:c r="D2132" s="195" t="n">
        <x:f>IFERROR(B2132-C2132,"")</x:f>
        <x:v>2.2700000000000005</x:v>
      </x:c>
    </x:row>
    <x:row r="2133">
      <x:c r="A2133" s="187" t="n">
        <x:v>45484</x:v>
      </x:c>
      <x:c r="B2133" s="195" t="n">
        <x:v>4.2</x:v>
      </x:c>
      <x:c r="C2133" s="195" t="n">
        <x:v>1.95</x:v>
      </x:c>
      <x:c r="D2133" s="195" t="n">
        <x:f>IFERROR(B2133-C2133,"")</x:f>
        <x:v>2.25</x:v>
      </x:c>
    </x:row>
    <x:row r="2134">
      <x:c r="A2134" s="187" t="n">
        <x:v>45485</x:v>
      </x:c>
      <x:c r="B2134" s="195" t="n">
        <x:v>4.18</x:v>
      </x:c>
      <x:c r="C2134" s="195" t="n">
        <x:v>1.94</x:v>
      </x:c>
      <x:c r="D2134" s="195" t="n">
        <x:f>IFERROR(B2134-C2134,"")</x:f>
        <x:v>2.2399999999999998</x:v>
      </x:c>
    </x:row>
    <x:row r="2135">
      <x:c r="A2135" s="187" t="n">
        <x:v>45488</x:v>
      </x:c>
      <x:c r="B2135" s="195" t="n">
        <x:v>4.23</x:v>
      </x:c>
      <x:c r="C2135" s="195" t="n">
        <x:v>1.96</x:v>
      </x:c>
      <x:c r="D2135" s="195" t="n">
        <x:f>IFERROR(B2135-C2135,"")</x:f>
        <x:v>2.2700000000000005</x:v>
      </x:c>
    </x:row>
    <x:row r="2136">
      <x:c r="A2136" s="187" t="n">
        <x:v>45489</x:v>
      </x:c>
      <x:c r="B2136" s="195" t="n">
        <x:v>4.17</x:v>
      </x:c>
      <x:c r="C2136" s="195" t="n">
        <x:v>1.91</x:v>
      </x:c>
      <x:c r="D2136" s="195" t="n">
        <x:f>IFERROR(B2136-C2136,"")</x:f>
        <x:v>2.26</x:v>
      </x:c>
    </x:row>
    <x:row r="2137">
      <x:c r="A2137" s="187" t="n">
        <x:v>45490</x:v>
      </x:c>
      <x:c r="B2137" s="195" t="n">
        <x:v>4.16</x:v>
      </x:c>
      <x:c r="C2137" s="195" t="n">
        <x:v>1.9</x:v>
      </x:c>
      <x:c r="D2137" s="195" t="n">
        <x:f>IFERROR(B2137-C2137,"")</x:f>
        <x:v>2.2600000000000002</x:v>
      </x:c>
    </x:row>
    <x:row r="2138">
      <x:c r="A2138" s="187" t="n">
        <x:v>45491</x:v>
      </x:c>
      <x:c r="B2138" s="195" t="n">
        <x:v>4.2</x:v>
      </x:c>
      <x:c r="C2138" s="195" t="n">
        <x:v>1.89</x:v>
      </x:c>
      <x:c r="D2138" s="195" t="n">
        <x:f>IFERROR(B2138-C2138,"")</x:f>
        <x:v>2.3100000000000005</x:v>
      </x:c>
    </x:row>
    <x:row r="2139">
      <x:c r="A2139" s="187" t="n">
        <x:v>45492</x:v>
      </x:c>
      <x:c r="B2139" s="195" t="n">
        <x:v>4.25</x:v>
      </x:c>
      <x:c r="C2139" s="195" t="n">
        <x:v>1.93</x:v>
      </x:c>
      <x:c r="D2139" s="195" t="n">
        <x:f>IFERROR(B2139-C2139,"")</x:f>
        <x:v>2.3200000000000003</x:v>
      </x:c>
    </x:row>
    <x:row r="2140">
      <x:c r="A2140" s="187" t="n">
        <x:v>45495</x:v>
      </x:c>
      <x:c r="B2140" s="195" t="n">
        <x:v>4.26</x:v>
      </x:c>
      <x:c r="C2140" s="195" t="n">
        <x:v>1.96</x:v>
      </x:c>
      <x:c r="D2140" s="195" t="n">
        <x:f>IFERROR(B2140-C2140,"")</x:f>
        <x:v>2.3</x:v>
      </x:c>
    </x:row>
    <x:row r="2141">
      <x:c r="A2141" s="187" t="n">
        <x:v>45496</x:v>
      </x:c>
      <x:c r="B2141" s="195" t="n">
        <x:v>4.25</x:v>
      </x:c>
      <x:c r="C2141" s="195" t="n">
        <x:v>1.96</x:v>
      </x:c>
      <x:c r="D2141" s="195" t="n">
        <x:f>IFERROR(B2141-C2141,"")</x:f>
        <x:v>2.29</x:v>
      </x:c>
    </x:row>
    <x:row r="2142">
      <x:c r="A2142" s="187" t="n">
        <x:v>45497</x:v>
      </x:c>
      <x:c r="B2142" s="195" t="n">
        <x:v>4.28</x:v>
      </x:c>
      <x:c r="C2142" s="195" t="n">
        <x:v>2</x:v>
      </x:c>
      <x:c r="D2142" s="195" t="n">
        <x:f>IFERROR(B2142-C2142,"")</x:f>
        <x:v>2.2800000000000002</x:v>
      </x:c>
    </x:row>
    <x:row r="2143">
      <x:c r="A2143" s="187" t="n">
        <x:v>45498</x:v>
      </x:c>
      <x:c r="B2143" s="195" t="n">
        <x:v>4.27</x:v>
      </x:c>
      <x:c r="C2143" s="195" t="n">
        <x:v>1.99</x:v>
      </x:c>
      <x:c r="D2143" s="195" t="n">
        <x:f>IFERROR(B2143-C2143,"")</x:f>
        <x:v>2.2799999999999994</x:v>
      </x:c>
    </x:row>
    <x:row r="2144">
      <x:c r="A2144" s="187" t="n">
        <x:v>45499</x:v>
      </x:c>
      <x:c r="B2144" s="195" t="n">
        <x:v>4.2</x:v>
      </x:c>
      <x:c r="C2144" s="195" t="n">
        <x:v>1.93</x:v>
      </x:c>
      <x:c r="D2144" s="195" t="n">
        <x:f>IFERROR(B2144-C2144,"")</x:f>
        <x:v>2.2700000000000005</x:v>
      </x:c>
    </x:row>
    <x:row r="2145">
      <x:c r="A2145" s="187" t="n">
        <x:v>45502</x:v>
      </x:c>
      <x:c r="B2145" s="195" t="n">
        <x:v>4.17</x:v>
      </x:c>
      <x:c r="C2145" s="195" t="n">
        <x:v>1.92</x:v>
      </x:c>
      <x:c r="D2145" s="195" t="n">
        <x:f>IFERROR(B2145-C2145,"")</x:f>
        <x:v>2.25</x:v>
      </x:c>
    </x:row>
    <x:row r="2146">
      <x:c r="A2146" s="187" t="n">
        <x:v>45503</x:v>
      </x:c>
      <x:c r="B2146" s="195" t="n">
        <x:v>4.15</x:v>
      </x:c>
      <x:c r="C2146" s="195" t="n">
        <x:v>1.9</x:v>
      </x:c>
      <x:c r="D2146" s="195" t="n">
        <x:f>IFERROR(B2146-C2146,"")</x:f>
        <x:v>2.2500000000000004</x:v>
      </x:c>
    </x:row>
    <x:row r="2147">
      <x:c r="A2147" s="187" t="n">
        <x:v>45504</x:v>
      </x:c>
      <x:c r="B2147" s="195" t="n">
        <x:v>4.09</x:v>
      </x:c>
      <x:c r="C2147" s="195" t="n">
        <x:v>1.85</x:v>
      </x:c>
      <x:c r="D2147" s="195" t="n">
        <x:f>IFERROR(B2147-C2147,"")</x:f>
        <x:v>2.2399999999999998</x:v>
      </x:c>
    </x:row>
    <x:row r="2148">
      <x:c r="A2148" s="187" t="n">
        <x:v>45505</x:v>
      </x:c>
      <x:c r="B2148" s="195" t="n">
        <x:v>3.99</x:v>
      </x:c>
      <x:c r="C2148" s="195" t="n">
        <x:v>1.79</x:v>
      </x:c>
      <x:c r="D2148" s="195" t="n">
        <x:f>IFERROR(B2148-C2148,"")</x:f>
        <x:v>2.2</x:v>
      </x:c>
    </x:row>
    <x:row r="2149">
      <x:c r="A2149" s="187" t="n">
        <x:v>45506</x:v>
      </x:c>
      <x:c r="B2149" s="195" t="n">
        <x:v>3.8</x:v>
      </x:c>
      <x:c r="C2149" s="195" t="n">
        <x:v>1.76</x:v>
      </x:c>
      <x:c r="D2149" s="195" t="n">
        <x:f>IFERROR(B2149-C2149,"")</x:f>
        <x:v>2.04</x:v>
      </x:c>
    </x:row>
    <x:row r="2150">
      <x:c r="A2150" s="187" t="n">
        <x:v>45509</x:v>
      </x:c>
      <x:c r="B2150" s="195" t="n">
        <x:v>3.78</x:v>
      </x:c>
      <x:c r="C2150" s="195" t="n">
        <x:v>1.71</x:v>
      </x:c>
      <x:c r="D2150" s="195" t="n">
        <x:f>IFERROR(B2150-C2150,"")</x:f>
        <x:v>2.07</x:v>
      </x:c>
    </x:row>
    <x:row r="2151">
      <x:c r="A2151" s="187" t="n">
        <x:v>45510</x:v>
      </x:c>
      <x:c r="B2151" s="195" t="n">
        <x:v>3.9</x:v>
      </x:c>
      <x:c r="C2151" s="195" t="n">
        <x:v>1.78</x:v>
      </x:c>
      <x:c r="D2151" s="195" t="n">
        <x:f>IFERROR(B2151-C2151,"")</x:f>
        <x:v>2.12</x:v>
      </x:c>
    </x:row>
    <x:row r="2152">
      <x:c r="A2152" s="187" t="n">
        <x:v>45511</x:v>
      </x:c>
      <x:c r="B2152" s="195" t="n">
        <x:v>3.96</x:v>
      </x:c>
      <x:c r="C2152" s="195" t="n">
        <x:v>1.85</x:v>
      </x:c>
      <x:c r="D2152" s="195" t="n">
        <x:f>IFERROR(B2152-C2152,"")</x:f>
        <x:v>2.11</x:v>
      </x:c>
    </x:row>
    <x:row r="2153">
      <x:c r="A2153" s="187" t="n">
        <x:v>45512</x:v>
      </x:c>
      <x:c r="B2153" s="195" t="n">
        <x:v>3.99</x:v>
      </x:c>
      <x:c r="C2153" s="195" t="n">
        <x:v>1.87</x:v>
      </x:c>
      <x:c r="D2153" s="195" t="n">
        <x:f>IFERROR(B2153-C2153,"")</x:f>
        <x:v>2.12</x:v>
      </x:c>
    </x:row>
    <x:row r="2154">
      <x:c r="A2154" s="187" t="n">
        <x:v>45513</x:v>
      </x:c>
      <x:c r="B2154" s="195" t="n">
        <x:v>3.94</x:v>
      </x:c>
      <x:c r="C2154" s="195" t="n">
        <x:v>1.84</x:v>
      </x:c>
      <x:c r="D2154" s="195" t="n">
        <x:f>IFERROR(B2154-C2154,"")</x:f>
        <x:v>2.0999999999999996</x:v>
      </x:c>
    </x:row>
    <x:row r="2155">
      <x:c r="A2155" s="187" t="n">
        <x:v>45516</x:v>
      </x:c>
      <x:c r="B2155" s="195" t="n">
        <x:v>3.9</x:v>
      </x:c>
      <x:c r="C2155" s="195" t="n">
        <x:v>1.79</x:v>
      </x:c>
      <x:c r="D2155" s="195" t="n">
        <x:f>IFERROR(B2155-C2155,"")</x:f>
        <x:v>2.11</x:v>
      </x:c>
    </x:row>
    <x:row r="2156">
      <x:c r="A2156" s="187" t="n">
        <x:v>45517</x:v>
      </x:c>
      <x:c r="B2156" s="195" t="n">
        <x:v>3.85</x:v>
      </x:c>
      <x:c r="C2156" s="195" t="n">
        <x:v>1.76</x:v>
      </x:c>
      <x:c r="D2156" s="195" t="n">
        <x:f>IFERROR(B2156-C2156,"")</x:f>
        <x:v>2.09</x:v>
      </x:c>
    </x:row>
    <x:row r="2157">
      <x:c r="A2157" s="187" t="n">
        <x:v>45518</x:v>
      </x:c>
      <x:c r="B2157" s="195" t="n">
        <x:v>3.83</x:v>
      </x:c>
      <x:c r="C2157" s="195" t="n">
        <x:v>1.77</x:v>
      </x:c>
      <x:c r="D2157" s="195" t="n">
        <x:f>IFERROR(B2157-C2157,"")</x:f>
        <x:v>2.06</x:v>
      </x:c>
    </x:row>
    <x:row r="2158">
      <x:c r="A2158" s="187" t="n">
        <x:v>45519</x:v>
      </x:c>
      <x:c r="B2158" s="195" t="n">
        <x:v>3.92</x:v>
      </x:c>
      <x:c r="C2158" s="195" t="n">
        <x:v>1.8</x:v>
      </x:c>
      <x:c r="D2158" s="195" t="n">
        <x:f>IFERROR(B2158-C2158,"")</x:f>
        <x:v>2.12</x:v>
      </x:c>
    </x:row>
    <x:row r="2159">
      <x:c r="A2159" s="187" t="n">
        <x:v>45520</x:v>
      </x:c>
      <x:c r="B2159" s="195" t="n">
        <x:v>3.89</x:v>
      </x:c>
      <x:c r="C2159" s="195" t="n">
        <x:v>1.81</x:v>
      </x:c>
      <x:c r="D2159" s="195" t="n">
        <x:f>IFERROR(B2159-C2159,"")</x:f>
        <x:v>2.08</x:v>
      </x:c>
    </x:row>
    <x:row r="2160">
      <x:c r="A2160" s="187" t="n">
        <x:v>45523</x:v>
      </x:c>
      <x:c r="B2160" s="195" t="n">
        <x:v>3.86</x:v>
      </x:c>
      <x:c r="C2160" s="195" t="n">
        <x:v>1.79</x:v>
      </x:c>
      <x:c r="D2160" s="195" t="n">
        <x:f>IFERROR(B2160-C2160,"")</x:f>
        <x:v>2.07</x:v>
      </x:c>
    </x:row>
    <x:row r="2161">
      <x:c r="A2161" s="187" t="n">
        <x:v>45524</x:v>
      </x:c>
      <x:c r="B2161" s="195" t="n">
        <x:v>3.82</x:v>
      </x:c>
      <x:c r="C2161" s="195" t="n">
        <x:v>1.75</x:v>
      </x:c>
      <x:c r="D2161" s="195" t="n">
        <x:f>IFERROR(B2161-C2161,"")</x:f>
        <x:v>2.07</x:v>
      </x:c>
    </x:row>
    <x:row r="2162">
      <x:c r="A2162" s="187" t="n">
        <x:v>45525</x:v>
      </x:c>
      <x:c r="B2162" s="195" t="n">
        <x:v>3.79</x:v>
      </x:c>
      <x:c r="C2162" s="195" t="n">
        <x:v>1.72</x:v>
      </x:c>
      <x:c r="D2162" s="195" t="n">
        <x:f>IFERROR(B2162-C2162,"")</x:f>
        <x:v>2.0700000000000003</x:v>
      </x:c>
    </x:row>
    <x:row r="2163">
      <x:c r="A2163" s="187" t="n">
        <x:v>45526</x:v>
      </x:c>
      <x:c r="B2163" s="195" t="n">
        <x:v>3.86</x:v>
      </x:c>
      <x:c r="C2163" s="195" t="n">
        <x:v>1.76</x:v>
      </x:c>
      <x:c r="D2163" s="195" t="n">
        <x:f>IFERROR(B2163-C2163,"")</x:f>
        <x:v>2.0999999999999996</x:v>
      </x:c>
    </x:row>
    <x:row r="2164">
      <x:c r="A2164" s="187" t="n">
        <x:v>45527</x:v>
      </x:c>
      <x:c r="B2164" s="195" t="n">
        <x:v>3.81</x:v>
      </x:c>
      <x:c r="C2164" s="195" t="n">
        <x:v>1.68</x:v>
      </x:c>
      <x:c r="D2164" s="195" t="n">
        <x:f>IFERROR(B2164-C2164,"")</x:f>
        <x:v>2.13</x:v>
      </x:c>
    </x:row>
    <x:row r="2165">
      <x:c r="A2165" s="187" t="n">
        <x:v>45530</x:v>
      </x:c>
      <x:c r="B2165" s="195" t="n">
        <x:v>3.82</x:v>
      </x:c>
      <x:c r="C2165" s="195" t="n">
        <x:v>1.67</x:v>
      </x:c>
      <x:c r="D2165" s="195" t="n">
        <x:f>IFERROR(B2165-C2165,"")</x:f>
        <x:v>2.15</x:v>
      </x:c>
    </x:row>
    <x:row r="2166">
      <x:c r="A2166" s="187" t="n">
        <x:v>45531</x:v>
      </x:c>
      <x:c r="B2166" s="195" t="n">
        <x:v>3.83</x:v>
      </x:c>
      <x:c r="C2166" s="195" t="n">
        <x:v>1.68</x:v>
      </x:c>
      <x:c r="D2166" s="195" t="n">
        <x:f>IFERROR(B2166-C2166,"")</x:f>
        <x:v>2.1500000000000004</x:v>
      </x:c>
    </x:row>
    <x:row r="2167">
      <x:c r="A2167" s="187" t="n">
        <x:v>45532</x:v>
      </x:c>
      <x:c r="B2167" s="195" t="n">
        <x:v>3.84</x:v>
      </x:c>
      <x:c r="C2167" s="195" t="n">
        <x:v>1.69</x:v>
      </x:c>
      <x:c r="D2167" s="195" t="n">
        <x:f>IFERROR(B2167-C2167,"")</x:f>
        <x:v>2.15</x:v>
      </x:c>
    </x:row>
    <x:row r="2168">
      <x:c r="A2168" s="187" t="n">
        <x:v>45533</x:v>
      </x:c>
      <x:c r="B2168" s="195" t="n">
        <x:v>3.87</x:v>
      </x:c>
      <x:c r="C2168" s="195" t="n">
        <x:v>1.71</x:v>
      </x:c>
      <x:c r="D2168" s="195" t="n">
        <x:f>IFERROR(B2168-C2168,"")</x:f>
        <x:v>2.16</x:v>
      </x:c>
    </x:row>
    <x:row r="2169">
      <x:c r="A2169" s="187" t="n">
        <x:v>45534</x:v>
      </x:c>
      <x:c r="B2169" s="195" t="n">
        <x:v>3.91</x:v>
      </x:c>
      <x:c r="C2169" s="195" t="n">
        <x:v>1.76</x:v>
      </x:c>
      <x:c r="D2169" s="195" t="n">
        <x:f>IFERROR(B2169-C2169,"")</x:f>
        <x:v>2.1500000000000004</x:v>
      </x:c>
    </x:row>
    <x:row r="2170">
      <x:c r="A2170" s="187" t="n">
        <x:v>45538</x:v>
      </x:c>
      <x:c r="B2170" s="195" t="n">
        <x:v>3.84</x:v>
      </x:c>
      <x:c r="C2170" s="195" t="n">
        <x:v>1.73</x:v>
      </x:c>
      <x:c r="D2170" s="195" t="n">
        <x:f>IFERROR(B2170-C2170,"")</x:f>
        <x:v>2.11</x:v>
      </x:c>
    </x:row>
    <x:row r="2171">
      <x:c r="A2171" s="187" t="n">
        <x:v>45539</x:v>
      </x:c>
      <x:c r="B2171" s="195" t="n">
        <x:v>3.77</x:v>
      </x:c>
      <x:c r="C2171" s="195" t="n">
        <x:v>1.7</x:v>
      </x:c>
      <x:c r="D2171" s="195" t="n">
        <x:f>IFERROR(B2171-C2171,"")</x:f>
        <x:v>2.0700000000000003</x:v>
      </x:c>
    </x:row>
    <x:row r="2172">
      <x:c r="A2172" s="187" t="n">
        <x:v>45540</x:v>
      </x:c>
      <x:c r="B2172" s="195" t="n">
        <x:v>3.73</x:v>
      </x:c>
      <x:c r="C2172" s="195" t="n">
        <x:v>1.7</x:v>
      </x:c>
      <x:c r="D2172" s="195" t="n">
        <x:f>IFERROR(B2172-C2172,"")</x:f>
        <x:v>2.0300000000000002</x:v>
      </x:c>
    </x:row>
    <x:row r="2173">
      <x:c r="A2173" s="187" t="n">
        <x:v>45541</x:v>
      </x:c>
      <x:c r="B2173" s="195" t="n">
        <x:v>3.72</x:v>
      </x:c>
      <x:c r="C2173" s="195" t="n">
        <x:v>1.69</x:v>
      </x:c>
      <x:c r="D2173" s="195" t="n">
        <x:f>IFERROR(B2173-C2173,"")</x:f>
        <x:v>2.0300000000000002</x:v>
      </x:c>
    </x:row>
    <x:row r="2174">
      <x:c r="A2174" s="187" t="n">
        <x:v>45544</x:v>
      </x:c>
      <x:c r="B2174" s="195" t="n">
        <x:v>3.7</x:v>
      </x:c>
      <x:c r="C2174" s="195" t="n">
        <x:v>1.66</x:v>
      </x:c>
      <x:c r="D2174" s="195" t="n">
        <x:f>IFERROR(B2174-C2174,"")</x:f>
        <x:v>2.04</x:v>
      </x:c>
    </x:row>
    <x:row r="2175">
      <x:c r="A2175" s="187" t="n">
        <x:v>45545</x:v>
      </x:c>
      <x:c r="B2175" s="195" t="n">
        <x:v>3.65</x:v>
      </x:c>
      <x:c r="C2175" s="195" t="n">
        <x:v>1.63</x:v>
      </x:c>
      <x:c r="D2175" s="195" t="n">
        <x:f>IFERROR(B2175-C2175,"")</x:f>
        <x:v>2.02</x:v>
      </x:c>
    </x:row>
    <x:row r="2176">
      <x:c r="A2176" s="187" t="n">
        <x:v>45546</x:v>
      </x:c>
      <x:c r="B2176" s="195" t="n">
        <x:v>3.65</x:v>
      </x:c>
      <x:c r="C2176" s="195" t="n">
        <x:v>1.61</x:v>
      </x:c>
      <x:c r="D2176" s="195" t="n">
        <x:f>IFERROR(B2176-C2176,"")</x:f>
        <x:v>2.04</x:v>
      </x:c>
    </x:row>
    <x:row r="2177">
      <x:c r="A2177" s="187" t="n">
        <x:v>45547</x:v>
      </x:c>
      <x:c r="B2177" s="195" t="n">
        <x:v>3.68</x:v>
      </x:c>
      <x:c r="C2177" s="195" t="n">
        <x:v>1.63</x:v>
      </x:c>
      <x:c r="D2177" s="195" t="n">
        <x:f>IFERROR(B2177-C2177,"")</x:f>
        <x:v>2.0500000000000003</x:v>
      </x:c>
    </x:row>
    <x:row r="2178">
      <x:c r="A2178" s="187" t="n">
        <x:v>45548</x:v>
      </x:c>
      <x:c r="B2178" s="195" t="n">
        <x:v>3.66</x:v>
      </x:c>
      <x:c r="C2178" s="195" t="n">
        <x:v>1.58</x:v>
      </x:c>
      <x:c r="D2178" s="195" t="n">
        <x:f>IFERROR(B2178-C2178,"")</x:f>
        <x:v>2.08</x:v>
      </x:c>
    </x:row>
    <x:row r="2179">
      <x:c r="A2179" s="187" t="n">
        <x:v>45551</x:v>
      </x:c>
      <x:c r="B2179" s="195" t="n">
        <x:v>3.63</x:v>
      </x:c>
      <x:c r="C2179" s="195" t="n">
        <x:v>1.54</x:v>
      </x:c>
      <x:c r="D2179" s="195" t="n">
        <x:f>IFERROR(B2179-C2179,"")</x:f>
        <x:v>2.09</x:v>
      </x:c>
    </x:row>
    <x:row r="2180">
      <x:c r="A2180" s="187" t="n">
        <x:v>45552</x:v>
      </x:c>
      <x:c r="B2180" s="195" t="n">
        <x:v>3.65</x:v>
      </x:c>
      <x:c r="C2180" s="195" t="n">
        <x:v>1.53</x:v>
      </x:c>
      <x:c r="D2180" s="195" t="n">
        <x:f>IFERROR(B2180-C2180,"")</x:f>
        <x:v>2.12</x:v>
      </x:c>
    </x:row>
    <x:row r="2181">
      <x:c r="A2181" s="187" t="n">
        <x:v>45553</x:v>
      </x:c>
      <x:c r="B2181" s="195" t="n">
        <x:v>3.7</x:v>
      </x:c>
      <x:c r="C2181" s="195" t="n">
        <x:v>1.58</x:v>
      </x:c>
      <x:c r="D2181" s="195" t="n">
        <x:f>IFERROR(B2181-C2181,"")</x:f>
        <x:v>2.12</x:v>
      </x:c>
    </x:row>
    <x:row r="2182">
      <x:c r="A2182" s="187" t="n">
        <x:v>45554</x:v>
      </x:c>
      <x:c r="B2182" s="195" t="n">
        <x:v>3.73</x:v>
      </x:c>
      <x:c r="C2182" s="195" t="n">
        <x:v>1.56</x:v>
      </x:c>
      <x:c r="D2182" s="195" t="n">
        <x:f>IFERROR(B2182-C2182,"")</x:f>
        <x:v>2.17</x:v>
      </x:c>
    </x:row>
    <x:row r="2183">
      <x:c r="A2183" s="187" t="n">
        <x:v>45555</x:v>
      </x:c>
      <x:c r="B2183" s="195" t="n">
        <x:v>3.73</x:v>
      </x:c>
      <x:c r="C2183" s="195" t="n">
        <x:v>1.58</x:v>
      </x:c>
      <x:c r="D2183" s="195" t="n">
        <x:f>IFERROR(B2183-C2183,"")</x:f>
        <x:v>2.15</x:v>
      </x:c>
    </x:row>
    <x:row r="2184">
      <x:c r="A2184" s="187" t="n">
        <x:v>45558</x:v>
      </x:c>
      <x:c r="B2184" s="195" t="n">
        <x:v>3.75</x:v>
      </x:c>
      <x:c r="C2184" s="195" t="n">
        <x:v>1.58</x:v>
      </x:c>
      <x:c r="D2184" s="195" t="n">
        <x:f>IFERROR(B2184-C2184,"")</x:f>
        <x:v>2.17</x:v>
      </x:c>
    </x:row>
    <x:row r="2185">
      <x:c r="A2185" s="187" t="n">
        <x:v>45559</x:v>
      </x:c>
      <x:c r="B2185" s="195" t="n">
        <x:v>3.74</x:v>
      </x:c>
      <x:c r="C2185" s="195" t="n">
        <x:v>1.55</x:v>
      </x:c>
      <x:c r="D2185" s="195" t="n">
        <x:f>IFERROR(B2185-C2185,"")</x:f>
        <x:v>2.1900000000000004</x:v>
      </x:c>
    </x:row>
    <x:row r="2186">
      <x:c r="A2186" s="187" t="n">
        <x:v>45560</x:v>
      </x:c>
      <x:c r="B2186" s="195" t="n">
        <x:v>3.79</x:v>
      </x:c>
      <x:c r="C2186" s="195" t="n">
        <x:v>1.61</x:v>
      </x:c>
      <x:c r="D2186" s="195" t="n">
        <x:f>IFERROR(B2186-C2186,"")</x:f>
        <x:v>2.1799999999999997</x:v>
      </x:c>
    </x:row>
    <x:row r="2187">
      <x:c r="A2187" s="187" t="n">
        <x:v>45561</x:v>
      </x:c>
      <x:c r="B2187" s="195" t="n">
        <x:v>3.79</x:v>
      </x:c>
      <x:c r="C2187" s="195" t="n">
        <x:v>1.63</x:v>
      </x:c>
      <x:c r="D2187" s="195" t="n">
        <x:f>IFERROR(B2187-C2187,"")</x:f>
        <x:v>2.16</x:v>
      </x:c>
    </x:row>
    <x:row r="2188">
      <x:c r="A2188" s="187" t="n">
        <x:v>45562</x:v>
      </x:c>
      <x:c r="B2188" s="195" t="n">
        <x:v>3.75</x:v>
      </x:c>
      <x:c r="C2188" s="195" t="n">
        <x:v>1.6</x:v>
      </x:c>
      <x:c r="D2188" s="195" t="n">
        <x:f>IFERROR(B2188-C2188,"")</x:f>
        <x:v>2.15</x:v>
      </x:c>
    </x:row>
    <x:row r="2189">
      <x:c r="A2189" s="187" t="n">
        <x:v>45565</x:v>
      </x:c>
      <x:c r="B2189" s="195" t="n">
        <x:v>3.81</x:v>
      </x:c>
      <x:c r="C2189" s="195" t="n">
        <x:v>1.63</x:v>
      </x:c>
      <x:c r="D2189" s="195" t="n">
        <x:f>IFERROR(B2189-C2189,"")</x:f>
        <x:v>2.18</x:v>
      </x:c>
    </x:row>
    <x:row r="2190">
      <x:c r="A2190" s="187" t="n">
        <x:v>45566</x:v>
      </x:c>
      <x:c r="B2190" s="195" t="n">
        <x:v>3.74</x:v>
      </x:c>
      <x:c r="C2190" s="195" t="n">
        <x:v>1.55</x:v>
      </x:c>
      <x:c r="D2190" s="195" t="n">
        <x:f>IFERROR(B2190-C2190,"")</x:f>
        <x:v>2.1900000000000004</x:v>
      </x:c>
    </x:row>
    <x:row r="2191">
      <x:c r="A2191" s="187" t="n">
        <x:v>45567</x:v>
      </x:c>
      <x:c r="B2191" s="195" t="n">
        <x:v>3.79</x:v>
      </x:c>
      <x:c r="C2191" s="195" t="n">
        <x:v>1.58</x:v>
      </x:c>
      <x:c r="D2191" s="195" t="n">
        <x:f>IFERROR(B2191-C2191,"")</x:f>
        <x:v>2.21</x:v>
      </x:c>
    </x:row>
    <x:row r="2192">
      <x:c r="A2192" s="187" t="n">
        <x:v>45568</x:v>
      </x:c>
      <x:c r="B2192" s="195" t="n">
        <x:v>3.85</x:v>
      </x:c>
      <x:c r="C2192" s="195" t="n">
        <x:v>1.64</x:v>
      </x:c>
      <x:c r="D2192" s="195" t="n">
        <x:f>IFERROR(B2192-C2192,"")</x:f>
        <x:v>2.21</x:v>
      </x:c>
    </x:row>
    <x:row r="2193">
      <x:c r="A2193" s="187" t="n">
        <x:v>45569</x:v>
      </x:c>
      <x:c r="B2193" s="195" t="n">
        <x:v>3.98</x:v>
      </x:c>
      <x:c r="C2193" s="195" t="n">
        <x:v>1.75</x:v>
      </x:c>
      <x:c r="D2193" s="195" t="n">
        <x:f>IFERROR(B2193-C2193,"")</x:f>
        <x:v>2.23</x:v>
      </x:c>
    </x:row>
    <x:row r="2194">
      <x:c r="A2194" s="187" t="n">
        <x:v>45572</x:v>
      </x:c>
      <x:c r="B2194" s="195" t="n">
        <x:v>4.03</x:v>
      </x:c>
      <x:c r="C2194" s="195" t="n">
        <x:v>1.76</x:v>
      </x:c>
      <x:c r="D2194" s="195" t="n">
        <x:f>IFERROR(B2194-C2194,"")</x:f>
        <x:v>2.2700000000000005</x:v>
      </x:c>
    </x:row>
    <x:row r="2195">
      <x:c r="A2195" s="187" t="n">
        <x:v>45573</x:v>
      </x:c>
      <x:c r="B2195" s="195" t="n">
        <x:v>4.04</x:v>
      </x:c>
      <x:c r="C2195" s="195" t="n">
        <x:v>1.77</x:v>
      </x:c>
      <x:c r="D2195" s="195" t="n">
        <x:f>IFERROR(B2195-C2195,"")</x:f>
        <x:v>2.27</x:v>
      </x:c>
    </x:row>
    <x:row r="2196">
      <x:c r="A2196" s="187" t="n">
        <x:v>45574</x:v>
      </x:c>
      <x:c r="B2196" s="195" t="n">
        <x:v>4.06</x:v>
      </x:c>
      <x:c r="C2196" s="195" t="n">
        <x:v>1.77</x:v>
      </x:c>
      <x:c r="D2196" s="195" t="n">
        <x:f>IFERROR(B2196-C2196,"")</x:f>
        <x:v>2.2899999999999996</x:v>
      </x:c>
    </x:row>
    <x:row r="2197">
      <x:c r="A2197" s="187" t="n">
        <x:v>45575</x:v>
      </x:c>
      <x:c r="B2197" s="195" t="n">
        <x:v>4.09</x:v>
      </x:c>
      <x:c r="C2197" s="195" t="n">
        <x:v>1.76</x:v>
      </x:c>
      <x:c r="D2197" s="195" t="n">
        <x:f>IFERROR(B2197-C2197,"")</x:f>
        <x:v>2.33</x:v>
      </x:c>
    </x:row>
    <x:row r="2198">
      <x:c r="A2198" s="187" t="n">
        <x:v>45576</x:v>
      </x:c>
      <x:c r="B2198" s="195" t="n">
        <x:v>4.08</x:v>
      </x:c>
      <x:c r="C2198" s="195" t="n">
        <x:v>1.75</x:v>
      </x:c>
      <x:c r="D2198" s="195" t="n">
        <x:f>IFERROR(B2198-C2198,"")</x:f>
        <x:v>2.33</x:v>
      </x:c>
    </x:row>
    <x:row r="2199">
      <x:c r="A2199" s="187" t="n">
        <x:v>45580</x:v>
      </x:c>
      <x:c r="B2199" s="195" t="n">
        <x:v>4.03</x:v>
      </x:c>
      <x:c r="C2199" s="195" t="n">
        <x:v>1.75</x:v>
      </x:c>
      <x:c r="D2199" s="195" t="n">
        <x:f>IFERROR(B2199-C2199,"")</x:f>
        <x:v>2.2800000000000002</x:v>
      </x:c>
    </x:row>
    <x:row r="2200">
      <x:c r="A2200" s="187" t="n">
        <x:v>45581</x:v>
      </x:c>
      <x:c r="B2200" s="195" t="n">
        <x:v>4.02</x:v>
      </x:c>
      <x:c r="C2200" s="195" t="n">
        <x:v>1.75</x:v>
      </x:c>
      <x:c r="D2200" s="195" t="n">
        <x:f>IFERROR(B2200-C2200,"")</x:f>
        <x:v>2.2699999999999996</x:v>
      </x:c>
    </x:row>
    <x:row r="2201">
      <x:c r="A2201" s="187" t="n">
        <x:v>45582</x:v>
      </x:c>
      <x:c r="B2201" s="195" t="n">
        <x:v>4.09</x:v>
      </x:c>
      <x:c r="C2201" s="195" t="n">
        <x:v>1.79</x:v>
      </x:c>
      <x:c r="D2201" s="195" t="n">
        <x:f>IFERROR(B2201-C2201,"")</x:f>
        <x:v>2.3</x:v>
      </x:c>
    </x:row>
    <x:row r="2202">
      <x:c r="A2202" s="187" t="n">
        <x:v>45583</x:v>
      </x:c>
      <x:c r="B2202" s="195" t="n">
        <x:v>4.08</x:v>
      </x:c>
      <x:c r="C2202" s="195" t="n">
        <x:v>1.77</x:v>
      </x:c>
      <x:c r="D2202" s="195" t="n">
        <x:f>IFERROR(B2202-C2202,"")</x:f>
        <x:v>2.31</x:v>
      </x:c>
    </x:row>
    <x:row r="2203">
      <x:c r="A2203" s="187" t="n">
        <x:v>45586</x:v>
      </x:c>
      <x:c r="B2203" s="195" t="n">
        <x:v>4.19</x:v>
      </x:c>
      <x:c r="C2203" s="195" t="n">
        <x:v>1.88</x:v>
      </x:c>
      <x:c r="D2203" s="195" t="n">
        <x:f>IFERROR(B2203-C2203,"")</x:f>
        <x:v>2.3100000000000005</x:v>
      </x:c>
    </x:row>
    <x:row r="2204">
      <x:c r="A2204" s="187" t="n">
        <x:v>45587</x:v>
      </x:c>
      <x:c r="B2204" s="195" t="n">
        <x:v>4.2</x:v>
      </x:c>
      <x:c r="C2204" s="195" t="n">
        <x:v>1.87</x:v>
      </x:c>
      <x:c r="D2204" s="195" t="n">
        <x:f>IFERROR(B2204-C2204,"")</x:f>
        <x:v>2.33</x:v>
      </x:c>
    </x:row>
    <x:row r="2205">
      <x:c r="A2205" s="187" t="n">
        <x:v>45588</x:v>
      </x:c>
      <x:c r="B2205" s="195" t="n">
        <x:v>4.24</x:v>
      </x:c>
      <x:c r="C2205" s="195" t="n">
        <x:v>1.93</x:v>
      </x:c>
      <x:c r="D2205" s="195" t="n">
        <x:f>IFERROR(B2205-C2205,"")</x:f>
        <x:v>2.3100000000000005</x:v>
      </x:c>
    </x:row>
    <x:row r="2206">
      <x:c r="A2206" s="187" t="n">
        <x:v>45589</x:v>
      </x:c>
      <x:c r="B2206" s="195" t="n">
        <x:v>4.21</x:v>
      </x:c>
      <x:c r="C2206" s="195" t="n">
        <x:v>1.91</x:v>
      </x:c>
      <x:c r="D2206" s="195" t="n">
        <x:f>IFERROR(B2206-C2206,"")</x:f>
        <x:v>2.3</x:v>
      </x:c>
    </x:row>
    <x:row r="2207">
      <x:c r="A2207" s="187" t="n">
        <x:v>45590</x:v>
      </x:c>
      <x:c r="B2207" s="195" t="n">
        <x:v>4.25</x:v>
      </x:c>
      <x:c r="C2207" s="195" t="n">
        <x:v>1.96</x:v>
      </x:c>
      <x:c r="D2207" s="195" t="n">
        <x:f>IFERROR(B2207-C2207,"")</x:f>
        <x:v>2.29</x:v>
      </x:c>
    </x:row>
    <x:row r="2208">
      <x:c r="A2208" s="187" t="n">
        <x:v>45593</x:v>
      </x:c>
      <x:c r="B2208" s="195" t="n">
        <x:v>4.28</x:v>
      </x:c>
      <x:c r="C2208" s="195" t="n">
        <x:v>1.99</x:v>
      </x:c>
      <x:c r="D2208" s="195" t="n">
        <x:f>IFERROR(B2208-C2208,"")</x:f>
        <x:v>2.29</x:v>
      </x:c>
    </x:row>
    <x:row r="2209">
      <x:c r="A2209" s="187" t="n">
        <x:v>45594</x:v>
      </x:c>
      <x:c r="B2209" s="195" t="n">
        <x:v>4.28</x:v>
      </x:c>
      <x:c r="C2209" s="195" t="n">
        <x:v>1.98</x:v>
      </x:c>
      <x:c r="D2209" s="195" t="n">
        <x:f>IFERROR(B2209-C2209,"")</x:f>
        <x:v>2.3000000000000003</x:v>
      </x:c>
    </x:row>
    <x:row r="2210">
      <x:c r="A2210" s="187" t="n">
        <x:v>45595</x:v>
      </x:c>
      <x:c r="B2210" s="195" t="n">
        <x:v>4.29</x:v>
      </x:c>
      <x:c r="C2210" s="195" t="n">
        <x:v>1.95</x:v>
      </x:c>
      <x:c r="D2210" s="195" t="n">
        <x:f>IFERROR(B2210-C2210,"")</x:f>
        <x:v>2.34</x:v>
      </x:c>
    </x:row>
    <x:row r="2211">
      <x:c r="A2211" s="187" t="n">
        <x:v>45596</x:v>
      </x:c>
      <x:c r="B2211" s="195" t="n">
        <x:v>4.28</x:v>
      </x:c>
      <x:c r="C2211" s="195" t="n">
        <x:v>1.95</x:v>
      </x:c>
      <x:c r="D2211" s="195" t="n">
        <x:f>IFERROR(B2211-C2211,"")</x:f>
        <x:v>2.33</x:v>
      </x:c>
    </x:row>
    <x:row r="2212">
      <x:c r="A2212" s="187" t="n">
        <x:v>45597</x:v>
      </x:c>
      <x:c r="B2212" s="195" t="n">
        <x:v>4.37</x:v>
      </x:c>
      <x:c r="C2212" s="195" t="n">
        <x:v>2.04</x:v>
      </x:c>
      <x:c r="D2212" s="195" t="n">
        <x:f>IFERROR(B2212-C2212,"")</x:f>
        <x:v>2.33</x:v>
      </x:c>
    </x:row>
    <x:row r="2213">
      <x:c r="A2213" s="187" t="n">
        <x:v>45600</x:v>
      </x:c>
      <x:c r="B2213" s="195" t="n">
        <x:v>4.31</x:v>
      </x:c>
      <x:c r="C2213" s="195" t="n">
        <x:v>2.03</x:v>
      </x:c>
      <x:c r="D2213" s="195" t="n">
        <x:f>IFERROR(B2213-C2213,"")</x:f>
        <x:v>2.28</x:v>
      </x:c>
    </x:row>
    <x:row r="2214">
      <x:c r="A2214" s="187" t="n">
        <x:v>45601</x:v>
      </x:c>
      <x:c r="B2214" s="195" t="n">
        <x:v>4.26</x:v>
      </x:c>
      <x:c r="C2214" s="195" t="n">
        <x:v>1.99</x:v>
      </x:c>
      <x:c r="D2214" s="195" t="n">
        <x:f>IFERROR(B2214-C2214,"")</x:f>
        <x:v>2.2699999999999996</x:v>
      </x:c>
    </x:row>
    <x:row r="2215">
      <x:c r="A2215" s="187" t="n">
        <x:v>45602</x:v>
      </x:c>
      <x:c r="B2215" s="195" t="n">
        <x:v>4.42</x:v>
      </x:c>
      <x:c r="C2215" s="195" t="n">
        <x:v>2.04</x:v>
      </x:c>
      <x:c r="D2215" s="195" t="n">
        <x:f>IFERROR(B2215-C2215,"")</x:f>
        <x:v>2.38</x:v>
      </x:c>
    </x:row>
    <x:row r="2216">
      <x:c r="A2216" s="187" t="n">
        <x:v>45603</x:v>
      </x:c>
      <x:c r="B2216" s="195" t="n">
        <x:v>4.31</x:v>
      </x:c>
      <x:c r="C2216" s="195" t="n">
        <x:v>1.98</x:v>
      </x:c>
      <x:c r="D2216" s="195" t="n">
        <x:f>IFERROR(B2216-C2216,"")</x:f>
        <x:v>2.3299999999999996</x:v>
      </x:c>
    </x:row>
    <x:row r="2217">
      <x:c r="A2217" s="187" t="n">
        <x:v>45604</x:v>
      </x:c>
      <x:c r="B2217" s="195" t="n">
        <x:v>4.3</x:v>
      </x:c>
      <x:c r="C2217" s="195" t="n">
        <x:v>1.95</x:v>
      </x:c>
      <x:c r="D2217" s="195" t="n">
        <x:f>IFERROR(B2217-C2217,"")</x:f>
        <x:v>2.3499999999999996</x:v>
      </x:c>
    </x:row>
    <x:row r="2218">
      <x:c r="A2218" s="187" t="n">
        <x:v>45608</x:v>
      </x:c>
      <x:c r="B2218" s="195" t="n">
        <x:v>4.43</x:v>
      </x:c>
      <x:c r="C2218" s="195" t="n">
        <x:v>2.08</x:v>
      </x:c>
      <x:c r="D2218" s="195" t="n">
        <x:f>IFERROR(B2218-C2218,"")</x:f>
        <x:v>2.3499999999999996</x:v>
      </x:c>
    </x:row>
    <x:row r="2219">
      <x:c r="A2219" s="187" t="n">
        <x:v>45609</x:v>
      </x:c>
      <x:c r="B2219" s="195" t="n">
        <x:v>4.44</x:v>
      </x:c>
      <x:c r="C2219" s="195" t="n">
        <x:v>2.09</x:v>
      </x:c>
      <x:c r="D2219" s="195" t="n">
        <x:f>IFERROR(B2219-C2219,"")</x:f>
        <x:v>2.3500000000000005</x:v>
      </x:c>
    </x:row>
    <x:row r="2220">
      <x:c r="A2220" s="187" t="n">
        <x:v>45610</x:v>
      </x:c>
      <x:c r="B2220" s="195" t="n">
        <x:v>4.43</x:v>
      </x:c>
      <x:c r="C2220" s="195" t="n">
        <x:v>2.1</x:v>
      </x:c>
      <x:c r="D2220" s="195" t="n">
        <x:f>IFERROR(B2220-C2220,"")</x:f>
        <x:v>2.3299999999999996</x:v>
      </x:c>
    </x:row>
    <x:row r="2221">
      <x:c r="A2221" s="187" t="n">
        <x:v>45611</x:v>
      </x:c>
      <x:c r="B2221" s="195" t="n">
        <x:v>4.43</x:v>
      </x:c>
      <x:c r="C2221" s="195" t="n">
        <x:v>2.1</x:v>
      </x:c>
      <x:c r="D2221" s="195" t="n">
        <x:f>IFERROR(B2221-C2221,"")</x:f>
        <x:v>2.3299999999999996</x:v>
      </x:c>
    </x:row>
    <x:row r="2222">
      <x:c r="A2222" s="187" t="n">
        <x:v>45614</x:v>
      </x:c>
      <x:c r="B2222" s="195" t="n">
        <x:v>4.42</x:v>
      </x:c>
      <x:c r="C2222" s="195" t="n">
        <x:v>2.08</x:v>
      </x:c>
      <x:c r="D2222" s="195" t="n">
        <x:f>IFERROR(B2222-C2222,"")</x:f>
        <x:v>2.34</x:v>
      </x:c>
    </x:row>
    <x:row r="2223">
      <x:c r="A2223" s="187" t="n">
        <x:v>45615</x:v>
      </x:c>
      <x:c r="B2223" s="195" t="n">
        <x:v>4.39</x:v>
      </x:c>
      <x:c r="C2223" s="195" t="n">
        <x:v>2.05</x:v>
      </x:c>
      <x:c r="D2223" s="195" t="n">
        <x:f>IFERROR(B2223-C2223,"")</x:f>
        <x:v>2.34</x:v>
      </x:c>
    </x:row>
    <x:row r="2224">
      <x:c r="A2224" s="187" t="n">
        <x:v>45616</x:v>
      </x:c>
      <x:c r="B2224" s="195" t="n">
        <x:v>4.41</x:v>
      </x:c>
      <x:c r="C2224" s="195" t="n">
        <x:v>2.06</x:v>
      </x:c>
      <x:c r="D2224" s="195" t="n">
        <x:f>IFERROR(B2224-C2224,"")</x:f>
        <x:v>2.35</x:v>
      </x:c>
    </x:row>
    <x:row r="2225">
      <x:c r="A2225" s="187" t="n">
        <x:v>45617</x:v>
      </x:c>
      <x:c r="B2225" s="195" t="n">
        <x:v>4.43</x:v>
      </x:c>
      <x:c r="C2225" s="195" t="n">
        <x:v>2.09</x:v>
      </x:c>
      <x:c r="D2225" s="195" t="n">
        <x:f>IFERROR(B2225-C2225,"")</x:f>
        <x:v>2.34</x:v>
      </x:c>
    </x:row>
    <x:row r="2226">
      <x:c r="A2226" s="187" t="n">
        <x:v>45618</x:v>
      </x:c>
      <x:c r="B2226" s="195" t="n">
        <x:v>4.41</x:v>
      </x:c>
      <x:c r="C2226" s="195" t="n">
        <x:v>2.07</x:v>
      </x:c>
      <x:c r="D2226" s="195" t="n">
        <x:f>IFERROR(B2226-C2226,"")</x:f>
        <x:v>2.3400000000000003</x:v>
      </x:c>
    </x:row>
    <x:row r="2227">
      <x:c r="A2227" s="187" t="n">
        <x:v>45621</x:v>
      </x:c>
      <x:c r="B2227" s="195" t="n">
        <x:v>4.27</x:v>
      </x:c>
      <x:c r="C2227" s="195" t="n">
        <x:v>1.98</x:v>
      </x:c>
      <x:c r="D2227" s="195" t="n">
        <x:f>IFERROR(B2227-C2227,"")</x:f>
        <x:v>2.2899999999999996</x:v>
      </x:c>
    </x:row>
    <x:row r="2228">
      <x:c r="A2228" s="187" t="n">
        <x:v>45622</x:v>
      </x:c>
      <x:c r="B2228" s="195" t="n">
        <x:v>4.3</x:v>
      </x:c>
      <x:c r="C2228" s="195" t="n">
        <x:v>2.02</x:v>
      </x:c>
      <x:c r="D2228" s="195" t="n">
        <x:f>IFERROR(B2228-C2228,"")</x:f>
        <x:v>2.28</x:v>
      </x:c>
    </x:row>
    <x:row r="2229">
      <x:c r="A2229" s="187" t="n">
        <x:v>45623</x:v>
      </x:c>
      <x:c r="B2229" s="195" t="n">
        <x:v>4.25</x:v>
      </x:c>
      <x:c r="C2229" s="195" t="n">
        <x:v>1.99</x:v>
      </x:c>
      <x:c r="D2229" s="195" t="n">
        <x:f>IFERROR(B2229-C2229,"")</x:f>
        <x:v>2.26</x:v>
      </x:c>
    </x:row>
    <x:row r="2230">
      <x:c r="A2230" s="187" t="n">
        <x:v>45625</x:v>
      </x:c>
      <x:c r="B2230" s="195" t="n">
        <x:v>4.18</x:v>
      </x:c>
      <x:c r="C2230" s="195" t="n">
        <x:v>1.92</x:v>
      </x:c>
      <x:c r="D2230" s="195" t="n">
        <x:f>IFERROR(B2230-C2230,"")</x:f>
        <x:v>2.26</x:v>
      </x:c>
    </x:row>
    <x:row r="2231">
      <x:c r="A2231" s="187" t="n">
        <x:v>45628</x:v>
      </x:c>
      <x:c r="B2231" s="195" t="n">
        <x:v>4.19</x:v>
      </x:c>
      <x:c r="C2231" s="195" t="n">
        <x:v>1.93</x:v>
      </x:c>
      <x:c r="D2231" s="195" t="n">
        <x:f>IFERROR(B2231-C2231,"")</x:f>
        <x:v>2.2600000000000007</x:v>
      </x:c>
    </x:row>
    <x:row r="2232">
      <x:c r="A2232" s="187" t="n">
        <x:v>45629</x:v>
      </x:c>
      <x:c r="B2232" s="195" t="n">
        <x:v>4.23</x:v>
      </x:c>
      <x:c r="C2232" s="195" t="n">
        <x:v>1.95</x:v>
      </x:c>
      <x:c r="D2232" s="195" t="n">
        <x:f>IFERROR(B2232-C2232,"")</x:f>
        <x:v>2.2800000000000002</x:v>
      </x:c>
    </x:row>
    <x:row r="2233">
      <x:c r="A2233" s="187" t="n">
        <x:v>45630</x:v>
      </x:c>
      <x:c r="B2233" s="195" t="n">
        <x:v>4.19</x:v>
      </x:c>
      <x:c r="C2233" s="195" t="n">
        <x:v>1.9</x:v>
      </x:c>
      <x:c r="D2233" s="195" t="n">
        <x:f>IFERROR(B2233-C2233,"")</x:f>
        <x:v>2.2900000000000005</x:v>
      </x:c>
    </x:row>
    <x:row r="2234">
      <x:c r="A2234" s="187" t="n">
        <x:v>45631</x:v>
      </x:c>
      <x:c r="B2234" s="195" t="n">
        <x:v>4.17</x:v>
      </x:c>
      <x:c r="C2234" s="195" t="n">
        <x:v>1.92</x:v>
      </x:c>
      <x:c r="D2234" s="195" t="n">
        <x:f>IFERROR(B2234-C2234,"")</x:f>
        <x:v>2.25</x:v>
      </x:c>
    </x:row>
    <x:row r="2235">
      <x:c r="A2235" s="187" t="n">
        <x:v>45632</x:v>
      </x:c>
      <x:c r="B2235" s="195" t="n">
        <x:v>4.15</x:v>
      </x:c>
      <x:c r="C2235" s="195" t="n">
        <x:v>1.91</x:v>
      </x:c>
      <x:c r="D2235" s="195" t="n">
        <x:f>IFERROR(B2235-C2235,"")</x:f>
        <x:v>2.24</x:v>
      </x:c>
    </x:row>
    <x:row r="2236">
      <x:c r="A2236" s="187" t="n">
        <x:v>45635</x:v>
      </x:c>
      <x:c r="B2236" s="195" t="n">
        <x:v>4.2</x:v>
      </x:c>
      <x:c r="C2236" s="195" t="n">
        <x:v>1.93</x:v>
      </x:c>
      <x:c r="D2236" s="195" t="n">
        <x:f>IFERROR(B2236-C2236,"")</x:f>
        <x:v>2.2700000000000005</x:v>
      </x:c>
    </x:row>
    <x:row r="2237">
      <x:c r="A2237" s="187" t="n">
        <x:v>45636</x:v>
      </x:c>
      <x:c r="B2237" s="195" t="n">
        <x:v>4.22</x:v>
      </x:c>
      <x:c r="C2237" s="195" t="n">
        <x:v>1.93</x:v>
      </x:c>
      <x:c r="D2237" s="195" t="n">
        <x:f>IFERROR(B2237-C2237,"")</x:f>
        <x:v>2.29</x:v>
      </x:c>
    </x:row>
    <x:row r="2238">
      <x:c r="A2238" s="187" t="n">
        <x:v>45637</x:v>
      </x:c>
      <x:c r="B2238" s="195" t="n">
        <x:v>4.26</x:v>
      </x:c>
      <x:c r="C2238" s="195" t="n">
        <x:v>1.96</x:v>
      </x:c>
      <x:c r="D2238" s="195" t="n">
        <x:f>IFERROR(B2238-C2238,"")</x:f>
        <x:v>2.3</x:v>
      </x:c>
    </x:row>
    <x:row r="2239">
      <x:c r="A2239" s="187" t="n">
        <x:v>45638</x:v>
      </x:c>
      <x:c r="B2239" s="195" t="n">
        <x:v>4.32</x:v>
      </x:c>
      <x:c r="C2239" s="195" t="n">
        <x:v>2</x:v>
      </x:c>
      <x:c r="D2239" s="195" t="n">
        <x:f>IFERROR(B2239-C2239,"")</x:f>
        <x:v>2.3200000000000003</x:v>
      </x:c>
    </x:row>
    <x:row r="2240">
      <x:c r="A2240" s="187" t="n">
        <x:v>45639</x:v>
      </x:c>
      <x:c r="B2240" s="195" t="n">
        <x:v>4.4</x:v>
      </x:c>
      <x:c r="C2240" s="195" t="n">
        <x:v>2.07</x:v>
      </x:c>
      <x:c r="D2240" s="195" t="n">
        <x:f>IFERROR(B2240-C2240,"")</x:f>
        <x:v>2.3300000000000005</x:v>
      </x:c>
    </x:row>
    <x:row r="2241">
      <x:c r="A2241" s="187" t="n">
        <x:v>45642</x:v>
      </x:c>
      <x:c r="B2241" s="195" t="n">
        <x:v>4.39</x:v>
      </x:c>
      <x:c r="C2241" s="195" t="n">
        <x:v>2.07</x:v>
      </x:c>
      <x:c r="D2241" s="195" t="n">
        <x:f>IFERROR(B2241-C2241,"")</x:f>
        <x:v>2.32</x:v>
      </x:c>
    </x:row>
    <x:row r="2242">
      <x:c r="A2242" s="187" t="n">
        <x:v>45643</x:v>
      </x:c>
      <x:c r="B2242" s="195" t="n">
        <x:v>4.4</x:v>
      </x:c>
      <x:c r="C2242" s="195" t="n">
        <x:v>2.09</x:v>
      </x:c>
      <x:c r="D2242" s="195" t="n">
        <x:f>IFERROR(B2242-C2242,"")</x:f>
        <x:v>2.3100000000000005</x:v>
      </x:c>
    </x:row>
    <x:row r="2243">
      <x:c r="A2243" s="187" t="n">
        <x:v>45644</x:v>
      </x:c>
      <x:c r="B2243" s="195" t="n">
        <x:v>4.5</x:v>
      </x:c>
      <x:c r="C2243" s="195" t="n">
        <x:v>2.18</x:v>
      </x:c>
      <x:c r="D2243" s="195" t="n">
        <x:f>IFERROR(B2243-C2243,"")</x:f>
        <x:v>2.32</x:v>
      </x:c>
    </x:row>
    <x:row r="2244">
      <x:c r="A2244" s="187" t="n">
        <x:v>45645</x:v>
      </x:c>
      <x:c r="B2244" s="195" t="n">
        <x:v>4.57</x:v>
      </x:c>
      <x:c r="C2244" s="195" t="n">
        <x:v>2.28</x:v>
      </x:c>
      <x:c r="D2244" s="195" t="n">
        <x:f>IFERROR(B2244-C2244,"")</x:f>
        <x:v>2.2900000000000005</x:v>
      </x:c>
    </x:row>
    <x:row r="2245">
      <x:c r="A2245" s="187" t="n">
        <x:v>45646</x:v>
      </x:c>
      <x:c r="B2245" s="195" t="n">
        <x:v>4.52</x:v>
      </x:c>
      <x:c r="C2245" s="195" t="n">
        <x:v>2.23</x:v>
      </x:c>
      <x:c r="D2245" s="195" t="n">
        <x:f>IFERROR(B2245-C2245,"")</x:f>
        <x:v>2.2899999999999996</x:v>
      </x:c>
    </x:row>
    <x:row r="2246">
      <x:c r="A2246" s="187" t="n">
        <x:v>45649</x:v>
      </x:c>
      <x:c r="B2246" s="195" t="n">
        <x:v>4.59</x:v>
      </x:c>
      <x:c r="C2246" s="195" t="n">
        <x:v>2.27</x:v>
      </x:c>
      <x:c r="D2246" s="195" t="n">
        <x:f>IFERROR(B2246-C2246,"")</x:f>
        <x:v>2.32</x:v>
      </x:c>
    </x:row>
    <x:row r="2247">
      <x:c r="A2247" s="187" t="n">
        <x:v>45650</x:v>
      </x:c>
      <x:c r="B2247" s="195" t="n">
        <x:v>4.59</x:v>
      </x:c>
      <x:c r="C2247" s="195" t="n">
        <x:v>2.24</x:v>
      </x:c>
      <x:c r="D2247" s="195" t="n">
        <x:f>IFERROR(B2247-C2247,"")</x:f>
        <x:v>2.3499999999999996</x:v>
      </x:c>
    </x:row>
    <x:row r="2248">
      <x:c r="A2248" s="187" t="n">
        <x:v>45652</x:v>
      </x:c>
      <x:c r="B2248" s="195" t="n">
        <x:v>4.58</x:v>
      </x:c>
      <x:c r="C2248" s="195" t="n">
        <x:v>2.23</x:v>
      </x:c>
      <x:c r="D2248" s="195" t="n">
        <x:f>IFERROR(B2248-C2248,"")</x:f>
        <x:v>2.35</x:v>
      </x:c>
    </x:row>
    <x:row r="2249">
      <x:c r="A2249" s="187" t="n">
        <x:v>45653</x:v>
      </x:c>
      <x:c r="B2249" s="195" t="n">
        <x:v>4.62</x:v>
      </x:c>
      <x:c r="C2249" s="195" t="n">
        <x:v>2.28</x:v>
      </x:c>
      <x:c r="D2249" s="195" t="n">
        <x:f>IFERROR(B2249-C2249,"")</x:f>
        <x:v>2.3400000000000003</x:v>
      </x:c>
    </x:row>
    <x:row r="2250">
      <x:c r="A2250" s="187" t="n">
        <x:v>45656</x:v>
      </x:c>
      <x:c r="B2250" s="195" t="n">
        <x:v>4.55</x:v>
      </x:c>
      <x:c r="C2250" s="195" t="n">
        <x:v>2.24</x:v>
      </x:c>
      <x:c r="D2250" s="195" t="n">
        <x:f>IFERROR(B2250-C2250,"")</x:f>
        <x:v>2.3099999999999996</x:v>
      </x:c>
    </x:row>
    <x:row r="2251">
      <x:c r="A2251" s="187" t="n">
        <x:v>45657</x:v>
      </x:c>
      <x:c r="B2251" s="195" t="n">
        <x:v>4.58</x:v>
      </x:c>
      <x:c r="C2251" s="195" t="n">
        <x:v>2.24</x:v>
      </x:c>
      <x:c r="D2251" s="195" t="n">
        <x:f>IFERROR(B2251-C2251,"")</x:f>
        <x:v>2.34</x:v>
      </x:c>
    </x:row>
    <x:row r="2252">
      <x:c r="A2252" s="187" t="n">
        <x:v>45659</x:v>
      </x:c>
      <x:c r="B2252" s="195" t="n">
        <x:v>4.57</x:v>
      </x:c>
      <x:c r="C2252" s="195" t="n">
        <x:v>2.23</x:v>
      </x:c>
      <x:c r="D2252" s="195" t="n">
        <x:f>IFERROR(B2252-C2252,"")</x:f>
        <x:v>2.3400000000000003</x:v>
      </x:c>
    </x:row>
    <x:row r="2253">
      <x:c r="A2253" s="187" t="n">
        <x:v>45660</x:v>
      </x:c>
      <x:c r="B2253" s="195" t="n">
        <x:v>4.6</x:v>
      </x:c>
      <x:c r="C2253" s="195" t="n">
        <x:v>2.26</x:v>
      </x:c>
      <x:c r="D2253" s="195" t="n">
        <x:f>IFERROR(B2253-C2253,"")</x:f>
        <x:v>2.34</x:v>
      </x:c>
    </x:row>
    <x:row r="2254">
      <x:c r="A2254" s="187" t="n">
        <x:v>45663</x:v>
      </x:c>
      <x:c r="B2254" s="195" t="n">
        <x:v>4.62</x:v>
      </x:c>
      <x:c r="C2254" s="195" t="n">
        <x:v>2.28</x:v>
      </x:c>
      <x:c r="D2254" s="195" t="n">
        <x:f>IFERROR(B2254-C2254,"")</x:f>
        <x:v>2.3400000000000003</x:v>
      </x:c>
    </x:row>
    <x:row r="2255">
      <x:c r="A2255" s="187" t="n">
        <x:v>45664</x:v>
      </x:c>
      <x:c r="B2255" s="195" t="n">
        <x:v>4.67</x:v>
      </x:c>
      <x:c r="C2255" s="195" t="n">
        <x:v>2.29</x:v>
      </x:c>
      <x:c r="D2255" s="195" t="n">
        <x:f>IFERROR(B2255-C2255,"")</x:f>
        <x:v>2.38</x:v>
      </x:c>
    </x:row>
    <x:row r="2256">
      <x:c r="A2256" s="187" t="n">
        <x:v>45665</x:v>
      </x:c>
      <x:c r="B2256" s="195" t="n">
        <x:v>4.67</x:v>
      </x:c>
      <x:c r="C2256" s="195" t="n">
        <x:v>2.27</x:v>
      </x:c>
      <x:c r="D2256" s="195" t="n">
        <x:f>IFERROR(B2256-C2256,"")</x:f>
        <x:v>2.4</x:v>
      </x:c>
    </x:row>
    <x:row r="2257">
      <x:c r="A2257" s="187" t="n">
        <x:v>45666</x:v>
      </x:c>
      <x:c r="B2257" s="195" t="n">
        <x:v>4.68</x:v>
      </x:c>
      <x:c r="C2257" s="195" t="n">
        <x:v>2.29</x:v>
      </x:c>
      <x:c r="D2257" s="195" t="n">
        <x:f>IFERROR(B2257-C2257,"")</x:f>
        <x:v>2.3899999999999997</x:v>
      </x:c>
    </x:row>
    <x:row r="2258">
      <x:c r="A2258" s="187" t="n">
        <x:v>45667</x:v>
      </x:c>
      <x:c r="B2258" s="195" t="n">
        <x:v>4.77</x:v>
      </x:c>
      <x:c r="C2258" s="195" t="n">
        <x:v>2.34</x:v>
      </x:c>
      <x:c r="D2258" s="195" t="n">
        <x:f>IFERROR(B2258-C2258,"")</x:f>
        <x:v>2.4299999999999997</x:v>
      </x:c>
    </x:row>
    <x:row r="2259">
      <x:c r="A2259" s="187" t="n">
        <x:v>45670</x:v>
      </x:c>
      <x:c r="B2259" s="195" t="n">
        <x:v>4.79</x:v>
      </x:c>
      <x:c r="C2259" s="195" t="n">
        <x:v>2.34</x:v>
      </x:c>
      <x:c r="D2259" s="195" t="n">
        <x:f>IFERROR(B2259-C2259,"")</x:f>
        <x:v>2.45</x:v>
      </x:c>
    </x:row>
    <x:row r="2260">
      <x:c r="A2260" s="187" t="n">
        <x:v>45671</x:v>
      </x:c>
      <x:c r="B2260" s="195" t="n">
        <x:v>4.78</x:v>
      </x:c>
      <x:c r="C2260" s="195" t="n">
        <x:v>2.34</x:v>
      </x:c>
      <x:c r="D2260" s="195" t="n">
        <x:f>IFERROR(B2260-C2260,"")</x:f>
        <x:v>2.4400000000000004</x:v>
      </x:c>
    </x:row>
    <x:row r="2261">
      <x:c r="A2261" s="187" t="n">
        <x:v>45672</x:v>
      </x:c>
      <x:c r="B2261" s="195" t="n">
        <x:v>4.66</x:v>
      </x:c>
      <x:c r="C2261" s="195" t="n">
        <x:v>2.24</x:v>
      </x:c>
      <x:c r="D2261" s="195" t="n">
        <x:f>IFERROR(B2261-C2261,"")</x:f>
        <x:v>2.42</x:v>
      </x:c>
    </x:row>
    <x:row r="2262">
      <x:c r="A2262" s="187" t="n">
        <x:v>45673</x:v>
      </x:c>
      <x:c r="B2262" s="195" t="n">
        <x:v>4.61</x:v>
      </x:c>
      <x:c r="C2262" s="195" t="n">
        <x:v>2.19</x:v>
      </x:c>
      <x:c r="D2262" s="195" t="n">
        <x:f>IFERROR(B2262-C2262,"")</x:f>
        <x:v>2.4200000000000004</x:v>
      </x:c>
    </x:row>
    <x:row r="2263">
      <x:c r="A2263" s="187" t="n">
        <x:v>45674</x:v>
      </x:c>
      <x:c r="B2263" s="195" t="n">
        <x:v>4.61</x:v>
      </x:c>
      <x:c r="C2263" s="195" t="n">
        <x:v>2.2</x:v>
      </x:c>
      <x:c r="D2263" s="195" t="n">
        <x:f>IFERROR(B2263-C2263,"")</x:f>
        <x:v>2.41</x:v>
      </x:c>
    </x:row>
    <x:row r="2264">
      <x:c r="A2264" s="187" t="n">
        <x:v>45678</x:v>
      </x:c>
      <x:c r="B2264" s="195" t="n">
        <x:v>4.57</x:v>
      </x:c>
      <x:c r="C2264" s="195" t="n">
        <x:v>2.19</x:v>
      </x:c>
      <x:c r="D2264" s="195" t="n">
        <x:f>IFERROR(B2264-C2264,"")</x:f>
        <x:v>2.3800000000000003</x:v>
      </x:c>
    </x:row>
    <x:row r="2265">
      <x:c r="A2265" s="187" t="n">
        <x:v>45679</x:v>
      </x:c>
      <x:c r="B2265" s="195" t="n">
        <x:v>4.6</x:v>
      </x:c>
      <x:c r="C2265" s="195" t="n">
        <x:v>2.2</x:v>
      </x:c>
      <x:c r="D2265" s="195" t="n">
        <x:f>IFERROR(B2265-C2265,"")</x:f>
        <x:v>2.3999999999999995</x:v>
      </x:c>
    </x:row>
    <x:row r="2266">
      <x:c r="A2266" s="187" t="n">
        <x:v>45680</x:v>
      </x:c>
      <x:c r="B2266" s="195" t="n">
        <x:v>4.65</x:v>
      </x:c>
      <x:c r="C2266" s="195" t="n">
        <x:v>2.23</x:v>
      </x:c>
      <x:c r="D2266" s="195" t="n">
        <x:f>IFERROR(B2266-C2266,"")</x:f>
        <x:v>2.4200000000000004</x:v>
      </x:c>
    </x:row>
    <x:row r="2267">
      <x:c r="A2267" s="187" t="n">
        <x:v>45681</x:v>
      </x:c>
      <x:c r="B2267" s="195" t="n">
        <x:v>4.63</x:v>
      </x:c>
      <x:c r="C2267" s="195" t="n">
        <x:v>2.2</x:v>
      </x:c>
      <x:c r="D2267" s="195" t="n">
        <x:f>IFERROR(B2267-C2267,"")</x:f>
        <x:v>2.4299999999999997</x:v>
      </x:c>
    </x:row>
    <x:row r="2268">
      <x:c r="A2268" s="187" t="n">
        <x:v>45684</x:v>
      </x:c>
      <x:c r="B2268" s="195" t="n">
        <x:v>4.53</x:v>
      </x:c>
      <x:c r="C2268" s="195" t="n">
        <x:v>2.13</x:v>
      </x:c>
      <x:c r="D2268" s="195" t="n">
        <x:f>IFERROR(B2268-C2268,"")</x:f>
        <x:v>2.4000000000000004</x:v>
      </x:c>
    </x:row>
    <x:row r="2269">
      <x:c r="A2269" s="187" t="n">
        <x:v>45685</x:v>
      </x:c>
      <x:c r="B2269" s="195" t="n">
        <x:v>4.55</x:v>
      </x:c>
      <x:c r="C2269" s="195" t="n">
        <x:v>2.13</x:v>
      </x:c>
      <x:c r="D2269" s="195" t="n">
        <x:f>IFERROR(B2269-C2269,"")</x:f>
        <x:v>2.42</x:v>
      </x:c>
    </x:row>
    <x:row r="2270">
      <x:c r="A2270" s="187" t="n">
        <x:v>45686</x:v>
      </x:c>
      <x:c r="B2270" s="195" t="n">
        <x:v>4.55</x:v>
      </x:c>
      <x:c r="C2270" s="195" t="n">
        <x:v>2.15</x:v>
      </x:c>
      <x:c r="D2270" s="195" t="n">
        <x:f>IFERROR(B2270-C2270,"")</x:f>
        <x:v>2.4</x:v>
      </x:c>
    </x:row>
    <x:row r="2271">
      <x:c r="A2271" s="187" t="n">
        <x:v>45687</x:v>
      </x:c>
      <x:c r="B2271" s="195" t="n">
        <x:v>4.52</x:v>
      </x:c>
      <x:c r="C2271" s="195" t="n">
        <x:v>2.14</x:v>
      </x:c>
      <x:c r="D2271" s="195" t="n">
        <x:f>IFERROR(B2271-C2271,"")</x:f>
        <x:v>2.3799999999999994</x:v>
      </x:c>
    </x:row>
    <x:row r="2272">
      <x:c r="A2272" s="187" t="n">
        <x:v>45688</x:v>
      </x:c>
      <x:c r="B2272" s="195" t="n">
        <x:v>4.58</x:v>
      </x:c>
      <x:c r="C2272" s="195" t="n">
        <x:v>2.16</x:v>
      </x:c>
      <x:c r="D2272" s="195" t="n">
        <x:f>IFERROR(B2272-C2272,"")</x:f>
        <x:v>2.42</x:v>
      </x:c>
    </x:row>
    <x:row r="2273">
      <x:c r="A2273" s="187" t="n">
        <x:v>45691</x:v>
      </x:c>
      <x:c r="B2273" s="195" t="n">
        <x:v>4.54</x:v>
      </x:c>
      <x:c r="C2273" s="195" t="n">
        <x:v>2.09</x:v>
      </x:c>
      <x:c r="D2273" s="195" t="n">
        <x:f>IFERROR(B2273-C2273,"")</x:f>
        <x:v>2.45</x:v>
      </x:c>
    </x:row>
    <x:row r="2274">
      <x:c r="A2274" s="187" t="n">
        <x:v>45692</x:v>
      </x:c>
      <x:c r="B2274" s="195" t="n">
        <x:v>4.52</x:v>
      </x:c>
      <x:c r="C2274" s="195" t="n">
        <x:v>2.08</x:v>
      </x:c>
      <x:c r="D2274" s="195" t="n">
        <x:f>IFERROR(B2274-C2274,"")</x:f>
        <x:v>2.4399999999999995</x:v>
      </x:c>
    </x:row>
    <x:row r="2275">
      <x:c r="A2275" s="187" t="n">
        <x:v>45693</x:v>
      </x:c>
      <x:c r="B2275" s="195" t="n">
        <x:v>4.43</x:v>
      </x:c>
      <x:c r="C2275" s="195" t="n">
        <x:v>2.01</x:v>
      </x:c>
      <x:c r="D2275" s="195" t="n">
        <x:f>IFERROR(B2275-C2275,"")</x:f>
        <x:v>2.42</x:v>
      </x:c>
    </x:row>
    <x:row r="2276">
      <x:c r="A2276" s="187" t="n">
        <x:v>45694</x:v>
      </x:c>
      <x:c r="B2276" s="195" t="n">
        <x:v>4.45</x:v>
      </x:c>
      <x:c r="C2276" s="195" t="n">
        <x:v>2.03</x:v>
      </x:c>
      <x:c r="D2276" s="195" t="n">
        <x:f>IFERROR(B2276-C2276,"")</x:f>
        <x:v>2.4200000000000004</x:v>
      </x:c>
    </x:row>
    <x:row r="2277">
      <x:c r="A2277" s="187" t="n">
        <x:v>45695</x:v>
      </x:c>
      <x:c r="B2277" s="195" t="n">
        <x:v>4.49</x:v>
      </x:c>
      <x:c r="C2277" s="195" t="n">
        <x:v>2.07</x:v>
      </x:c>
      <x:c r="D2277" s="195" t="n">
        <x:f>IFERROR(B2277-C2277,"")</x:f>
        <x:v>2.4200000000000004</x:v>
      </x:c>
    </x:row>
    <x:row r="2278">
      <x:c r="A2278" s="187" t="n">
        <x:v>45698</x:v>
      </x:c>
      <x:c r="B2278" s="195" t="n">
        <x:v>4.51</x:v>
      </x:c>
      <x:c r="C2278" s="195" t="n">
        <x:v>2.07</x:v>
      </x:c>
      <x:c r="D2278" s="195" t="n">
        <x:f>IFERROR(B2278-C2278,"")</x:f>
        <x:v>2.44</x:v>
      </x:c>
    </x:row>
    <x:row r="2279">
      <x:c r="A2279" s="187" t="n">
        <x:v>45699</x:v>
      </x:c>
      <x:c r="B2279" s="195" t="n">
        <x:v>4.54</x:v>
      </x:c>
      <x:c r="C2279" s="195" t="n">
        <x:v>2.08</x:v>
      </x:c>
      <x:c r="D2279" s="195" t="n">
        <x:f>IFERROR(B2279-C2279,"")</x:f>
        <x:v>2.46</x:v>
      </x:c>
    </x:row>
    <x:row r="2280">
      <x:c r="A2280" s="187" t="n">
        <x:v>45700</x:v>
      </x:c>
      <x:c r="B2280" s="195" t="n">
        <x:v>4.62</x:v>
      </x:c>
      <x:c r="C2280" s="195" t="n">
        <x:v>2.16</x:v>
      </x:c>
      <x:c r="D2280" s="195" t="n">
        <x:f>IFERROR(B2280-C2280,"")</x:f>
        <x:v>2.46</x:v>
      </x:c>
    </x:row>
    <x:row r="2281">
      <x:c r="A2281" s="187" t="n">
        <x:v>45701</x:v>
      </x:c>
      <x:c r="B2281" s="195" t="n">
        <x:v>4.52</x:v>
      </x:c>
      <x:c r="C2281" s="195" t="n">
        <x:v>2.08</x:v>
      </x:c>
      <x:c r="D2281" s="195" t="n">
        <x:f>IFERROR(B2281-C2281,"")</x:f>
        <x:v>2.4399999999999995</x:v>
      </x:c>
    </x:row>
    <x:row r="2282">
      <x:c r="A2282" s="187" t="n">
        <x:v>45702</x:v>
      </x:c>
      <x:c r="B2282" s="195" t="n">
        <x:v>4.47</x:v>
      </x:c>
      <x:c r="C2282" s="195" t="n">
        <x:v>2.04</x:v>
      </x:c>
      <x:c r="D2282" s="195" t="n">
        <x:f>IFERROR(B2282-C2282,"")</x:f>
        <x:v>2.4299999999999997</x:v>
      </x:c>
    </x:row>
    <x:row r="2283">
      <x:c r="A2283" s="187" t="n">
        <x:v>45706</x:v>
      </x:c>
      <x:c r="B2283" s="195" t="n">
        <x:v>4.55</x:v>
      </x:c>
      <x:c r="C2283" s="195" t="n">
        <x:v>2.1</x:v>
      </x:c>
      <x:c r="D2283" s="195" t="n">
        <x:f>IFERROR(B2283-C2283,"")</x:f>
        <x:v>2.4499999999999997</x:v>
      </x:c>
    </x:row>
    <x:row r="2284">
      <x:c r="A2284" s="187" t="n">
        <x:v>45707</x:v>
      </x:c>
      <x:c r="B2284" s="195" t="n">
        <x:v>4.53</x:v>
      </x:c>
      <x:c r="C2284" s="195" t="n">
        <x:v>2.08</x:v>
      </x:c>
      <x:c r="D2284" s="195" t="n">
        <x:f>IFERROR(B2284-C2284,"")</x:f>
        <x:v>2.45</x:v>
      </x:c>
    </x:row>
    <x:row r="2285">
      <x:c r="A2285" s="187" t="n">
        <x:v>45708</x:v>
      </x:c>
      <x:c r="B2285" s="195" t="n">
        <x:v>4.5</x:v>
      </x:c>
      <x:c r="C2285" s="195" t="n">
        <x:v>2.05</x:v>
      </x:c>
      <x:c r="D2285" s="195" t="n">
        <x:f>IFERROR(B2285-C2285,"")</x:f>
        <x:v>2.45</x:v>
      </x:c>
    </x:row>
    <x:row r="2286">
      <x:c r="A2286" s="187" t="n">
        <x:v>45709</x:v>
      </x:c>
      <x:c r="B2286" s="195" t="n">
        <x:v>4.42</x:v>
      </x:c>
      <x:c r="C2286" s="195" t="n">
        <x:v>2</x:v>
      </x:c>
      <x:c r="D2286" s="195" t="n">
        <x:f>IFERROR(B2286-C2286,"")</x:f>
        <x:v>2.42</x:v>
      </x:c>
    </x:row>
    <x:row r="2287">
      <x:c r="A2287" s="187" t="n">
        <x:v>45712</x:v>
      </x:c>
      <x:c r="B2287" s="195" t="n">
        <x:v>4.4</x:v>
      </x:c>
      <x:c r="C2287" s="195" t="n">
        <x:v>1.98</x:v>
      </x:c>
      <x:c r="D2287" s="195" t="n">
        <x:f>IFERROR(B2287-C2287,"")</x:f>
        <x:v>2.4200000000000004</x:v>
      </x:c>
    </x:row>
    <x:row r="2288">
      <x:c r="A2288" s="187" t="n">
        <x:v>45713</x:v>
      </x:c>
      <x:c r="B2288" s="195" t="n">
        <x:v>4.3</x:v>
      </x:c>
      <x:c r="C2288" s="195" t="n">
        <x:v>1.92</x:v>
      </x:c>
      <x:c r="D2288" s="195" t="n">
        <x:f>IFERROR(B2288-C2288,"")</x:f>
        <x:v>2.38</x:v>
      </x:c>
    </x:row>
    <x:row r="2289">
      <x:c r="A2289" s="187" t="n">
        <x:v>45714</x:v>
      </x:c>
      <x:c r="B2289" s="195" t="n">
        <x:v>4.25</x:v>
      </x:c>
      <x:c r="C2289" s="195" t="n">
        <x:v>1.89</x:v>
      </x:c>
      <x:c r="D2289" s="195" t="n">
        <x:f>IFERROR(B2289-C2289,"")</x:f>
        <x:v>2.3600000000000003</x:v>
      </x:c>
    </x:row>
    <x:row r="2290">
      <x:c r="A2290" s="187" t="n">
        <x:v>45715</x:v>
      </x:c>
      <x:c r="B2290" s="195" t="n">
        <x:v>4.29</x:v>
      </x:c>
      <x:c r="C2290" s="195" t="n">
        <x:v>1.92</x:v>
      </x:c>
      <x:c r="D2290" s="195" t="n">
        <x:f>IFERROR(B2290-C2290,"")</x:f>
        <x:v>2.37</x:v>
      </x:c>
    </x:row>
    <x:row r="2291">
      <x:c r="A2291" s="187" t="n">
        <x:v>45716</x:v>
      </x:c>
      <x:c r="B2291" s="195" t="n">
        <x:v>4.24</x:v>
      </x:c>
      <x:c r="C2291" s="195" t="n">
        <x:v>1.86</x:v>
      </x:c>
      <x:c r="D2291" s="195" t="n">
        <x:f>IFERROR(B2291-C2291,"")</x:f>
        <x:v>2.38</x:v>
      </x:c>
    </x:row>
    <x:row r="2292">
      <x:c r="A2292" s="187" t="n">
        <x:v>45719</x:v>
      </x:c>
      <x:c r="B2292" s="195" t="n">
        <x:v>4.16</x:v>
      </x:c>
      <x:c r="C2292" s="195" t="n">
        <x:v>1.8</x:v>
      </x:c>
      <x:c r="D2292" s="195" t="n">
        <x:f>IFERROR(B2292-C2292,"")</x:f>
        <x:v>2.3600000000000003</x:v>
      </x:c>
    </x:row>
    <x:row r="2293">
      <x:c r="A2293" s="187" t="n">
        <x:v>45720</x:v>
      </x:c>
      <x:c r="B2293" s="195" t="n">
        <x:v>4.22</x:v>
      </x:c>
      <x:c r="C2293" s="195" t="n">
        <x:v>1.87</x:v>
      </x:c>
      <x:c r="D2293" s="195" t="n">
        <x:f>IFERROR(B2293-C2293,"")</x:f>
        <x:v>2.3499999999999996</x:v>
      </x:c>
    </x:row>
    <x:row r="2294">
      <x:c r="A2294" s="187" t="n">
        <x:v>45721</x:v>
      </x:c>
      <x:c r="B2294" s="195" t="n">
        <x:v>4.28</x:v>
      </x:c>
      <x:c r="C2294" s="195" t="n">
        <x:v>1.94</x:v>
      </x:c>
      <x:c r="D2294" s="195" t="n">
        <x:f>IFERROR(B2294-C2294,"")</x:f>
        <x:v>2.3400000000000003</x:v>
      </x:c>
    </x:row>
    <x:row r="2295">
      <x:c r="A2295" s="187" t="n">
        <x:v>45722</x:v>
      </x:c>
      <x:c r="B2295" s="195" t="n">
        <x:v>4.29</x:v>
      </x:c>
      <x:c r="C2295" s="195" t="n">
        <x:v>1.95</x:v>
      </x:c>
      <x:c r="D2295" s="195" t="n">
        <x:f>IFERROR(B2295-C2295,"")</x:f>
        <x:v>2.34</x:v>
      </x:c>
    </x:row>
    <x:row r="2296">
      <x:c r="A2296" s="187" t="n">
        <x:v>45723</x:v>
      </x:c>
      <x:c r="B2296" s="195" t="n">
        <x:v>4.32</x:v>
      </x:c>
      <x:c r="C2296" s="195" t="n">
        <x:v>1.99</x:v>
      </x:c>
      <x:c r="D2296" s="195" t="n">
        <x:f>IFERROR(B2296-C2296,"")</x:f>
        <x:v>2.33</x:v>
      </x:c>
    </x:row>
    <x:row r="2297">
      <x:c r="A2297" s="187" t="n">
        <x:v>45726</x:v>
      </x:c>
      <x:c r="B2297" s="195" t="n">
        <x:v>4.22</x:v>
      </x:c>
      <x:c r="C2297" s="195" t="n">
        <x:v>1.91</x:v>
      </x:c>
      <x:c r="D2297" s="195" t="n">
        <x:f>IFERROR(B2297-C2297,"")</x:f>
        <x:v>2.3099999999999996</x:v>
      </x:c>
    </x:row>
    <x:row r="2298">
      <x:c r="A2298" s="187" t="n">
        <x:v>45727</x:v>
      </x:c>
      <x:c r="B2298" s="195" t="n">
        <x:v>4.28</x:v>
      </x:c>
      <x:c r="C2298" s="195" t="n">
        <x:v>1.97</x:v>
      </x:c>
      <x:c r="D2298" s="195" t="n">
        <x:f>IFERROR(B2298-C2298,"")</x:f>
        <x:v>2.3100000000000005</x:v>
      </x:c>
    </x:row>
    <x:row r="2299">
      <x:c r="A2299" s="187" t="n">
        <x:v>45728</x:v>
      </x:c>
      <x:c r="B2299" s="195" t="n">
        <x:v>4.32</x:v>
      </x:c>
      <x:c r="C2299" s="195" t="n">
        <x:v>1.99</x:v>
      </x:c>
      <x:c r="D2299" s="195" t="n">
        <x:f>IFERROR(B2299-C2299,"")</x:f>
        <x:v>2.33</x:v>
      </x:c>
    </x:row>
    <x:row r="2300">
      <x:c r="A2300" s="187" t="n">
        <x:v>45729</x:v>
      </x:c>
      <x:c r="B2300" s="195" t="n">
        <x:v>4.27</x:v>
      </x:c>
      <x:c r="C2300" s="195" t="n">
        <x:v>1.98</x:v>
      </x:c>
      <x:c r="D2300" s="195" t="n">
        <x:f>IFERROR(B2300-C2300,"")</x:f>
        <x:v>2.2899999999999996</x:v>
      </x:c>
    </x:row>
    <x:row r="2301">
      <x:c r="A2301" s="187" t="n">
        <x:v>45730</x:v>
      </x:c>
      <x:c r="B2301" s="195" t="n">
        <x:v>4.31</x:v>
      </x:c>
      <x:c r="C2301" s="195" t="n">
        <x:v>2.01</x:v>
      </x:c>
      <x:c r="D2301" s="195" t="n">
        <x:f>IFERROR(B2301-C2301,"")</x:f>
        <x:v>2.3</x:v>
      </x:c>
    </x:row>
    <x:row r="2302">
      <x:c r="A2302" s="187" t="n">
        <x:v>45733</x:v>
      </x:c>
      <x:c r="B2302" s="195" t="n">
        <x:v>4.31</x:v>
      </x:c>
      <x:c r="C2302" s="195" t="n">
        <x:v>2.02</x:v>
      </x:c>
      <x:c r="D2302" s="195" t="n">
        <x:f>IFERROR(B2302-C2302,"")</x:f>
        <x:v>2.2899999999999996</x:v>
      </x:c>
    </x:row>
    <x:row r="2303">
      <x:c r="A2303" s="187" t="n">
        <x:v>45734</x:v>
      </x:c>
      <x:c r="B2303" s="195" t="n">
        <x:v>4.29</x:v>
      </x:c>
      <x:c r="C2303" s="195" t="n">
        <x:v>1.99</x:v>
      </x:c>
      <x:c r="D2303" s="195" t="n">
        <x:f>IFERROR(B2303-C2303,"")</x:f>
        <x:v>2.3</x:v>
      </x:c>
    </x:row>
    <x:row r="2304">
      <x:c r="A2304" s="187" t="n">
        <x:v>45735</x:v>
      </x:c>
      <x:c r="B2304" s="195" t="n">
        <x:v>4.25</x:v>
      </x:c>
      <x:c r="C2304" s="195" t="n">
        <x:v>1.94</x:v>
      </x:c>
      <x:c r="D2304" s="195" t="n">
        <x:f>IFERROR(B2304-C2304,"")</x:f>
        <x:v>2.31</x:v>
      </x:c>
    </x:row>
    <x:row r="2305">
      <x:c r="A2305" s="187" t="n">
        <x:v>45736</x:v>
      </x:c>
      <x:c r="B2305" s="195" t="n">
        <x:v>4.24</x:v>
      </x:c>
      <x:c r="C2305" s="195" t="n">
        <x:v>1.93</x:v>
      </x:c>
      <x:c r="D2305" s="195" t="n">
        <x:f>IFERROR(B2305-C2305,"")</x:f>
        <x:v>2.3100000000000005</x:v>
      </x:c>
    </x:row>
    <x:row r="2306">
      <x:c r="A2306" s="187" t="n">
        <x:v>45737</x:v>
      </x:c>
      <x:c r="B2306" s="195" t="n">
        <x:v>4.25</x:v>
      </x:c>
      <x:c r="C2306" s="195" t="n">
        <x:v>1.92</x:v>
      </x:c>
      <x:c r="D2306" s="195" t="n">
        <x:f>IFERROR(B2306-C2306,"")</x:f>
        <x:v>2.33</x:v>
      </x:c>
    </x:row>
    <x:row r="2307">
      <x:c r="A2307" s="187" t="n">
        <x:v>45740</x:v>
      </x:c>
      <x:c r="B2307" s="195" t="n">
        <x:v>4.34</x:v>
      </x:c>
      <x:c r="C2307" s="195" t="n">
        <x:v>1.98</x:v>
      </x:c>
      <x:c r="D2307" s="195" t="n">
        <x:f>IFERROR(B2307-C2307,"")</x:f>
        <x:v>2.36</x:v>
      </x:c>
    </x:row>
    <x:row r="2308">
      <x:c r="A2308" s="187" t="n">
        <x:v>45741</x:v>
      </x:c>
      <x:c r="B2308" s="195" t="n">
        <x:v>4.31</x:v>
      </x:c>
      <x:c r="C2308" s="195" t="n">
        <x:v>1.96</x:v>
      </x:c>
      <x:c r="D2308" s="195" t="n">
        <x:f>IFERROR(B2308-C2308,"")</x:f>
        <x:v>2.3499999999999996</x:v>
      </x:c>
    </x:row>
    <x:row r="2309">
      <x:c r="A2309" s="187" t="n">
        <x:v>45742</x:v>
      </x:c>
      <x:c r="B2309" s="195" t="n">
        <x:v>4.35</x:v>
      </x:c>
      <x:c r="C2309" s="195" t="n">
        <x:v>1.98</x:v>
      </x:c>
      <x:c r="D2309" s="195" t="n">
        <x:f>IFERROR(B2309-C2309,"")</x:f>
        <x:v>2.3699999999999997</x:v>
      </x:c>
    </x:row>
    <x:row r="2310">
      <x:c r="A2310" s="187" t="n">
        <x:v>45743</x:v>
      </x:c>
      <x:c r="B2310" s="195" t="n">
        <x:v>4.38</x:v>
      </x:c>
      <x:c r="C2310" s="195" t="n">
        <x:v>1.99</x:v>
      </x:c>
      <x:c r="D2310" s="195" t="n">
        <x:f>IFERROR(B2310-C2310,"")</x:f>
        <x:v>2.3899999999999997</x:v>
      </x:c>
    </x:row>
    <x:row r="2311">
      <x:c r="A2311" s="187" t="n">
        <x:v>45744</x:v>
      </x:c>
      <x:c r="B2311" s="195" t="n">
        <x:v>4.27</x:v>
      </x:c>
      <x:c r="C2311" s="195" t="n">
        <x:v>1.9</x:v>
      </x:c>
      <x:c r="D2311" s="195" t="n">
        <x:f>IFERROR(B2311-C2311,"")</x:f>
        <x:v>2.3699999999999997</x:v>
      </x:c>
    </x:row>
    <x:row r="2312">
      <x:c r="A2312" s="187" t="n">
        <x:v>45747</x:v>
      </x:c>
      <x:c r="B2312" s="195" t="n">
        <x:v>4.23</x:v>
      </x:c>
      <x:c r="C2312" s="195" t="n">
        <x:v>1.85</x:v>
      </x:c>
      <x:c r="D2312" s="195" t="n">
        <x:f>IFERROR(B2312-C2312,"")</x:f>
        <x:v>2.3800000000000003</x:v>
      </x:c>
    </x:row>
    <x:row r="2313">
      <x:c r="A2313" s="187" t="n">
        <x:v>45748</x:v>
      </x:c>
      <x:c r="B2313" s="195" t="n">
        <x:v>4.17</x:v>
      </x:c>
      <x:c r="C2313" s="195" t="n">
        <x:v>1.84</x:v>
      </x:c>
      <x:c r="D2313" s="195" t="n">
        <x:f>IFERROR(B2313-C2313,"")</x:f>
        <x:v>2.33</x:v>
      </x:c>
    </x:row>
    <x:row r="2314">
      <x:c r="A2314" s="187" t="n">
        <x:v>45749</x:v>
      </x:c>
      <x:c r="B2314" s="195" t="n">
        <x:v>4.2</x:v>
      </x:c>
      <x:c r="C2314" s="195" t="n">
        <x:v>1.88</x:v>
      </x:c>
      <x:c r="D2314" s="195" t="n">
        <x:f>IFERROR(B2314-C2314,"")</x:f>
        <x:v>2.3200000000000003</x:v>
      </x:c>
    </x:row>
    <x:row r="2315">
      <x:c r="A2315" s="187" t="n">
        <x:v>45750</x:v>
      </x:c>
      <x:c r="B2315" s="195" t="n">
        <x:v>4.06</x:v>
      </x:c>
      <x:c r="C2315" s="195" t="n">
        <x:v>1.78</x:v>
      </x:c>
      <x:c r="D2315" s="195" t="n">
        <x:f>IFERROR(B2315-C2315,"")</x:f>
        <x:v>2.2799999999999994</x:v>
      </x:c>
    </x:row>
    <x:row r="2316">
      <x:c r="A2316" s="187" t="n">
        <x:v>45751</x:v>
      </x:c>
      <x:c r="B2316" s="195" t="n">
        <x:v>4.01</x:v>
      </x:c>
      <x:c r="C2316" s="195" t="n">
        <x:v>1.83</x:v>
      </x:c>
      <x:c r="D2316" s="195" t="n">
        <x:f>IFERROR(B2316-C2316,"")</x:f>
        <x:v>2.1799999999999997</x:v>
      </x:c>
    </x:row>
    <x:row r="2317">
      <x:c r="A2317" s="187" t="n">
        <x:v>45754</x:v>
      </x:c>
      <x:c r="B2317" s="195" t="n">
        <x:v>4.15</x:v>
      </x:c>
      <x:c r="C2317" s="195" t="n">
        <x:v>1.96</x:v>
      </x:c>
      <x:c r="D2317" s="195" t="n">
        <x:f>IFERROR(B2317-C2317,"")</x:f>
        <x:v>2.1900000000000004</x:v>
      </x:c>
    </x:row>
    <x:row r="2318">
      <x:c r="A2318" s="187" t="n">
        <x:v>45755</x:v>
      </x:c>
      <x:c r="B2318" s="195" t="n">
        <x:v>4.26</x:v>
      </x:c>
      <x:c r="C2318" s="195" t="n">
        <x:v>2.04</x:v>
      </x:c>
      <x:c r="D2318" s="195" t="n">
        <x:f>IFERROR(B2318-C2318,"")</x:f>
        <x:v>2.2199999999999998</x:v>
      </x:c>
    </x:row>
    <x:row r="2319">
      <x:c r="A2319" s="187" t="n">
        <x:v>45756</x:v>
      </x:c>
      <x:c r="B2319" s="195" t="n">
        <x:v>4.34</x:v>
      </x:c>
      <x:c r="C2319" s="195" t="n">
        <x:v>2.07</x:v>
      </x:c>
      <x:c r="D2319" s="195" t="n">
        <x:f>IFERROR(B2319-C2319,"")</x:f>
        <x:v>2.27</x:v>
      </x:c>
    </x:row>
    <x:row r="2320">
      <x:c r="A2320" s="187" t="n">
        <x:v>45757</x:v>
      </x:c>
      <x:c r="B2320" s="195" t="n">
        <x:v>4.4</x:v>
      </x:c>
      <x:c r="C2320" s="195" t="n">
        <x:v>2.21</x:v>
      </x:c>
      <x:c r="D2320" s="195" t="n">
        <x:f>IFERROR(B2320-C2320,"")</x:f>
        <x:v>2.1900000000000004</x:v>
      </x:c>
    </x:row>
    <x:row r="2321">
      <x:c r="A2321" s="187" t="n">
        <x:v>45758</x:v>
      </x:c>
      <x:c r="B2321" s="195" t="n">
        <x:v>4.48</x:v>
      </x:c>
      <x:c r="C2321" s="195" t="n">
        <x:v>2.28</x:v>
      </x:c>
      <x:c r="D2321" s="195" t="n">
        <x:f>IFERROR(B2321-C2321,"")</x:f>
        <x:v>2.2000000000000006</x:v>
      </x:c>
    </x:row>
    <x:row r="2322">
      <x:c r="A2322" s="187" t="n">
        <x:v>45761</x:v>
      </x:c>
      <x:c r="B2322" s="195" t="n">
        <x:v>4.38</x:v>
      </x:c>
      <x:c r="C2322" s="195" t="n">
        <x:v>2.15</x:v>
      </x:c>
      <x:c r="D2322" s="195" t="n">
        <x:f>IFERROR(B2322-C2322,"")</x:f>
        <x:v>2.23</x:v>
      </x:c>
    </x:row>
    <x:row r="2323">
      <x:c r="A2323" s="187" t="n">
        <x:v>45762</x:v>
      </x:c>
      <x:c r="B2323" s="195" t="n">
        <x:v>4.35</x:v>
      </x:c>
      <x:c r="C2323" s="195" t="n">
        <x:v>2.16</x:v>
      </x:c>
      <x:c r="D2323" s="195" t="n">
        <x:f>IFERROR(B2323-C2323,"")</x:f>
        <x:v>2.1899999999999995</x:v>
      </x:c>
    </x:row>
    <x:row r="2324">
      <x:c r="A2324" s="187" t="n">
        <x:v>45763</x:v>
      </x:c>
      <x:c r="B2324" s="195" t="n">
        <x:v>4.29</x:v>
      </x:c>
      <x:c r="C2324" s="195" t="n">
        <x:v>2.12</x:v>
      </x:c>
      <x:c r="D2324" s="195" t="n">
        <x:f>IFERROR(B2324-C2324,"")</x:f>
        <x:v>2.17</x:v>
      </x:c>
    </x:row>
    <x:row r="2325">
      <x:c r="A2325" s="187" t="n">
        <x:v>45764</x:v>
      </x:c>
      <x:c r="B2325" s="195" t="n">
        <x:v>4.34</x:v>
      </x:c>
      <x:c r="C2325" s="195" t="n">
        <x:v>2.11</x:v>
      </x:c>
      <x:c r="D2325" s="195" t="n">
        <x:f>IFERROR(B2325-C2325,"")</x:f>
        <x:v>2.23</x:v>
      </x:c>
    </x:row>
    <x:row r="2326">
      <x:c r="A2326" s="187" t="n">
        <x:v>45768</x:v>
      </x:c>
      <x:c r="B2326" s="195" t="n">
        <x:v>4.42</x:v>
      </x:c>
      <x:c r="C2326" s="195" t="n">
        <x:v>2.2</x:v>
      </x:c>
      <x:c r="D2326" s="195" t="n">
        <x:f>IFERROR(B2326-C2326,"")</x:f>
        <x:v>2.2199999999999998</x:v>
      </x:c>
    </x:row>
    <x:row r="2327">
      <x:c r="A2327" s="187" t="n">
        <x:v>45769</x:v>
      </x:c>
      <x:c r="B2327" s="195" t="n">
        <x:v>4.41</x:v>
      </x:c>
      <x:c r="C2327" s="195" t="n">
        <x:v>2.14</x:v>
      </x:c>
      <x:c r="D2327" s="195" t="n">
        <x:f>IFERROR(B2327-C2327,"")</x:f>
        <x:v>2.27</x:v>
      </x:c>
    </x:row>
    <x:row r="2328">
      <x:c r="A2328" s="187" t="n">
        <x:v>45770</x:v>
      </x:c>
      <x:c r="B2328" s="195" t="n">
        <x:v>4.4</x:v>
      </x:c>
      <x:c r="C2328" s="195" t="n">
        <x:v>2.11</x:v>
      </x:c>
      <x:c r="D2328" s="195" t="n">
        <x:f>IFERROR(B2328-C2328,"")</x:f>
        <x:v>2.2900000000000005</x:v>
      </x:c>
    </x:row>
    <x:row r="2329">
      <x:c r="A2329" s="187" t="n">
        <x:v>45771</x:v>
      </x:c>
      <x:c r="B2329" s="195" t="n">
        <x:v>4.32</x:v>
      </x:c>
      <x:c r="C2329" s="195" t="n">
        <x:v>2.02</x:v>
      </x:c>
      <x:c r="D2329" s="195" t="n">
        <x:f>IFERROR(B2329-C2329,"")</x:f>
        <x:v>2.3000000000000003</x:v>
      </x:c>
    </x:row>
    <x:row r="2330">
      <x:c r="A2330" s="187" t="n">
        <x:v>45772</x:v>
      </x:c>
      <x:c r="B2330" s="195" t="n">
        <x:v>4.29</x:v>
      </x:c>
      <x:c r="C2330" s="195" t="n">
        <x:v>2.02</x:v>
      </x:c>
      <x:c r="D2330" s="195" t="n">
        <x:f>IFERROR(B2330-C2330,"")</x:f>
        <x:v>2.27</x:v>
      </x:c>
    </x:row>
    <x:row r="2331">
      <x:c r="A2331" s="187" t="n">
        <x:v>45775</x:v>
      </x:c>
      <x:c r="B2331" s="195" t="n">
        <x:v>4.23</x:v>
      </x:c>
      <x:c r="C2331" s="195" t="n">
        <x:v>1.98</x:v>
      </x:c>
      <x:c r="D2331" s="195" t="n">
        <x:f>IFERROR(B2331-C2331,"")</x:f>
        <x:v>2.2500000000000004</x:v>
      </x:c>
    </x:row>
    <x:row r="2332">
      <x:c r="A2332" s="187" t="n">
        <x:v>45776</x:v>
      </x:c>
      <x:c r="B2332" s="195" t="n">
        <x:v>4.19</x:v>
      </x:c>
      <x:c r="C2332" s="195" t="n">
        <x:v>1.96</x:v>
      </x:c>
      <x:c r="D2332" s="195" t="n">
        <x:f>IFERROR(B2332-C2332,"")</x:f>
        <x:v>2.2300000000000004</x:v>
      </x:c>
    </x:row>
    <x:row r="2333">
      <x:c r="A2333" s="187" t="n">
        <x:v>45777</x:v>
      </x:c>
      <x:c r="B2333" s="195" t="n">
        <x:v>4.17</x:v>
      </x:c>
      <x:c r="C2333" s="195" t="n">
        <x:v>1.94</x:v>
      </x:c>
      <x:c r="D2333" s="195" t="n">
        <x:f>IFERROR(B2333-C2333,"")</x:f>
        <x:v>2.23</x:v>
      </x:c>
    </x:row>
    <x:row r="2334">
      <x:c r="A2334" s="187" t="n">
        <x:v>45778</x:v>
      </x:c>
      <x:c r="B2334" s="195" t="n">
        <x:v>4.25</x:v>
      </x:c>
      <x:c r="C2334" s="195" t="n">
        <x:v>2</x:v>
      </x:c>
      <x:c r="D2334" s="195" t="n">
        <x:f>IFERROR(B2334-C2334,"")</x:f>
        <x:v>2.25</x:v>
      </x:c>
    </x:row>
    <x:row r="2335">
      <x:c r="A2335" s="187" t="n">
        <x:v>45779</x:v>
      </x:c>
      <x:c r="B2335" s="195" t="n">
        <x:v>4.33</x:v>
      </x:c>
      <x:c r="C2335" s="195" t="n">
        <x:v>2.06</x:v>
      </x:c>
      <x:c r="D2335" s="195" t="n">
        <x:f>IFERROR(B2335-C2335,"")</x:f>
        <x:v>2.27</x:v>
      </x:c>
    </x:row>
    <x:row r="2336">
      <x:c r="A2336" s="187" t="n">
        <x:v>45782</x:v>
      </x:c>
      <x:c r="B2336" s="195" t="n">
        <x:v>4.36</x:v>
      </x:c>
      <x:c r="C2336" s="195" t="n">
        <x:v>2.08</x:v>
      </x:c>
      <x:c r="D2336" s="195" t="n">
        <x:f>IFERROR(B2336-C2336,"")</x:f>
        <x:v>2.2800000000000002</x:v>
      </x:c>
    </x:row>
    <x:row r="2337">
      <x:c r="A2337" s="187" t="n">
        <x:v>45783</x:v>
      </x:c>
      <x:c r="B2337" s="195" t="n">
        <x:v>4.3</x:v>
      </x:c>
      <x:c r="C2337" s="195" t="n">
        <x:v>2.04</x:v>
      </x:c>
      <x:c r="D2337" s="195" t="n">
        <x:f>IFERROR(B2337-C2337,"")</x:f>
        <x:v>2.26</x:v>
      </x:c>
    </x:row>
    <x:row r="2338">
      <x:c r="A2338" s="187" t="n">
        <x:v>45784</x:v>
      </x:c>
      <x:c r="B2338" s="195" t="n">
        <x:v>4.26</x:v>
      </x:c>
      <x:c r="C2338" s="195" t="n">
        <x:v>2.01</x:v>
      </x:c>
      <x:c r="D2338" s="195" t="n">
        <x:f>IFERROR(B2338-C2338,"")</x:f>
        <x:v>2.25</x:v>
      </x:c>
    </x:row>
    <x:row r="2339">
      <x:c r="A2339" s="187" t="n">
        <x:v>45785</x:v>
      </x:c>
      <x:c r="B2339" s="195" t="n">
        <x:v>4.37</x:v>
      </x:c>
      <x:c r="C2339" s="195" t="n">
        <x:v>2.08</x:v>
      </x:c>
      <x:c r="D2339" s="195" t="n">
        <x:f>IFERROR(B2339-C2339,"")</x:f>
        <x:v>2.29</x:v>
      </x:c>
    </x:row>
    <x:row r="2340">
      <x:c r="A2340" s="187" t="n">
        <x:v>45786</x:v>
      </x:c>
      <x:c r="B2340" s="195" t="n">
        <x:v>4.37</x:v>
      </x:c>
      <x:c r="C2340" s="195" t="n">
        <x:v>2.08</x:v>
      </x:c>
      <x:c r="D2340" s="195" t="n">
        <x:f>IFERROR(B2340-C2340,"")</x:f>
        <x:v>2.29</x:v>
      </x:c>
    </x:row>
    <x:row r="2341">
      <x:c r="A2341" s="187" t="n">
        <x:v>45789</x:v>
      </x:c>
      <x:c r="B2341" s="195" t="n">
        <x:v>4.45</x:v>
      </x:c>
      <x:c r="C2341" s="195" t="n">
        <x:v>2.16</x:v>
      </x:c>
      <x:c r="D2341" s="195" t="n">
        <x:f>IFERROR(B2341-C2341,"")</x:f>
        <x:v>2.29</x:v>
      </x:c>
    </x:row>
    <x:row r="2342">
      <x:c r="A2342" s="187" t="n">
        <x:v>45790</x:v>
      </x:c>
      <x:c r="B2342" s="195" t="n">
        <x:v>4.49</x:v>
      </x:c>
      <x:c r="C2342" s="195" t="n">
        <x:v>2.17</x:v>
      </x:c>
      <x:c r="D2342" s="195" t="n">
        <x:f>IFERROR(B2342-C2342,"")</x:f>
        <x:v>2.3200000000000003</x:v>
      </x:c>
    </x:row>
    <x:row r="2343">
      <x:c r="A2343" s="187" t="n">
        <x:v>45791</x:v>
      </x:c>
      <x:c r="B2343" s="195" t="n">
        <x:v>4.53</x:v>
      </x:c>
      <x:c r="C2343" s="195" t="n">
        <x:v>2.16</x:v>
      </x:c>
      <x:c r="D2343" s="195" t="n">
        <x:f>IFERROR(B2343-C2343,"")</x:f>
        <x:v>2.37</x:v>
      </x:c>
    </x:row>
    <x:row r="2344">
      <x:c r="A2344" s="187" t="n">
        <x:v>45792</x:v>
      </x:c>
      <x:c r="B2344" s="195" t="n">
        <x:v>4.45</x:v>
      </x:c>
      <x:c r="C2344" s="195" t="n">
        <x:v>2.11</x:v>
      </x:c>
      <x:c r="D2344" s="195" t="n">
        <x:f>IFERROR(B2344-C2344,"")</x:f>
        <x:v>2.3400000000000003</x:v>
      </x:c>
    </x:row>
    <x:row r="2345">
      <x:c r="A2345" s="187" t="n">
        <x:v>45793</x:v>
      </x:c>
      <x:c r="B2345" s="195" t="n">
        <x:v>4.43</x:v>
      </x:c>
      <x:c r="C2345" s="195" t="n">
        <x:v>2.09</x:v>
      </x:c>
      <x:c r="D2345" s="195" t="n">
        <x:f>IFERROR(B2345-C2345,"")</x:f>
        <x:v>2.34</x:v>
      </x:c>
    </x:row>
    <x:row r="2346">
      <x:c r="A2346" s="187" t="n">
        <x:v>45796</x:v>
      </x:c>
      <x:c r="B2346" s="195" t="n">
        <x:v>4.46</x:v>
      </x:c>
      <x:c r="C2346" s="195" t="n">
        <x:v>2.1</x:v>
      </x:c>
      <x:c r="D2346" s="195" t="n">
        <x:f>IFERROR(B2346-C2346,"")</x:f>
        <x:v>2.36</x:v>
      </x:c>
    </x:row>
    <x:row r="2347">
      <x:c r="A2347" s="187" t="n">
        <x:v>45797</x:v>
      </x:c>
      <x:c r="B2347" s="195" t="n">
        <x:v>4.48</x:v>
      </x:c>
      <x:c r="C2347" s="195" t="n">
        <x:v>2.13</x:v>
      </x:c>
      <x:c r="D2347" s="195" t="n">
        <x:f>IFERROR(B2347-C2347,"")</x:f>
        <x:v>2.3500000000000005</x:v>
      </x:c>
    </x:row>
    <x:row r="2348">
      <x:c r="A2348" s="187" t="n">
        <x:v>45798</x:v>
      </x:c>
      <x:c r="B2348" s="195" t="n">
        <x:v>4.58</x:v>
      </x:c>
      <x:c r="C2348" s="195" t="n">
        <x:v>2.23</x:v>
      </x:c>
      <x:c r="D2348" s="195" t="n">
        <x:f>IFERROR(B2348-C2348,"")</x:f>
        <x:v>2.35</x:v>
      </x:c>
    </x:row>
    <x:row r="2349">
      <x:c r="A2349" s="187" t="n">
        <x:v>45799</x:v>
      </x:c>
      <x:c r="B2349" s="195" t="n">
        <x:v>4.54</x:v>
      </x:c>
      <x:c r="C2349" s="195" t="n">
        <x:v>2.2</x:v>
      </x:c>
      <x:c r="D2349" s="195" t="n">
        <x:f>IFERROR(B2349-C2349,"")</x:f>
        <x:v>2.34</x:v>
      </x:c>
    </x:row>
    <x:row r="2350">
      <x:c r="A2350" s="187" t="n">
        <x:v>45800</x:v>
      </x:c>
      <x:c r="B2350" s="195" t="n">
        <x:v>4.51</x:v>
      </x:c>
      <x:c r="C2350" s="195" t="n">
        <x:v>2.18</x:v>
      </x:c>
      <x:c r="D2350" s="195" t="n">
        <x:f>IFERROR(B2350-C2350,"")</x:f>
        <x:v>2.3299999999999996</x:v>
      </x:c>
    </x:row>
    <x:row r="2351">
      <x:c r="A2351" s="187" t="n">
        <x:v>45804</x:v>
      </x:c>
      <x:c r="B2351" s="195" t="n">
        <x:v>4.43</x:v>
      </x:c>
      <x:c r="C2351" s="195" t="n">
        <x:v>2.11</x:v>
      </x:c>
      <x:c r="D2351" s="195" t="n">
        <x:f>IFERROR(B2351-C2351,"")</x:f>
        <x:v>2.32</x:v>
      </x:c>
    </x:row>
    <x:row r="2352">
      <x:c r="A2352" s="187" t="n">
        <x:v>45805</x:v>
      </x:c>
      <x:c r="B2352" s="195" t="n">
        <x:v>4.47</x:v>
      </x:c>
      <x:c r="C2352" s="195" t="n">
        <x:v>2.15</x:v>
      </x:c>
      <x:c r="D2352" s="195" t="n">
        <x:f>IFERROR(B2352-C2352,"")</x:f>
        <x:v>2.32</x:v>
      </x:c>
    </x:row>
    <x:row r="2353">
      <x:c r="A2353" s="187" t="n">
        <x:v>45806</x:v>
      </x:c>
      <x:c r="B2353" s="195" t="n">
        <x:v>4.43</x:v>
      </x:c>
      <x:c r="C2353" s="195" t="n">
        <x:v>2.11</x:v>
      </x:c>
      <x:c r="D2353" s="195" t="n">
        <x:f>IFERROR(B2353-C2353,"")</x:f>
        <x:v>2.32</x:v>
      </x:c>
    </x:row>
    <x:row r="2354">
      <x:c r="A2354" s="187" t="n">
        <x:v>45807</x:v>
      </x:c>
      <x:c r="B2354" s="195" t="n">
        <x:v>4.41</x:v>
      </x:c>
      <x:c r="C2354" s="195" t="n">
        <x:v>2.07</x:v>
      </x:c>
      <x:c r="D2354" s="195" t="n">
        <x:f>IFERROR(B2354-C2354,"")</x:f>
        <x:v>2.3400000000000003</x:v>
      </x:c>
    </x:row>
    <x:row r="2355">
      <x:c r="A2355" s="187" t="n">
        <x:v>45810</x:v>
      </x:c>
      <x:c r="B2355" s="195" t="n">
        <x:v>4.46</x:v>
      </x:c>
      <x:c r="C2355" s="195" t="n">
        <x:v>2.13</x:v>
      </x:c>
      <x:c r="D2355" s="195" t="n">
        <x:f>IFERROR(B2355-C2355,"")</x:f>
        <x:v>2.33</x:v>
      </x:c>
    </x:row>
    <x:row r="2356">
      <x:c r="A2356" s="187" t="n">
        <x:v>45811</x:v>
      </x:c>
      <x:c r="B2356" s="195" t="n">
        <x:v>4.46</x:v>
      </x:c>
      <x:c r="C2356" s="195" t="n">
        <x:v>2.14</x:v>
      </x:c>
      <x:c r="D2356" s="195" t="n">
        <x:f>IFERROR(B2356-C2356,"")</x:f>
        <x:v>2.32</x:v>
      </x:c>
    </x:row>
    <x:row r="2357">
      <x:c r="A2357" s="187" t="n">
        <x:v>45812</x:v>
      </x:c>
      <x:c r="B2357" s="195" t="n">
        <x:v>4.37</x:v>
      </x:c>
      <x:c r="C2357" s="195" t="n">
        <x:v>2.06</x:v>
      </x:c>
      <x:c r="D2357" s="195" t="n">
        <x:f>IFERROR(B2357-C2357,"")</x:f>
        <x:v>2.31</x:v>
      </x:c>
    </x:row>
    <x:row r="2358">
      <x:c r="A2358" s="187" t="n">
        <x:v>45813</x:v>
      </x:c>
      <x:c r="B2358" s="195" t="n">
        <x:v>4.4</x:v>
      </x:c>
      <x:c r="C2358" s="195" t="n">
        <x:v>2.11</x:v>
      </x:c>
      <x:c r="D2358" s="195" t="n">
        <x:f>IFERROR(B2358-C2358,"")</x:f>
        <x:v>2.2900000000000005</x:v>
      </x:c>
    </x:row>
    <x:row r="2359">
      <x:c r="A2359" s="187" t="n">
        <x:v>45814</x:v>
      </x:c>
      <x:c r="B2359" s="195" t="n">
        <x:v>4.51</x:v>
      </x:c>
      <x:c r="C2359" s="195" t="n">
        <x:v>2.2</x:v>
      </x:c>
      <x:c r="D2359" s="195" t="n">
        <x:f>IFERROR(B2359-C2359,"")</x:f>
        <x:v>2.3099999999999996</x:v>
      </x:c>
    </x:row>
    <x:row r="2360">
      <x:c r="A2360" s="187" t="n">
        <x:v>45817</x:v>
      </x:c>
      <x:c r="B2360" s="195" t="n">
        <x:v>4.49</x:v>
      </x:c>
      <x:c r="C2360" s="195" t="n">
        <x:v>2.18</x:v>
      </x:c>
      <x:c r="D2360" s="195" t="n">
        <x:f>IFERROR(B2360-C2360,"")</x:f>
        <x:v>2.31</x:v>
      </x:c>
    </x:row>
    <x:row r="2361">
      <x:c r="A2361" s="187" t="n">
        <x:v>45818</x:v>
      </x:c>
      <x:c r="B2361" s="195" t="n">
        <x:v>4.47</x:v>
      </x:c>
      <x:c r="C2361" s="195" t="n">
        <x:v>2.18</x:v>
      </x:c>
      <x:c r="D2361" s="195" t="n">
        <x:f>IFERROR(B2361-C2361,"")</x:f>
        <x:v>2.2899999999999996</x:v>
      </x:c>
    </x:row>
    <x:row r="2362">
      <x:c r="A2362" s="187" t="n">
        <x:v>45819</x:v>
      </x:c>
      <x:c r="B2362" s="195" t="n">
        <x:v>4.41</x:v>
      </x:c>
      <x:c r="C2362" s="195" t="n">
        <x:v>2.14</x:v>
      </x:c>
      <x:c r="D2362" s="195" t="n">
        <x:f>IFERROR(B2362-C2362,"")</x:f>
        <x:v>2.27</x:v>
      </x:c>
    </x:row>
    <x:row r="2363">
      <x:c r="A2363" s="187" t="n">
        <x:v>45820</x:v>
      </x:c>
      <x:c r="B2363" s="195" t="n">
        <x:v>4.36</x:v>
      </x:c>
      <x:c r="C2363" s="195" t="n">
        <x:v>2.11</x:v>
      </x:c>
      <x:c r="D2363" s="195" t="n">
        <x:f>IFERROR(B2363-C2363,"")</x:f>
        <x:v>2.2500000000000004</x:v>
      </x:c>
    </x:row>
    <x:row r="2364">
      <x:c r="A2364" s="187" t="n">
        <x:v>45821</x:v>
      </x:c>
      <x:c r="B2364" s="195" t="n">
        <x:v>4.41</x:v>
      </x:c>
      <x:c r="C2364" s="195" t="n">
        <x:v>2.13</x:v>
      </x:c>
      <x:c r="D2364" s="195" t="n">
        <x:f>IFERROR(B2364-C2364,"")</x:f>
        <x:v>2.2800000000000002</x:v>
      </x:c>
    </x:row>
    <x:row r="2365">
      <x:c r="A2365" s="187" t="n">
        <x:v>45824</x:v>
      </x:c>
      <x:c r="B2365" s="195" t="n">
        <x:v>4.46</x:v>
      </x:c>
      <x:c r="C2365" s="195" t="n">
        <x:v>2.16</x:v>
      </x:c>
      <x:c r="D2365" s="195" t="n">
        <x:f>IFERROR(B2365-C2365,"")</x:f>
        <x:v>2.3</x:v>
      </x:c>
    </x:row>
    <x:row r="2366">
      <x:c r="A2366" s="187" t="n">
        <x:v>45825</x:v>
      </x:c>
      <x:c r="B2366" s="195" t="n">
        <x:v>4.39</x:v>
      </x:c>
      <x:c r="C2366" s="195" t="n">
        <x:v>2.08</x:v>
      </x:c>
      <x:c r="D2366" s="195" t="n">
        <x:f>IFERROR(B2366-C2366,"")</x:f>
        <x:v>2.3099999999999996</x:v>
      </x:c>
    </x:row>
    <x:row r="2367">
      <x:c r="A2367" s="187" t="n">
        <x:v>45826</x:v>
      </x:c>
      <x:c r="B2367" s="195" t="n">
        <x:v>4.38</x:v>
      </x:c>
      <x:c r="C2367" s="195" t="n">
        <x:v>2.07</x:v>
      </x:c>
      <x:c r="D2367" s="195" t="n">
        <x:f>IFERROR(B2367-C2367,"")</x:f>
        <x:v>2.31</x:v>
      </x:c>
    </x:row>
    <x:row r="2368">
      <x:c r="A2368" s="187" t="n">
        <x:v>45828</x:v>
      </x:c>
      <x:c r="B2368" s="195" t="n">
        <x:v>4.38</x:v>
      </x:c>
      <x:c r="C2368" s="195" t="n">
        <x:v>2.05</x:v>
      </x:c>
      <x:c r="D2368" s="195" t="n">
        <x:f>IFERROR(B2368-C2368,"")</x:f>
        <x:v>2.33</x:v>
      </x:c>
    </x:row>
    <x:row r="2369">
      <x:c r="A2369" s="187" t="n">
        <x:v>45831</x:v>
      </x:c>
      <x:c r="B2369" s="195" t="n">
        <x:v>4.34</x:v>
      </x:c>
      <x:c r="C2369" s="195" t="n">
        <x:v>2.04</x:v>
      </x:c>
      <x:c r="D2369" s="195" t="n">
        <x:f>IFERROR(B2369-C2369,"")</x:f>
        <x:v>2.3</x:v>
      </x:c>
    </x:row>
    <x:row r="2370">
      <x:c r="A2370" s="187" t="n">
        <x:v>45832</x:v>
      </x:c>
      <x:c r="B2370" s="195" t="n">
        <x:v>4.3</x:v>
      </x:c>
      <x:c r="C2370" s="195" t="n">
        <x:v>2.01</x:v>
      </x:c>
      <x:c r="D2370" s="195" t="n">
        <x:f>IFERROR(B2370-C2370,"")</x:f>
        <x:v>2.29</x:v>
      </x:c>
    </x:row>
    <x:row r="2371">
      <x:c r="A2371" s="187" t="n">
        <x:v>45833</x:v>
      </x:c>
      <x:c r="B2371" s="195" t="n">
        <x:v>4.29</x:v>
      </x:c>
      <x:c r="C2371" s="195" t="n">
        <x:v>2.01</x:v>
      </x:c>
      <x:c r="D2371" s="195" t="n">
        <x:f>IFERROR(B2371-C2371,"")</x:f>
        <x:v>2.2800000000000002</x:v>
      </x:c>
    </x:row>
    <x:row r="2372">
      <x:c r="A2372" s="187" t="n">
        <x:v>45834</x:v>
      </x:c>
      <x:c r="B2372" s="195" t="n">
        <x:v>4.26</x:v>
      </x:c>
      <x:c r="C2372" s="195" t="n">
        <x:v>1.98</x:v>
      </x:c>
      <x:c r="D2372" s="195" t="n">
        <x:f>IFERROR(B2372-C2372,"")</x:f>
        <x:v>2.28</x:v>
      </x:c>
    </x:row>
    <x:row r="2373">
      <x:c r="A2373" s="187" t="n">
        <x:v>45835</x:v>
      </x:c>
      <x:c r="B2373" s="195" t="n">
        <x:v>4.29</x:v>
      </x:c>
      <x:c r="C2373" s="195" t="n">
        <x:v>2</x:v>
      </x:c>
      <x:c r="D2373" s="195" t="n">
        <x:f>IFERROR(B2373-C2373,"")</x:f>
        <x:v>2.29</x:v>
      </x:c>
    </x:row>
    <x:row r="2374">
      <x:c r="A2374" s="187" t="n">
        <x:v>45838</x:v>
      </x:c>
      <x:c r="B2374" s="195" t="n">
        <x:v>4.24</x:v>
      </x:c>
      <x:c r="C2374" s="195" t="n">
        <x:v>1.95</x:v>
      </x:c>
      <x:c r="D2374" s="195" t="n">
        <x:f>IFERROR(B2374-C2374,"")</x:f>
        <x:v>2.29</x:v>
      </x:c>
    </x:row>
    <x:row r="2375">
      <x:c r="A2375" s="187" t="n">
        <x:v>45839</x:v>
      </x:c>
      <x:c r="B2375" s="195" t="n">
        <x:v>4.26</x:v>
      </x:c>
      <x:c r="C2375" s="195" t="n">
        <x:v>1.97</x:v>
      </x:c>
      <x:c r="D2375" s="195" t="n">
        <x:f>IFERROR(B2375-C2375,"")</x:f>
        <x:v>2.29</x:v>
      </x:c>
    </x:row>
    <x:row r="2376">
      <x:c r="A2376" s="187" t="n">
        <x:v>45840</x:v>
      </x:c>
      <x:c r="B2376" s="195" t="n">
        <x:v>4.3</x:v>
      </x:c>
      <x:c r="C2376" s="195" t="n">
        <x:v>2</x:v>
      </x:c>
      <x:c r="D2376" s="195" t="n">
        <x:f>IFERROR(B2376-C2376,"")</x:f>
        <x:v>2.3</x:v>
      </x:c>
    </x:row>
    <x:row r="2377">
      <x:c r="A2377" s="187" t="n">
        <x:v>45841</x:v>
      </x:c>
      <x:c r="B2377" s="195" t="n">
        <x:v>4.35</x:v>
      </x:c>
      <x:c r="C2377" s="195" t="n">
        <x:v>2.02</x:v>
      </x:c>
      <x:c r="D2377" s="195" t="n">
        <x:f>IFERROR(B2377-C2377,"")</x:f>
        <x:v>2.3299999999999996</x:v>
      </x:c>
    </x:row>
    <x:row r="2378">
      <x:c r="A2378" s="187" t="n">
        <x:v>45845</x:v>
      </x:c>
      <x:c r="B2378" s="195" t="n">
        <x:v>4.4</x:v>
      </x:c>
      <x:c r="C2378" s="195" t="n">
        <x:v>2.05</x:v>
      </x:c>
      <x:c r="D2378" s="195" t="n">
        <x:f>IFERROR(B2378-C2378,"")</x:f>
        <x:v>2.3500000000000005</x:v>
      </x:c>
    </x:row>
    <x:row r="2379">
      <x:c r="A2379" s="187" t="n">
        <x:v>45846</x:v>
      </x:c>
      <x:c r="B2379" s="195" t="n">
        <x:v>4.42</x:v>
      </x:c>
      <x:c r="C2379" s="195" t="n">
        <x:v>2.07</x:v>
      </x:c>
      <x:c r="D2379" s="195" t="n">
        <x:f>IFERROR(B2379-C2379,"")</x:f>
        <x:v>2.35</x:v>
      </x:c>
    </x:row>
    <x:row r="2380">
      <x:c r="A2380" s="187" t="n">
        <x:v>45847</x:v>
      </x:c>
      <x:c r="B2380" s="195" t="n">
        <x:v>4.34</x:v>
      </x:c>
      <x:c r="C2380" s="195" t="n">
        <x:v>2.01</x:v>
      </x:c>
      <x:c r="D2380" s="195" t="n">
        <x:f>IFERROR(B2380-C2380,"")</x:f>
        <x:v>2.33</x:v>
      </x:c>
    </x:row>
    <x:row r="2381">
      <x:c r="A2381" s="187" t="n">
        <x:v>45848</x:v>
      </x:c>
      <x:c r="B2381" s="195" t="n">
        <x:v>4.35</x:v>
      </x:c>
      <x:c r="C2381" s="195" t="n">
        <x:v>2.01</x:v>
      </x:c>
      <x:c r="D2381" s="195" t="n">
        <x:f>IFERROR(B2381-C2381,"")</x:f>
        <x:v>2.34</x:v>
      </x:c>
    </x:row>
    <x:row r="2382">
      <x:c r="A2382" s="187" t="n">
        <x:v>45849</x:v>
      </x:c>
      <x:c r="B2382" s="195" t="n">
        <x:v>4.43</x:v>
      </x:c>
      <x:c r="C2382" s="195" t="n">
        <x:v>2.06</x:v>
      </x:c>
      <x:c r="D2382" s="195" t="n">
        <x:f>IFERROR(B2382-C2382,"")</x:f>
        <x:v>2.3699999999999997</x:v>
      </x:c>
    </x:row>
    <x:row r="2383">
      <x:c r="A2383" s="187" t="n">
        <x:v>45852</x:v>
      </x:c>
      <x:c r="B2383" s="195" t="n">
        <x:v>4.43</x:v>
      </x:c>
      <x:c r="C2383" s="195" t="n">
        <x:v>2.04</x:v>
      </x:c>
      <x:c r="D2383" s="195" t="n">
        <x:f>IFERROR(B2383-C2383,"")</x:f>
        <x:v>2.3899999999999997</x:v>
      </x:c>
    </x:row>
    <x:row r="2384">
      <x:c r="A2384" s="187" t="n">
        <x:v>45853</x:v>
      </x:c>
      <x:c r="B2384" s="195" t="n">
        <x:v>4.5</x:v>
      </x:c>
      <x:c r="C2384" s="195" t="n">
        <x:v>2.09</x:v>
      </x:c>
      <x:c r="D2384" s="195" t="n">
        <x:f>IFERROR(B2384-C2384,"")</x:f>
        <x:v>2.41</x:v>
      </x:c>
    </x:row>
    <x:row r="2385">
      <x:c r="A2385" s="187" t="n">
        <x:v>45854</x:v>
      </x:c>
      <x:c r="B2385" s="195" t="n">
        <x:v>4.46</x:v>
      </x:c>
      <x:c r="C2385" s="195" t="n">
        <x:v>2.05</x:v>
      </x:c>
      <x:c r="D2385" s="195" t="n">
        <x:f>IFERROR(B2385-C2385,"")</x:f>
        <x:v>2.41</x:v>
      </x:c>
    </x:row>
    <x:row r="2386">
      <x:c r="A2386" s="187" t="n">
        <x:v>45855</x:v>
      </x:c>
      <x:c r="B2386" s="195" t="n">
        <x:v>4.47</x:v>
      </x:c>
      <x:c r="C2386" s="195" t="n">
        <x:v>2.04</x:v>
      </x:c>
      <x:c r="D2386" s="195" t="n">
        <x:f>IFERROR(B2386-C2386,"")</x:f>
        <x:v>2.4299999999999997</x:v>
      </x:c>
    </x:row>
    <x:row r="2387">
      <x:c r="A2387" s="187" t="n">
        <x:v>45856</x:v>
      </x:c>
      <x:c r="B2387" s="195" t="n">
        <x:v>4.44</x:v>
      </x:c>
      <x:c r="C2387" s="195" t="n">
        <x:v>2.03</x:v>
      </x:c>
      <x:c r="D2387" s="195" t="n">
        <x:f>IFERROR(B2387-C2387,"")</x:f>
        <x:v>2.4100000000000006</x:v>
      </x:c>
    </x:row>
    <x:row r="2388">
      <x:c r="A2388" s="187" t="n">
        <x:v>45859</x:v>
      </x:c>
      <x:c r="B2388" s="195" t="n">
        <x:v>4.38</x:v>
      </x:c>
      <x:c r="C2388" s="195" t="n">
        <x:v>1.98</x:v>
      </x:c>
      <x:c r="D2388" s="195" t="n">
        <x:f>IFERROR(B2388-C2388,"")</x:f>
        <x:v>2.4</x:v>
      </x:c>
    </x:row>
    <x:row r="2389">
      <x:c r="A2389" s="187" t="n">
        <x:v>45860</x:v>
      </x:c>
      <x:c r="B2389" s="195" t="n">
        <x:v>4.35</x:v>
      </x:c>
      <x:c r="C2389" s="195" t="n">
        <x:v>1.96</x:v>
      </x:c>
      <x:c r="D2389" s="195" t="n">
        <x:f>IFERROR(B2389-C2389,"")</x:f>
        <x:v>2.3899999999999997</x:v>
      </x:c>
    </x:row>
    <x:row r="2390">
      <x:c r="A2390" s="187" t="n">
        <x:v>45861</x:v>
      </x:c>
      <x:c r="B2390" s="195" t="n">
        <x:v>4.4</x:v>
      </x:c>
      <x:c r="C2390" s="195" t="n">
        <x:v>2.03</x:v>
      </x:c>
      <x:c r="D2390" s="195" t="n">
        <x:f>IFERROR(B2390-C2390,"")</x:f>
        <x:v>2.3700000000000006</x:v>
      </x:c>
    </x:row>
    <x:row r="2391">
      <x:c r="A2391" s="187" t="n">
        <x:v>45862</x:v>
      </x:c>
      <x:c r="B2391" s="195" t="n">
        <x:v>4.43</x:v>
      </x:c>
      <x:c r="C2391" s="195" t="n">
        <x:v>1.98</x:v>
      </x:c>
      <x:c r="D2391" s="195" t="n">
        <x:f>IFERROR(B2391-C2391,"")</x:f>
        <x:v>2.4499999999999997</x:v>
      </x:c>
    </x:row>
    <x:row r="2392">
      <x:c r="A2392" s="187" t="n">
        <x:v>45863</x:v>
      </x:c>
      <x:c r="B2392" s="195" t="n">
        <x:v>4.4</x:v>
      </x:c>
      <x:c r="C2392" s="195" t="n">
        <x:v>1.96</x:v>
      </x:c>
      <x:c r="D2392" s="195" t="n">
        <x:f>IFERROR(B2392-C2392,"")</x:f>
        <x:v>2.4400000000000004</x:v>
      </x:c>
    </x:row>
    <x:row r="2393">
      <x:c r="A2393" s="187" t="n">
        <x:v>45866</x:v>
      </x:c>
      <x:c r="B2393" s="195" t="n">
        <x:v>4.42</x:v>
      </x:c>
      <x:c r="C2393" s="195" t="n">
        <x:v>1.98</x:v>
      </x:c>
      <x:c r="D2393" s="195" t="n">
        <x:f>IFERROR(B2393-C2393,"")</x:f>
        <x:v>2.44</x:v>
      </x:c>
    </x:row>
    <x:row r="2394">
      <x:c r="A2394" s="187" t="n">
        <x:v>45867</x:v>
      </x:c>
      <x:c r="B2394" s="195" t="n">
        <x:v>4.34</x:v>
      </x:c>
      <x:c r="C2394" s="195" t="n">
        <x:v>1.91</x:v>
      </x:c>
      <x:c r="D2394" s="195" t="n">
        <x:f>IFERROR(B2394-C2394,"")</x:f>
        <x:v>2.4299999999999997</x:v>
      </x:c>
    </x:row>
    <x:row r="2395">
      <x:c r="A2395" s="187" t="n">
        <x:v>45868</x:v>
      </x:c>
      <x:c r="B2395" s="195" t="n">
        <x:v>4.38</x:v>
      </x:c>
      <x:c r="C2395" s="195" t="n">
        <x:v>1.96</x:v>
      </x:c>
      <x:c r="D2395" s="195" t="n">
        <x:f>IFERROR(B2395-C2395,"")</x:f>
        <x:v>2.42</x:v>
      </x:c>
    </x:row>
    <x:row r="2396">
      <x:c r="A2396" s="187" t="n">
        <x:v>45869</x:v>
      </x:c>
      <x:c r="B2396" s="195" t="n">
        <x:v>4.37</x:v>
      </x:c>
      <x:c r="C2396" s="195" t="n">
        <x:v>1.98</x:v>
      </x:c>
      <x:c r="D2396" s="195" t="n">
        <x:f>IFERROR(B2396-C2396,"")</x:f>
        <x:v>2.39</x:v>
      </x:c>
    </x:row>
    <x:row r="2397">
      <x:c r="A2397" s="187" t="n">
        <x:v>45870</x:v>
      </x:c>
      <x:c r="B2397" s="195" t="n">
        <x:v>4.23</x:v>
      </x:c>
      <x:c r="C2397" s="195" t="n">
        <x:v>1.9</x:v>
      </x:c>
      <x:c r="D2397" s="195" t="n">
        <x:f>IFERROR(B2397-C2397,"")</x:f>
        <x:v>2.3300000000000005</x:v>
      </x:c>
    </x:row>
    <x:row r="2398">
      <x:c r="A2398" s="187" t="n">
        <x:v>45873</x:v>
      </x:c>
      <x:c r="B2398" s="195" t="n">
        <x:v>4.22</x:v>
      </x:c>
      <x:c r="C2398" s="195" t="n">
        <x:v>1.85</x:v>
      </x:c>
      <x:c r="D2398" s="195" t="n">
        <x:f>IFERROR(B2398-C2398,"")</x:f>
        <x:v>2.3699999999999997</x:v>
      </x:c>
    </x:row>
    <x:row r="2399">
      <x:c r="A2399" s="187" t="n">
        <x:v>45874</x:v>
      </x:c>
      <x:c r="B2399" s="195" t="n">
        <x:v>4.22</x:v>
      </x:c>
      <x:c r="C2399" s="195" t="n">
        <x:v>1.86</x:v>
      </x:c>
      <x:c r="D2399" s="195" t="n">
        <x:f>IFERROR(B2399-C2399,"")</x:f>
        <x:v>2.3599999999999994</x:v>
      </x:c>
    </x:row>
    <x:row r="2400">
      <x:c r="A2400" s="187" t="n">
        <x:v>45875</x:v>
      </x:c>
      <x:c r="B2400" s="195" t="n">
        <x:v>4.22</x:v>
      </x:c>
      <x:c r="C2400" s="195" t="n">
        <x:v>1.88</x:v>
      </x:c>
      <x:c r="D2400" s="195" t="n">
        <x:f>IFERROR(B2400-C2400,"")</x:f>
        <x:v>2.34</x:v>
      </x:c>
    </x:row>
    <x:row r="2401">
      <x:c r="A2401" s="187" t="n">
        <x:v>45876</x:v>
      </x:c>
      <x:c r="B2401" s="195" t="n">
        <x:v>4.23</x:v>
      </x:c>
      <x:c r="C2401" s="195" t="n">
        <x:v>1.88</x:v>
      </x:c>
      <x:c r="D2401" s="195" t="n">
        <x:f>IFERROR(B2401-C2401,"")</x:f>
        <x:v>2.3500000000000005</x:v>
      </x:c>
    </x:row>
    <x:row r="2402">
      <x:c r="A2402" s="187" t="n">
        <x:v>45877</x:v>
      </x:c>
      <x:c r="B2402" s="195" t="n">
        <x:v>4.27</x:v>
      </x:c>
      <x:c r="C2402" s="195" t="n">
        <x:v>1.88</x:v>
      </x:c>
      <x:c r="D2402" s="195" t="n">
        <x:f>IFERROR(B2402-C2402,"")</x:f>
        <x:v>2.3899999999999997</x:v>
      </x:c>
    </x:row>
    <x:row r="2403">
      <x:c r="A2403" s="187" t="n">
        <x:v>45880</x:v>
      </x:c>
      <x:c r="B2403" s="195" t="n">
        <x:v>4.27</x:v>
      </x:c>
      <x:c r="C2403" s="195" t="n">
        <x:v>1.87</x:v>
      </x:c>
      <x:c r="D2403" s="195" t="n">
        <x:f>IFERROR(B2403-C2403,"")</x:f>
        <x:v>2.3999999999999995</x:v>
      </x:c>
    </x:row>
    <x:row r="2404">
      <x:c r="A2404" s="187" t="n">
        <x:v>45881</x:v>
      </x:c>
      <x:c r="B2404" s="195" t="n">
        <x:v>4.29</x:v>
      </x:c>
      <x:c r="C2404" s="195" t="n">
        <x:v>1.91</x:v>
      </x:c>
      <x:c r="D2404" s="195" t="n">
        <x:f>IFERROR(B2404-C2404,"")</x:f>
        <x:v>2.38</x:v>
      </x:c>
    </x:row>
    <x:row r="2405">
      <x:c r="A2405" s="187" t="n">
        <x:v>45882</x:v>
      </x:c>
      <x:c r="B2405" s="195" t="n">
        <x:v>4.24</x:v>
      </x:c>
      <x:c r="C2405" s="195" t="n">
        <x:v>1.87</x:v>
      </x:c>
      <x:c r="D2405" s="195" t="n">
        <x:f>IFERROR(B2405-C2405,"")</x:f>
        <x:v>2.37</x:v>
      </x:c>
    </x:row>
    <x:row r="2406">
      <x:c r="A2406" s="187" t="n">
        <x:v>45883</x:v>
      </x:c>
      <x:c r="B2406" s="195" t="n">
        <x:v>4.29</x:v>
      </x:c>
      <x:c r="C2406" s="195" t="n">
        <x:v>1.9</x:v>
      </x:c>
      <x:c r="D2406" s="195" t="n">
        <x:f>IFERROR(B2406-C2406,"")</x:f>
        <x:v>2.39</x:v>
      </x:c>
    </x:row>
    <x:row r="2407">
      <x:c r="A2407" s="187" t="n">
        <x:v>45884</x:v>
      </x:c>
      <x:c r="B2407" s="195" t="n">
        <x:v>4.33</x:v>
      </x:c>
      <x:c r="C2407" s="195" t="n">
        <x:v>1.95</x:v>
      </x:c>
      <x:c r="D2407" s="195" t="n">
        <x:f>IFERROR(B2407-C2407,"")</x:f>
        <x:v>2.38</x:v>
      </x:c>
    </x:row>
    <x:row r="2408">
      <x:c r="A2408" s="187" t="n">
        <x:v>45887</x:v>
      </x:c>
      <x:c r="B2408" s="195" t="n">
        <x:v>4.34</x:v>
      </x:c>
      <x:c r="C2408" s="195" t="n">
        <x:v>1.96</x:v>
      </x:c>
      <x:c r="D2408" s="195" t="n">
        <x:f>IFERROR(B2408-C2408,"")</x:f>
        <x:v>2.38</x:v>
      </x:c>
    </x:row>
    <x:row r="2409">
      <x:c r="A2409" s="187" t="n">
        <x:v>45888</x:v>
      </x:c>
      <x:c r="B2409" s="195" t="n">
        <x:v>4.3</x:v>
      </x:c>
      <x:c r="C2409" s="195" t="n">
        <x:v>1.95</x:v>
      </x:c>
      <x:c r="D2409" s="195" t="n">
        <x:f>IFERROR(B2409-C2409,"")</x:f>
        <x:v>2.3499999999999996</x:v>
      </x:c>
    </x:row>
    <x:row r="2410">
      <x:c r="A2410" s="187" t="n">
        <x:v>45889</x:v>
      </x:c>
      <x:c r="B2410" s="195" t="n">
        <x:v>4.29</x:v>
      </x:c>
      <x:c r="C2410" s="195" t="n">
        <x:v>1.94</x:v>
      </x:c>
      <x:c r="D2410" s="195" t="n">
        <x:f>IFERROR(B2410-C2410,"")</x:f>
        <x:v>2.35</x:v>
      </x:c>
    </x:row>
    <x:row r="2411">
      <x:c r="A2411" s="187" t="n">
        <x:v>45890</x:v>
      </x:c>
      <x:c r="B2411" s="195" t="n">
        <x:v>4.33</x:v>
      </x:c>
      <x:c r="C2411" s="195" t="n">
        <x:v>1.94</x:v>
      </x:c>
      <x:c r="D2411" s="195" t="n">
        <x:f>IFERROR(B2411-C2411,"")</x:f>
        <x:v>2.39</x:v>
      </x:c>
    </x:row>
    <x:row r="2412">
      <x:c r="A2412" s="187" t="n">
        <x:v>45891</x:v>
      </x:c>
      <x:c r="B2412" s="195" t="n">
        <x:v>4.26</x:v>
      </x:c>
      <x:c r="C2412" s="195" t="n">
        <x:v>1.85</x:v>
      </x:c>
      <x:c r="D2412" s="195" t="n">
        <x:f>IFERROR(B2412-C2412,"")</x:f>
        <x:v>2.4099999999999997</x:v>
      </x:c>
    </x:row>
    <x:row r="2413">
      <x:c r="A2413" s="187" t="n">
        <x:v>45894</x:v>
      </x:c>
      <x:c r="B2413" s="195" t="n">
        <x:v>4.28</x:v>
      </x:c>
      <x:c r="C2413" s="195" t="n">
        <x:v>1.87</x:v>
      </x:c>
      <x:c r="D2413" s="195" t="n">
        <x:f>IFERROR(B2413-C2413,"")</x:f>
        <x:v>2.41</x:v>
      </x:c>
    </x:row>
    <x:row r="2414">
      <x:c r="A2414" s="187" t="n">
        <x:v>45895</x:v>
      </x:c>
      <x:c r="B2414" s="195" t="n">
        <x:v>4.26</x:v>
      </x:c>
      <x:c r="C2414" s="195" t="n">
        <x:v>1.84</x:v>
      </x:c>
      <x:c r="D2414" s="195" t="n">
        <x:f>IFERROR(B2414-C2414,"")</x:f>
        <x:v>2.42</x:v>
      </x:c>
    </x:row>
    <x:row r="2415">
      <x:c r="A2415" s="187" t="n">
        <x:v>45896</x:v>
      </x:c>
      <x:c r="B2415" s="195" t="n">
        <x:v>4.24</x:v>
      </x:c>
      <x:c r="C2415" s="195" t="n">
        <x:v>1.81</x:v>
      </x:c>
      <x:c r="D2415" s="195" t="n">
        <x:f>IFERROR(B2415-C2415,"")</x:f>
        <x:v>2.43</x:v>
      </x:c>
    </x:row>
    <x:row r="2416">
      <x:c r="A2416" s="187" t="n">
        <x:v>45897</x:v>
      </x:c>
      <x:c r="B2416" s="195" t="n">
        <x:v>4.22</x:v>
      </x:c>
      <x:c r="C2416" s="195" t="n">
        <x:v>1.81</x:v>
      </x:c>
      <x:c r="D2416" s="195" t="n">
        <x:f>IFERROR(B2416-C2416,"")</x:f>
        <x:v>2.4099999999999997</x:v>
      </x:c>
    </x:row>
    <x:row r="2417">
      <x:c r="A2417" s="187" t="n">
        <x:v>45898</x:v>
      </x:c>
      <x:c r="B2417" s="195" t="n">
        <x:v>4.23</x:v>
      </x:c>
      <x:c r="C2417" s="195" t="n">
        <x:v>1.82</x:v>
      </x:c>
      <x:c r="D2417" s="195" t="n">
        <x:f>IFERROR(B2417-C2417,"")</x:f>
        <x:v>2.41</x:v>
      </x:c>
    </x:row>
    <x:row r="2418">
      <x:c r="A2418" s="187" t="n">
        <x:v>45902</x:v>
      </x:c>
      <x:c r="B2418" s="195" t="n">
        <x:v>4.28</x:v>
      </x:c>
      <x:c r="C2418" s="195" t="n">
        <x:v>1.87</x:v>
      </x:c>
      <x:c r="D2418" s="195" t="n">
        <x:f>IFERROR(B2418-C2418,"")</x:f>
        <x:v>2.41</x:v>
      </x:c>
    </x:row>
    <x:row r="2419">
      <x:c r="A2419" s="187" t="n">
        <x:v>45903</x:v>
      </x:c>
      <x:c r="B2419" s="195" t="n">
        <x:v>4.22</x:v>
      </x:c>
      <x:c r="C2419" s="195" t="n">
        <x:v>1.82</x:v>
      </x:c>
      <x:c r="D2419" s="195" t="n">
        <x:f>IFERROR(B2419-C2419,"")</x:f>
        <x:v>2.3999999999999995</x:v>
      </x:c>
    </x:row>
    <x:row r="2420">
      <x:c r="A2420" s="187" t="n">
        <x:v>45904</x:v>
      </x:c>
      <x:c r="B2420" s="195" t="n">
        <x:v>4.17</x:v>
      </x:c>
      <x:c r="C2420" s="195" t="n">
        <x:v>1.79</x:v>
      </x:c>
      <x:c r="D2420" s="195" t="n">
        <x:f>IFERROR(B2420-C2420,"")</x:f>
        <x:v>2.38</x:v>
      </x:c>
    </x:row>
    <x:row r="2421">
      <x:c r="A2421" s="187" t="n">
        <x:v>45905</x:v>
      </x:c>
      <x:c r="B2421" s="195" t="n">
        <x:v>4.1</x:v>
      </x:c>
      <x:c r="C2421" s="195" t="n">
        <x:v>1.73</x:v>
      </x:c>
      <x:c r="D2421" s="195" t="n">
        <x:f>IFERROR(B2421-C2421,"")</x:f>
        <x:v>2.3699999999999997</x:v>
      </x:c>
    </x:row>
    <x:row r="2422">
      <x:c r="A2422" s="187" t="n">
        <x:v>45908</x:v>
      </x:c>
      <x:c r="B2422" s="195" t="n">
        <x:v>4.05</x:v>
      </x:c>
      <x:c r="C2422" s="195" t="n">
        <x:v>1.7</x:v>
      </x:c>
      <x:c r="D2422" s="195" t="n">
        <x:f>IFERROR(B2422-C2422,"")</x:f>
        <x:v>2.3499999999999996</x:v>
      </x:c>
    </x:row>
    <x:row r="2423">
      <x:c r="A2423" s="187" t="n">
        <x:v>45909</x:v>
      </x:c>
      <x:c r="B2423" s="195" t="n">
        <x:v>4.08</x:v>
      </x:c>
      <x:c r="C2423" s="195" t="n">
        <x:v>1.72</x:v>
      </x:c>
      <x:c r="D2423" s="195" t="n">
        <x:f>IFERROR(B2423-C2423,"")</x:f>
        <x:v>2.3600000000000003</x:v>
      </x:c>
    </x:row>
    <x:row r="2424">
      <x:c r="A2424" s="187" t="n">
        <x:v>45910</x:v>
      </x:c>
      <x:c r="B2424" s="195" t="n">
        <x:v>4.04</x:v>
      </x:c>
      <x:c r="C2424" s="195" t="n">
        <x:v>1.69</x:v>
      </x:c>
      <x:c r="D2424" s="195" t="n">
        <x:f>IFERROR(B2424-C2424,"")</x:f>
        <x:v>2.35</x:v>
      </x:c>
    </x:row>
    <x:row r="2425">
      <x:c r="A2425" s="187" t="n">
        <x:v>45911</x:v>
      </x:c>
      <x:c r="B2425" s="195" t="n">
        <x:v>4.01</x:v>
      </x:c>
      <x:c r="C2425" s="195" t="n">
        <x:v>1.67</x:v>
      </x:c>
      <x:c r="D2425" s="195" t="n">
        <x:f>IFERROR(B2425-C2425,"")</x:f>
        <x:v>2.34</x:v>
      </x:c>
    </x:row>
    <x:row r="2426">
      <x:c r="A2426" s="187" t="n">
        <x:v>45912</x:v>
      </x:c>
      <x:c r="B2426" s="195" t="n">
        <x:v>4.06</x:v>
      </x:c>
      <x:c r="C2426" s="195" t="n">
        <x:v>1.7</x:v>
      </x:c>
      <x:c r="D2426" s="195" t="n">
        <x:f>IFERROR(B2426-C2426,"")</x:f>
        <x:v>2.3599999999999994</x:v>
      </x:c>
    </x:row>
    <x:row r="2427">
      <x:c r="A2427" s="187" t="n">
        <x:v>45915</x:v>
      </x:c>
      <x:c r="B2427" s="195" t="n">
        <x:v>4.05</x:v>
      </x:c>
      <x:c r="C2427" s="195" t="n">
        <x:v>1.68</x:v>
      </x:c>
      <x:c r="D2427" s="195" t="n">
        <x:f>IFERROR(B2427-C2427,"")</x:f>
        <x:v>2.37</x:v>
      </x:c>
    </x:row>
    <x:row r="2428">
      <x:c r="A2428" s="187" t="n">
        <x:v>45916</x:v>
      </x:c>
      <x:c r="B2428" s="195" t="n">
        <x:v>4.04</x:v>
      </x:c>
      <x:c r="C2428" s="195" t="n">
        <x:v>1.67</x:v>
      </x:c>
      <x:c r="D2428" s="195" t="n">
        <x:f>IFERROR(B2428-C2428,"")</x:f>
        <x:v>2.37</x:v>
      </x:c>
    </x:row>
    <x:row r="2429">
      <x:c r="A2429" s="187" t="n">
        <x:v>45917</x:v>
      </x:c>
      <x:c r="B2429" s="195" t="n">
        <x:v>4.06</x:v>
      </x:c>
      <x:c r="C2429" s="195" t="n">
        <x:v>1.68</x:v>
      </x:c>
      <x:c r="D2429" s="195" t="n">
        <x:f>IFERROR(B2429-C2429,"")</x:f>
        <x:v>2.38</x:v>
      </x:c>
    </x:row>
    <x:row r="2430">
      <x:c r="A2430" s="187" t="n">
        <x:v>45918</x:v>
      </x:c>
      <x:c r="B2430" s="195" t="n">
        <x:v>4.11</x:v>
      </x:c>
      <x:c r="C2430" s="195" t="n">
        <x:v>1.73</x:v>
      </x:c>
      <x:c r="D2430" s="195" t="n">
        <x:f>IFERROR(B2430-C2430,"")</x:f>
        <x:v>2.3800000000000003</x:v>
      </x:c>
    </x:row>
    <x:row r="2431">
      <x:c r="A2431" s="187" t="n">
        <x:v>45919</x:v>
      </x:c>
      <x:c r="B2431" s="195" t="n">
        <x:v>4.14</x:v>
      </x:c>
      <x:c r="C2431" s="195" t="n">
        <x:v>1.75</x:v>
      </x:c>
      <x:c r="D2431" s="195" t="n">
        <x:f>IFERROR(B2431-C2431,"")</x:f>
        <x:v>2.3899999999999997</x:v>
      </x:c>
    </x:row>
    <x:row r="2432">
      <x:c r="A2432" s="187" t="n">
        <x:v>45922</x:v>
      </x:c>
      <x:c r="B2432" s="195" t="n">
        <x:v>4.15</x:v>
      </x:c>
      <x:c r="C2432" s="195" t="n">
        <x:v>1.78</x:v>
      </x:c>
      <x:c r="D2432" s="195" t="n">
        <x:f>IFERROR(B2432-C2432,"")</x:f>
        <x:v>2.37</x:v>
      </x:c>
    </x:row>
    <x:row r="2433">
      <x:c r="A2433" s="187" t="n">
        <x:v>45923</x:v>
      </x:c>
      <x:c r="B2433" s="195" t="n">
        <x:v>4.12</x:v>
      </x:c>
      <x:c r="C2433" s="195" t="n">
        <x:v>1.75</x:v>
      </x:c>
      <x:c r="D2433" s="195" t="n">
        <x:f>IFERROR(B2433-C2433,"")</x:f>
        <x:v>2.37</x:v>
      </x:c>
    </x:row>
    <x:row r="2434">
      <x:c r="A2434" s="187" t="n">
        <x:v>45924</x:v>
      </x:c>
      <x:c r="B2434" s="195" t="n">
        <x:v>4.16</x:v>
      </x:c>
      <x:c r="C2434" s="195" t="n">
        <x:v>1.78</x:v>
      </x:c>
      <x:c r="D2434" s="195" t="n">
        <x:f>IFERROR(B2434-C2434,"")</x:f>
        <x:v>2.38</x:v>
      </x:c>
    </x:row>
    <x:row r="2435">
      <x:c r="A2435" s="187" t="n">
        <x:v>45925</x:v>
      </x:c>
      <x:c r="B2435" s="195" t="n">
        <x:v>4.18</x:v>
      </x:c>
      <x:c r="C2435" s="195" t="n">
        <x:v>1.8</x:v>
      </x:c>
      <x:c r="D2435" s="195" t="n">
        <x:f>IFERROR(B2435-C2435,"")</x:f>
        <x:v>2.38</x:v>
      </x:c>
    </x:row>
    <x:row r="2436">
      <x:c r="A2436" s="187" t="n">
        <x:v>45926</x:v>
      </x:c>
      <x:c r="B2436" s="195" t="n">
        <x:v>4.2</x:v>
      </x:c>
      <x:c r="C2436" s="195" t="n">
        <x:v>1.82</x:v>
      </x:c>
      <x:c r="D2436" s="195" t="n">
        <x:f>IFERROR(B2436-C2436,"")</x:f>
        <x:v>2.38</x:v>
      </x:c>
    </x:row>
    <x:row r="2437">
      <x:c r="A2437" s="187" t="n">
        <x:v>45929</x:v>
      </x:c>
      <x:c r="B2437" s="195" t="n">
        <x:v>4.15</x:v>
      </x:c>
      <x:c r="C2437" s="195" t="n">
        <x:v>1.8</x:v>
      </x:c>
      <x:c r="D2437" s="195" t="n">
        <x:f>IFERROR(B2437-C2437,"")</x:f>
        <x:v>2.3500000000000005</x:v>
      </x:c>
    </x:row>
    <x:row r="2438">
      <x:c r="A2438" s="187" t="n">
        <x:v>45930</x:v>
      </x:c>
      <x:c r="B2438" s="195" t="n">
        <x:v>4.16</x:v>
      </x:c>
      <x:c r="C2438" s="195" t="n">
        <x:v>1.8</x:v>
      </x:c>
      <x:c r="D2438" s="195" t="n">
        <x:f>IFERROR(B2438-C2438,"")</x:f>
        <x:v>2.3600000000000003</x:v>
      </x:c>
    </x:row>
    <x:row r="2439">
      <x:c r="A2439" s="187" t="n">
        <x:v>45931</x:v>
      </x:c>
      <x:c r="B2439" s="195" t="n">
        <x:v>4.12</x:v>
      </x:c>
      <x:c r="C2439" s="195" t="n">
        <x:v>1.77</x:v>
      </x:c>
      <x:c r="D2439" s="195" t="n">
        <x:f>IFERROR(B2439-C2439,"")</x:f>
        <x:v>2.35</x:v>
      </x:c>
    </x:row>
    <x:row r="2440">
      <x:c r="A2440" s="187" t="n">
        <x:v>45932</x:v>
      </x:c>
      <x:c r="B2440" s="195" t="n">
        <x:v>4.1</x:v>
      </x:c>
      <x:c r="C2440" s="195" t="n">
        <x:v>1.76</x:v>
      </x:c>
      <x:c r="D2440" s="195" t="n">
        <x:f>IFERROR(B2440-C2440,"")</x:f>
        <x:v>2.34</x:v>
      </x:c>
    </x:row>
    <x:row r="2441">
      <x:c r="A2441" s="187" t="n">
        <x:v>45933</x:v>
      </x:c>
      <x:c r="B2441" s="195" t="n">
        <x:v>4.13</x:v>
      </x:c>
      <x:c r="C2441" s="195" t="n">
        <x:v>1.8</x:v>
      </x:c>
      <x:c r="D2441" s="195" t="n">
        <x:f>IFERROR(B2441-C2441,"")</x:f>
        <x:v>2.33</x:v>
      </x:c>
    </x:row>
    <x:row r="2442">
      <x:c r="A2442" s="187" t="n">
        <x:v>45936</x:v>
      </x:c>
      <x:c r="B2442" s="195" t="n">
        <x:v>4.18</x:v>
      </x:c>
      <x:c r="C2442" s="195" t="n">
        <x:v>1.84</x:v>
      </x:c>
      <x:c r="D2442" s="195" t="n">
        <x:f>IFERROR(B2442-C2442,"")</x:f>
        <x:v>2.34</x:v>
      </x:c>
    </x:row>
    <x:row r="2443">
      <x:c r="A2443" s="187" t="n">
        <x:v>45937</x:v>
      </x:c>
      <x:c r="B2443" s="195" t="n">
        <x:v>4.14</x:v>
      </x:c>
      <x:c r="C2443" s="195" t="n">
        <x:v>1.79</x:v>
      </x:c>
      <x:c r="D2443" s="195" t="n">
        <x:f>IFERROR(B2443-C2443,"")</x:f>
        <x:v>2.3499999999999996</x:v>
      </x:c>
    </x:row>
    <x:row r="2444">
      <x:c r="A2444" s="187" t="n">
        <x:v>45938</x:v>
      </x:c>
      <x:c r="B2444" s="195" t="n">
        <x:v>4.13</x:v>
      </x:c>
      <x:c r="C2444" s="195" t="n">
        <x:v>1.78</x:v>
      </x:c>
      <x:c r="D2444" s="195" t="n">
        <x:f>IFERROR(B2444-C2444,"")</x:f>
        <x:v>2.3499999999999996</x:v>
      </x:c>
    </x:row>
    <x:row r="2445">
      <x:c r="A2445" s="187" t="n">
        <x:v>45939</x:v>
      </x:c>
      <x:c r="B2445" s="195" t="n">
        <x:v>4.14</x:v>
      </x:c>
      <x:c r="C2445" s="195" t="n">
        <x:v>1.8</x:v>
      </x:c>
      <x:c r="D2445" s="195" t="n">
        <x:f>IFERROR(B2445-C2445,"")</x:f>
        <x:v>2.34</x:v>
      </x:c>
    </x:row>
    <x:row r="2446">
      <x:c r="A2446" s="187" t="n">
        <x:v>45940</x:v>
      </x:c>
      <x:c r="B2446" s="195" t="n">
        <x:v>4.05</x:v>
      </x:c>
      <x:c r="C2446" s="195" t="n">
        <x:v>1.75</x:v>
      </x:c>
      <x:c r="D2446" s="195" t="n">
        <x:f>IFERROR(B2446-C2446,"")</x:f>
        <x:v>2.3</x:v>
      </x:c>
    </x:row>
    <x:row r="2447">
      <x:c r="A2447" s="187" t="n">
        <x:v>45944</x:v>
      </x:c>
      <x:c r="B2447" s="195" t="n">
        <x:v>4.03</x:v>
      </x:c>
      <x:c r="C2447" s="195" t="n">
        <x:v>1.73</x:v>
      </x:c>
      <x:c r="D2447" s="195" t="n">
        <x:f>IFERROR(B2447-C2447,"")</x:f>
        <x:v>2.3000000000000003</x:v>
      </x:c>
    </x:row>
    <x:row r="2448">
      <x:c r="A2448" s="187" t="n">
        <x:v>45945</x:v>
      </x:c>
      <x:c r="B2448" s="195" t="n">
        <x:v>4.05</x:v>
      </x:c>
      <x:c r="C2448" s="195" t="n">
        <x:v>1.76</x:v>
      </x:c>
      <x:c r="D2448" s="195" t="n">
        <x:f>IFERROR(B2448-C2448,"")</x:f>
        <x:v>2.29</x:v>
      </x:c>
    </x:row>
    <x:row r="2449">
      <x:c r="A2449" s="187" t="n">
        <x:v>45946</x:v>
      </x:c>
      <x:c r="B2449" s="195" t="n">
        <x:v>3.99</x:v>
      </x:c>
      <x:c r="C2449" s="195" t="n">
        <x:v>1.71</x:v>
      </x:c>
      <x:c r="D2449" s="195" t="n">
        <x:f>IFERROR(B2449-C2449,"")</x:f>
        <x:v>2.2800000000000002</x:v>
      </x:c>
    </x:row>
    <x:row r="2450">
      <x:c r="A2450" s="187" t="n">
        <x:v>45947</x:v>
      </x:c>
      <x:c r="B2450" s="195" t="n">
        <x:v>4.02</x:v>
      </x:c>
      <x:c r="C2450" s="195" t="n">
        <x:v>1.75</x:v>
      </x:c>
      <x:c r="D2450" s="195" t="n">
        <x:f>IFERROR(B2450-C2450,"")</x:f>
        <x:v>2.2699999999999996</x:v>
      </x:c>
    </x:row>
    <x:row r="2451">
      <x:c r="A2451" s="187" t="n">
        <x:v>45950</x:v>
      </x:c>
      <x:c r="B2451" s="195" t="n">
        <x:v>4</x:v>
      </x:c>
      <x:c r="C2451" s="195" t="n">
        <x:v>1.74</x:v>
      </x:c>
      <x:c r="D2451" s="195" t="n">
        <x:f>IFERROR(B2451-C2451,"")</x:f>
        <x:v>2.26</x:v>
      </x:c>
    </x:row>
    <x:row r="2452">
      <x:c r="A2452" s="187" t="n">
        <x:v>45951</x:v>
      </x:c>
      <x:c r="B2452" s="195" t="n">
        <x:v>3.98</x:v>
      </x:c>
      <x:c r="C2452" s="195" t="n">
        <x:v>1.7</x:v>
      </x:c>
      <x:c r="D2452" s="195" t="n">
        <x:f>IFERROR(B2452-C2452,"")</x:f>
        <x:v>2.2800000000000002</x:v>
      </x:c>
    </x:row>
    <x:row r="2453">
      <x:c r="A2453" s="187" t="n">
        <x:v>45952</x:v>
      </x:c>
      <x:c r="B2453" s="195" t="n">
        <x:v>3.97</x:v>
      </x:c>
      <x:c r="C2453" s="195" t="n">
        <x:v>1.68</x:v>
      </x:c>
      <x:c r="D2453" s="195" t="n">
        <x:f>IFERROR(B2453-C2453,"")</x:f>
        <x:v>2.29</x:v>
      </x:c>
    </x:row>
    <x:row r="2454">
      <x:c r="A2454" s="187" t="n">
        <x:v>45953</x:v>
      </x:c>
      <x:c r="B2454" s="195" t="n">
        <x:v>4.01</x:v>
      </x:c>
      <x:c r="C2454" s="195" t="n">
        <x:v>1.71</x:v>
      </x:c>
      <x:c r="D2454" s="195" t="n">
        <x:f>IFERROR(B2454-C2454,"")</x:f>
        <x:v>2.3</x:v>
      </x:c>
    </x:row>
    <x:row r="2455">
      <x:c r="A2455" s="187" t="n">
        <x:v>45954</x:v>
      </x:c>
      <x:c r="B2455" s="195" t="n">
        <x:v>4.02</x:v>
      </x:c>
      <x:c r="C2455" s="195" t="n">
        <x:v>1.73</x:v>
      </x:c>
      <x:c r="D2455" s="195" t="n">
        <x:f>IFERROR(B2455-C2455,"")</x:f>
        <x:v>2.2899999999999996</x:v>
      </x:c>
    </x:row>
    <x:row r="2456">
      <x:c r="A2456" s="187" t="n">
        <x:v>45957</x:v>
      </x:c>
      <x:c r="B2456" s="195" t="n">
        <x:v>4.01</x:v>
      </x:c>
      <x:c r="C2456" s="195" t="n">
        <x:v>1.73</x:v>
      </x:c>
      <x:c r="D2456" s="195" t="n">
        <x:f>IFERROR(B2456-C2456,"")</x:f>
        <x:v>2.28</x:v>
      </x:c>
    </x:row>
    <x:row r="2457">
      <x:c r="A2457" s="187" t="n">
        <x:v>45958</x:v>
      </x:c>
      <x:c r="B2457" s="195" t="n">
        <x:v>3.99</x:v>
      </x:c>
      <x:c r="C2457" s="195" t="n">
        <x:v>1.71</x:v>
      </x:c>
      <x:c r="D2457" s="195" t="n">
        <x:f>IFERROR(B2457-C2457,"")</x:f>
        <x:v>2.2800000000000002</x:v>
      </x:c>
    </x:row>
    <x:row r="2458">
      <x:c r="A2458" s="187" t="n">
        <x:v>45959</x:v>
      </x:c>
      <x:c r="B2458" s="195" t="n">
        <x:v>4.08</x:v>
      </x:c>
      <x:c r="C2458" s="195" t="n">
        <x:v>1.78</x:v>
      </x:c>
      <x:c r="D2458" s="195" t="n">
        <x:f>IFERROR(B2458-C2458,"")</x:f>
        <x:v>2.3</x:v>
      </x:c>
    </x:row>
    <x:row r="2459">
      <x:c r="A2459" s="187" t="n">
        <x:v>45960</x:v>
      </x:c>
      <x:c r="B2459" s="195" t="n">
        <x:v>4.11</x:v>
      </x:c>
      <x:c r="C2459" s="195" t="n">
        <x:v>1.82</x:v>
      </x:c>
      <x:c r="D2459" s="195" t="n">
        <x:f>IFERROR(B2459-C2459,"")</x:f>
        <x:v>2.29</x:v>
      </x:c>
    </x:row>
    <x:row r="2460">
      <x:c r="A2460" s="187" t="n">
        <x:v>45961</x:v>
      </x:c>
      <x:c r="B2460" s="195" t="n">
        <x:v>4.11</x:v>
      </x:c>
      <x:c r="C2460" s="195" t="n">
        <x:v>1.81</x:v>
      </x:c>
      <x:c r="D2460" s="195" t="n">
        <x:f>IFERROR(B2460-C2460,"")</x:f>
        <x:v>2.3000000000000003</x:v>
      </x:c>
    </x:row>
    <x:row r="2461">
      <x:c r="A2461" s="187" t="n">
        <x:v>45964</x:v>
      </x:c>
      <x:c r="B2461" s="195" t="n">
        <x:v>4.13</x:v>
      </x:c>
      <x:c r="C2461" s="195" t="n">
        <x:v>1.82</x:v>
      </x:c>
      <x:c r="D2461" s="195" t="n">
        <x:f>IFERROR(B2461-C2461,"")</x:f>
        <x:v>2.3099999999999996</x:v>
      </x:c>
    </x:row>
    <x:row r="2462">
      <x:c r="A2462" s="187" t="n">
        <x:v>45965</x:v>
      </x:c>
      <x:c r="B2462" s="195" t="n">
        <x:v>4.1</x:v>
      </x:c>
      <x:c r="C2462" s="195" t="n">
        <x:v>1.81</x:v>
      </x:c>
      <x:c r="D2462" s="195" t="n">
        <x:f>IFERROR(B2462-C2462,"")</x:f>
        <x:v>2.2899999999999996</x:v>
      </x:c>
    </x:row>
    <x:row r="2463">
      <x:c r="A2463" s="187" t="n">
        <x:v>45966</x:v>
      </x:c>
      <x:c r="B2463" s="195" t="n">
        <x:v>4.17</x:v>
      </x:c>
      <x:c r="C2463" s="195" t="n">
        <x:v>1.87</x:v>
      </x:c>
      <x:c r="D2463" s="195" t="n">
        <x:f>IFERROR(B2463-C2463,"")</x:f>
        <x:v>2.3</x:v>
      </x:c>
    </x:row>
    <x:row r="2464">
      <x:c r="A2464" s="187" t="n">
        <x:v>45967</x:v>
      </x:c>
      <x:c r="B2464" s="195" t="n">
        <x:v>4.11</x:v>
      </x:c>
      <x:c r="C2464" s="195" t="n">
        <x:v>1.83</x:v>
      </x:c>
      <x:c r="D2464" s="195" t="n">
        <x:f>IFERROR(B2464-C2464,"")</x:f>
        <x:v>2.2800000000000002</x:v>
      </x:c>
    </x:row>
    <x:row r="2465">
      <x:c r="A2465" s="187" t="n">
        <x:v>45968</x:v>
      </x:c>
      <x:c r="B2465" s="195" t="n">
        <x:v>4.11</x:v>
      </x:c>
      <x:c r="C2465" s="195" t="n">
        <x:v>1.83</x:v>
      </x:c>
      <x:c r="D2465" s="195" t="n">
        <x:f>IFERROR(B2465-C2465,"")</x:f>
        <x:v>2.2800000000000002</x:v>
      </x:c>
    </x:row>
    <x:row r="2466">
      <x:c r="A2466" s="187" t="n">
        <x:v>45971</x:v>
      </x:c>
      <x:c r="B2466" s="195" t="n">
        <x:v>4.13</x:v>
      </x:c>
      <x:c r="C2466" s="195" t="n">
        <x:v>1.84</x:v>
      </x:c>
      <x:c r="D2466" s="195" t="n">
        <x:f>IFERROR(B2466-C2466,"")</x:f>
        <x:v>2.29</x:v>
      </x:c>
    </x:row>
    <x:row r="2467">
      <x:c r="A2467" s="187" t="n">
        <x:v>45973</x:v>
      </x:c>
      <x:c r="B2467" s="195" t="n">
        <x:v>4.08</x:v>
      </x:c>
      <x:c r="C2467" s="195" t="n">
        <x:v>1.81</x:v>
      </x:c>
      <x:c r="D2467" s="195" t="n">
        <x:f>IFERROR(B2467-C2467,"")</x:f>
        <x:v>2.27</x:v>
      </x:c>
    </x:row>
    <x:row r="2468">
      <x:c r="A2468" s="187" t="n">
        <x:v>45974</x:v>
      </x:c>
      <x:c r="B2468" s="195" t="n">
        <x:v>4.11</x:v>
      </x:c>
      <x:c r="C2468" s="195" t="n">
        <x:v>1.83</x:v>
      </x:c>
      <x:c r="D2468" s="195" t="n">
        <x:f>IFERROR(B2468-C2468,"")</x:f>
        <x:v>2.2800000000000002</x:v>
      </x:c>
    </x:row>
    <x:row r="2469">
      <x:c r="A2469" s="187" t="n">
        <x:v>45975</x:v>
      </x:c>
      <x:c r="B2469" s="195" t="n">
        <x:v>4.14</x:v>
      </x:c>
      <x:c r="C2469" s="195" t="n">
        <x:v>1.86</x:v>
      </x:c>
      <x:c r="D2469" s="195" t="n">
        <x:f>IFERROR(B2469-C2469,"")</x:f>
        <x:v>2.2799999999999994</x:v>
      </x:c>
    </x:row>
    <x:row r="2470">
      <x:c r="A2470" s="187" t="n">
        <x:v>45978</x:v>
      </x:c>
      <x:c r="B2470" s="195" t="n">
        <x:v>4.13</x:v>
      </x:c>
      <x:c r="C2470" s="195" t="n">
        <x:v>1.85</x:v>
      </x:c>
      <x:c r="D2470" s="195" t="n">
        <x:f>IFERROR(B2470-C2470,"")</x:f>
        <x:v>2.28</x:v>
      </x:c>
    </x:row>
    <x:row r="2471">
      <x:c r="A2471" s="187" t="n">
        <x:v>45979</x:v>
      </x:c>
      <x:c r="B2471" s="195" t="n">
        <x:v>4.12</x:v>
      </x:c>
      <x:c r="C2471" s="195" t="n">
        <x:v>1.85</x:v>
      </x:c>
      <x:c r="D2471" s="195" t="n">
        <x:f>IFERROR(B2471-C2471,"")</x:f>
        <x:v>2.27</x:v>
      </x:c>
    </x:row>
    <x:row r="2472">
      <x:c r="A2472" s="187" t="n">
        <x:v>45980</x:v>
      </x:c>
      <x:c r="B2472" s="195" t="n">
        <x:v>4.13</x:v>
      </x:c>
      <x:c r="C2472" s="195" t="n">
        <x:v>1.86</x:v>
      </x:c>
      <x:c r="D2472" s="195" t="n">
        <x:f>IFERROR(B2472-C2472,"")</x:f>
        <x:v>2.2699999999999996</x:v>
      </x:c>
    </x:row>
    <x:row r="2473">
      <x:c r="A2473" s="187" t="n">
        <x:v>45981</x:v>
      </x:c>
      <x:c r="B2473" s="195" t="n">
        <x:v>4.1</x:v>
      </x:c>
      <x:c r="C2473" s="195" t="n">
        <x:v>1.86</x:v>
      </x:c>
      <x:c r="D2473" s="195" t="n">
        <x:f>IFERROR(B2473-C2473,"")</x:f>
        <x:v>2.2399999999999993</x:v>
      </x:c>
    </x:row>
    <x:row r="2474">
      <x:c r="A2474" s="187" t="n">
        <x:v>45982</x:v>
      </x:c>
      <x:c r="B2474" s="195" t="n">
        <x:v>4.06</x:v>
      </x:c>
      <x:c r="C2474" s="195" t="n">
        <x:v>1.82</x:v>
      </x:c>
      <x:c r="D2474" s="195" t="n">
        <x:f>IFERROR(B2474-C2474,"")</x:f>
        <x:v>2.2399999999999993</x:v>
      </x:c>
    </x:row>
    <x:row r="2475">
      <x:c r="A2475" s="187" t="n">
        <x:v>45985</x:v>
      </x:c>
      <x:c r="B2475" s="195" t="n">
        <x:v>4.04</x:v>
      </x:c>
      <x:c r="C2475" s="195" t="n">
        <x:v>1.81</x:v>
      </x:c>
      <x:c r="D2475" s="195" t="n">
        <x:f>IFERROR(B2475-C2475,"")</x:f>
        <x:v>2.23</x:v>
      </x:c>
    </x:row>
    <x:row r="2476">
      <x:c r="A2476" s="187" t="n">
        <x:v>45986</x:v>
      </x:c>
      <x:c r="B2476" s="195" t="n">
        <x:v>4.01</x:v>
      </x:c>
      <x:c r="C2476" s="195" t="n">
        <x:v>1.79</x:v>
      </x:c>
      <x:c r="D2476" s="195" t="n">
        <x:f>IFERROR(B2476-C2476,"")</x:f>
        <x:v>2.2199999999999998</x:v>
      </x:c>
    </x:row>
    <x:row r="2477">
      <x:c r="A2477" s="187" t="n">
        <x:v>45987</x:v>
      </x:c>
      <x:c r="B2477" s="195" t="n">
        <x:v>4</x:v>
      </x:c>
      <x:c r="C2477" s="195" t="n">
        <x:v>1.77</x:v>
      </x:c>
      <x:c r="D2477" s="195" t="n">
        <x:f>IFERROR(B2477-C2477,"")</x:f>
        <x:v>2.23</x:v>
      </x:c>
    </x:row>
    <x:row r="2478">
      <x:c r="A2478" s="187" t="n">
        <x:v>45989</x:v>
      </x:c>
      <x:c r="B2478" s="195" t="n">
        <x:v>4.02</x:v>
      </x:c>
      <x:c r="C2478" s="195" t="n">
        <x:v>1.79</x:v>
      </x:c>
      <x:c r="D2478" s="195" t="n">
        <x:f>IFERROR(B2478-C2478,"")</x:f>
        <x:v>2.2299999999999995</x:v>
      </x:c>
    </x:row>
    <x:row r="2479">
      <x:c r="A2479" s="187" t="n">
        <x:v>45992</x:v>
      </x:c>
      <x:c r="B2479" s="195" t="n">
        <x:v>4.09</x:v>
      </x:c>
      <x:c r="C2479" s="195" t="n">
        <x:v>1.85</x:v>
      </x:c>
      <x:c r="D2479" s="195" t="n">
        <x:f>IFERROR(B2479-C2479,"")</x:f>
        <x:v>2.2399999999999998</x:v>
      </x:c>
    </x:row>
    <x:row r="2480">
      <x:c r="A2480" s="187" t="n">
        <x:v>45993</x:v>
      </x:c>
      <x:c r="B2480" s="195" t="n">
        <x:v>4.09</x:v>
      </x:c>
      <x:c r="C2480" s="195" t="n">
        <x:v>1.85</x:v>
      </x:c>
      <x:c r="D2480" s="195" t="n">
        <x:f>IFERROR(B2480-C2480,"")</x:f>
        <x:v>2.2399999999999998</x:v>
      </x:c>
    </x:row>
    <x:row r="2481">
      <x:c r="A2481" s="187" t="n">
        <x:v>45994</x:v>
      </x:c>
      <x:c r="B2481" s="195" t="n">
        <x:v>4.06</x:v>
      </x:c>
      <x:c r="C2481" s="195" t="n">
        <x:v>1.82</x:v>
      </x:c>
      <x:c r="D2481" s="195" t="n">
        <x:f>IFERROR(B2481-C2481,"")</x:f>
        <x:v>2.2399999999999993</x:v>
      </x:c>
    </x:row>
    <x:row r="2482">
      <x:c r="A2482" s="187" t="n">
        <x:v>45995</x:v>
      </x:c>
      <x:c r="B2482" s="195" t="n">
        <x:v>4.11</x:v>
      </x:c>
      <x:c r="C2482" s="195" t="n">
        <x:v>1.85</x:v>
      </x:c>
      <x:c r="D2482" s="195" t="n">
        <x:f>IFERROR(B2482-C2482,"")</x:f>
        <x:v>2.2600000000000002</x:v>
      </x:c>
    </x:row>
    <x:row r="2483">
      <x:c r="A2483" s="187" t="n">
        <x:v>45996</x:v>
      </x:c>
      <x:c r="B2483" s="195" t="n">
        <x:v>4.14</x:v>
      </x:c>
      <x:c r="C2483" s="195" t="n">
        <x:v>1.88</x:v>
      </x:c>
      <x:c r="D2483" s="195" t="n">
        <x:f>IFERROR(B2483-C2483,"")</x:f>
        <x:v>2.26</x:v>
      </x:c>
    </x:row>
    <x:row r="2484">
      <x:c r="A2484" s="187" t="n">
        <x:v>45999</x:v>
      </x:c>
      <x:c r="B2484" s="195" t="n">
        <x:v>4.17</x:v>
      </x:c>
      <x:c r="C2484" s="195" t="n">
        <x:v>1.91</x:v>
      </x:c>
      <x:c r="D2484" s="195" t="n">
        <x:f>IFERROR(B2484-C2484,"")</x:f>
        <x:v>2.26</x:v>
      </x:c>
    </x:row>
    <x:row r="2485">
      <x:c r="A2485" s="187" t="n">
        <x:v>46000</x:v>
      </x:c>
      <x:c r="B2485" s="195" t="n">
        <x:v>4.18</x:v>
      </x:c>
      <x:c r="C2485" s="195" t="n">
        <x:v>1.92</x:v>
      </x:c>
      <x:c r="D2485" s="195" t="n">
        <x:f>IFERROR(B2485-C2485,"")</x:f>
        <x:v>2.26</x:v>
      </x:c>
    </x:row>
    <x:row r="2486">
      <x:c r="A2486" s="187" t="n">
        <x:v>46001</x:v>
      </x:c>
      <x:c r="B2486" s="195" t="n">
        <x:v>4.13</x:v>
      </x:c>
      <x:c r="C2486" s="195" t="n">
        <x:v>1.88</x:v>
      </x:c>
      <x:c r="D2486" s="195" t="n">
        <x:f>IFERROR(B2486-C2486,"")</x:f>
        <x:v>2.25</x:v>
      </x:c>
    </x:row>
    <x:row r="2487">
      <x:c r="A2487" s="187" t="n">
        <x:v>46002</x:v>
      </x:c>
      <x:c r="B2487" s="195" t="n">
        <x:v>4.14</x:v>
      </x:c>
      <x:c r="C2487" s="195" t="n">
        <x:v>1.89</x:v>
      </x:c>
      <x:c r="D2487" s="195" t="n">
        <x:f>IFERROR(B2487-C2487,"")</x:f>
        <x:v>2.25</x:v>
      </x:c>
    </x:row>
    <x:row r="2488">
      <x:c r="A2488" s="187" t="n">
        <x:v>46003</x:v>
      </x:c>
      <x:c r="B2488" s="195" t="n">
        <x:v>4.19</x:v>
      </x:c>
      <x:c r="C2488" s="195" t="n">
        <x:v>1.93</x:v>
      </x:c>
      <x:c r="D2488" s="195" t="n">
        <x:f>IFERROR(B2488-C2488,"")</x:f>
        <x:v>2.2600000000000007</x:v>
      </x:c>
    </x:row>
    <x:row r="2489">
      <x:c r="A2489" s="187" t="n">
        <x:v>46006</x:v>
      </x:c>
      <x:c r="B2489" s="195" t="n">
        <x:v>4.18</x:v>
      </x:c>
      <x:c r="C2489" s="195" t="n">
        <x:v>1.93</x:v>
      </x:c>
      <x:c r="D2489" s="195" t="n">
        <x:f>IFERROR(B2489-C2489,"")</x:f>
        <x:v>2.25</x:v>
      </x:c>
    </x:row>
    <x:row r="2490">
      <x:c r="A2490" s="187" t="n">
        <x:v>46007</x:v>
      </x:c>
      <x:c r="B2490" s="195" t="n">
        <x:v>4.15</x:v>
      </x:c>
      <x:c r="C2490" s="195" t="n">
        <x:v>1.92</x:v>
      </x:c>
      <x:c r="D2490" s="195" t="n">
        <x:f>IFERROR(B2490-C2490,"")</x:f>
        <x:v>2.2300000000000004</x:v>
      </x:c>
    </x:row>
    <x:row r="2491">
      <x:c r="A2491" s="187" t="n">
        <x:v>46008</x:v>
      </x:c>
      <x:c r="B2491" s="195" t="n">
        <x:v>4.16</x:v>
      </x:c>
      <x:c r="C2491" s="195" t="n">
        <x:v>1.92</x:v>
      </x:c>
      <x:c r="D2491" s="195" t="n">
        <x:f>IFERROR(B2491-C2491,"")</x:f>
        <x:v>2.24</x:v>
      </x:c>
    </x:row>
    <x:row r="2492">
      <x:c r="A2492" s="187" t="n">
        <x:v>46009</x:v>
      </x:c>
      <x:c r="B2492" s="195" t="n">
        <x:v>4.12</x:v>
      </x:c>
      <x:c r="C2492" s="195" t="n">
        <x:v>1.88</x:v>
      </x:c>
      <x:c r="D2492" s="195" t="n">
        <x:f>IFERROR(B2492-C2492,"")</x:f>
        <x:v>2.24</x:v>
      </x:c>
    </x:row>
    <x:row r="2493">
      <x:c r="A2493" s="187" t="n">
        <x:v>46010</x:v>
      </x:c>
      <x:c r="B2493" s="195" t="n">
        <x:v>4.16</x:v>
      </x:c>
      <x:c r="C2493" s="195" t="n">
        <x:v>1.92</x:v>
      </x:c>
      <x:c r="D2493" s="195" t="n">
        <x:f>IFERROR(B2493-C2493,"")</x:f>
        <x:v>2.24</x:v>
      </x:c>
    </x:row>
    <x:row r="2494">
      <x:c r="A2494" s="187" t="n">
        <x:v>46013</x:v>
      </x:c>
      <x:c r="B2494" s="195" t="n">
        <x:v>4.17</x:v>
      </x:c>
      <x:c r="C2494" s="195" t="n">
        <x:v>1.94</x:v>
      </x:c>
      <x:c r="D2494" s="195" t="n">
        <x:f>IFERROR(B2494-C2494,"")</x:f>
        <x:v>2.23</x:v>
      </x:c>
    </x:row>
    <x:row r="2495">
      <x:c r="A2495" s="187" t="n">
        <x:v>46014</x:v>
      </x:c>
      <x:c r="B2495" s="195" t="n">
        <x:v>4.18</x:v>
      </x:c>
      <x:c r="C2495" s="195" t="n">
        <x:v>1.94</x:v>
      </x:c>
      <x:c r="D2495" s="195" t="n">
        <x:f>IFERROR(B2495-C2495,"")</x:f>
        <x:v>2.2399999999999998</x:v>
      </x:c>
    </x:row>
    <x:row r="2496">
      <x:c r="A2496" s="187" t="n">
        <x:v>46015</x:v>
      </x:c>
      <x:c r="B2496" s="195" t="n">
        <x:v>4.15</x:v>
      </x:c>
      <x:c r="C2496" s="195" t="n">
        <x:v>1.91</x:v>
      </x:c>
      <x:c r="D2496" s="195" t="n">
        <x:f>IFERROR(B2496-C2496,"")</x:f>
        <x:v>2.24</x:v>
      </x:c>
    </x:row>
    <x:row r="2497">
      <x:c r="A2497" s="187" t="n">
        <x:v>46017</x:v>
      </x:c>
      <x:c r="B2497" s="195" t="n">
        <x:v>4.14</x:v>
      </x:c>
      <x:c r="C2497" s="195" t="n">
        <x:v>1.91</x:v>
      </x:c>
      <x:c r="D2497" s="195" t="n">
        <x:f>IFERROR(B2497-C2497,"")</x:f>
        <x:v>2.2299999999999995</x:v>
      </x:c>
    </x:row>
    <x:row r="2498">
      <x:c r="A2498" s="187" t="n">
        <x:v>46020</x:v>
      </x:c>
      <x:c r="B2498" s="195" t="n">
        <x:v>4.12</x:v>
      </x:c>
      <x:c r="C2498" s="195" t="n">
        <x:v>1.9</x:v>
      </x:c>
      <x:c r="D2498" s="195" t="n">
        <x:f>IFERROR(B2498-C2498,"")</x:f>
        <x:v>2.22</x:v>
      </x:c>
    </x:row>
    <x:row r="2499">
      <x:c r="A2499" s="187" t="n">
        <x:v>46021</x:v>
      </x:c>
      <x:c r="B2499" s="195" t="n">
        <x:v>4.14</x:v>
      </x:c>
      <x:c r="C2499" s="195" t="n">
        <x:v>1.9</x:v>
      </x:c>
      <x:c r="D2499" s="195" t="n">
        <x:f>IFERROR(B2499-C2499,"")</x:f>
        <x:v>2.2399999999999998</x:v>
      </x:c>
    </x:row>
    <x:row r="2500">
      <x:c r="A2500" s="187" t="n">
        <x:v>46022</x:v>
      </x:c>
      <x:c r="B2500" s="195" t="n">
        <x:v>4.18</x:v>
      </x:c>
      <x:c r="C2500" s="195" t="n">
        <x:v>1.93</x:v>
      </x:c>
      <x:c r="D2500" s="195" t="n">
        <x:f>IFERROR(B2500-C2500,"")</x:f>
        <x:v>2.25</x:v>
      </x:c>
    </x:row>
    <x:row r="2501">
      <x:c r="A2501" s="187" t="n">
        <x:v>46024</x:v>
      </x:c>
      <x:c r="B2501" s="195" t="n">
        <x:v>4.19</x:v>
      </x:c>
      <x:c r="C2501" s="195" t="n">
        <x:v>1.94</x:v>
      </x:c>
      <x:c r="D2501" s="195" t="n">
        <x:f>IFERROR(B2501-C2501,"")</x:f>
        <x:v>2.2500000000000004</x:v>
      </x:c>
    </x:row>
    <x:row r="2502">
      <x:c r="A2502" s="187" t="n">
        <x:v>46027</x:v>
      </x:c>
      <x:c r="B2502" s="195" t="n">
        <x:v>4.17</x:v>
      </x:c>
      <x:c r="C2502" s="195" t="n">
        <x:v>1.91</x:v>
      </x:c>
      <x:c r="D2502" s="195" t="n">
        <x:f>IFERROR(B2502-C2502,"")</x:f>
        <x:v>2.26</x:v>
      </x:c>
    </x:row>
    <x:row r="2503">
      <x:c r="A2503" s="187" t="n">
        <x:v>46028</x:v>
      </x:c>
      <x:c r="B2503" s="195" t="n">
        <x:v>4.18</x:v>
      </x:c>
      <x:c r="C2503" s="195" t="n">
        <x:v>1.91</x:v>
      </x:c>
      <x:c r="D2503" s="195" t="n">
        <x:f>IFERROR(B2503-C2503,"")</x:f>
        <x:v>2.2699999999999996</x:v>
      </x:c>
    </x:row>
    <x:row r="2504">
      <x:c r="A2504" s="187" t="n">
        <x:v>46029</x:v>
      </x:c>
      <x:c r="B2504" s="195" t="n">
        <x:v>4.15</x:v>
      </x:c>
      <x:c r="C2504" s="195" t="n">
        <x:v>1.88</x:v>
      </x:c>
      <x:c r="D2504" s="195" t="n">
        <x:f>IFERROR(B2504-C2504,"")</x:f>
        <x:v>2.2700000000000005</x:v>
      </x:c>
    </x:row>
    <x:row r="2505">
      <x:c r="A2505" s="187" t="n">
        <x:v>46030</x:v>
      </x:c>
      <x:c r="B2505" s="195" t="n">
        <x:v>4.19</x:v>
      </x:c>
      <x:c r="C2505" s="195" t="n">
        <x:v>1.92</x:v>
      </x:c>
      <x:c r="D2505" s="195" t="n">
        <x:f>IFERROR(B2505-C2505,"")</x:f>
        <x:v>2.2700000000000005</x:v>
      </x:c>
    </x:row>
    <x:row r="2506">
      <x:c r="A2506" s="187" t="n">
        <x:v>46031</x:v>
      </x:c>
      <x:c r="B2506" s="195" t="n">
        <x:v>4.18</x:v>
      </x:c>
      <x:c r="C2506" s="195" t="n">
        <x:v>1.9</x:v>
      </x:c>
      <x:c r="D2506" s="195" t="n">
        <x:f>IFERROR(B2506-C2506,"")</x:f>
        <x:v>2.28</x:v>
      </x:c>
    </x:row>
    <x:row r="2507">
      <x:c r="A2507" s="187" t="n">
        <x:v>46034</x:v>
      </x:c>
      <x:c r="B2507" s="195" t="n">
        <x:v>4.19</x:v>
      </x:c>
      <x:c r="C2507" s="195" t="n">
        <x:v>1.9</x:v>
      </x:c>
      <x:c r="D2507" s="195" t="n">
        <x:f>IFERROR(B2507-C2507,"")</x:f>
        <x:v>2.2900000000000005</x:v>
      </x:c>
    </x:row>
    <x:row r="2508">
      <x:c r="A2508" s="187" t="n">
        <x:v>46035</x:v>
      </x:c>
      <x:c r="B2508" s="195" t="n">
        <x:v>4.18</x:v>
      </x:c>
      <x:c r="C2508" s="195" t="n">
        <x:v>1.88</x:v>
      </x:c>
      <x:c r="D2508" s="195" t="n">
        <x:f>IFERROR(B2508-C2508,"")</x:f>
        <x:v>2.3</x:v>
      </x:c>
    </x:row>
    <x:row r="2509">
      <x:c r="A2509" s="187" t="n">
        <x:v>46036</x:v>
      </x:c>
      <x:c r="B2509" s="195" t="n">
        <x:v>4.15</x:v>
      </x:c>
      <x:c r="C2509" s="195" t="n">
        <x:v>1.86</x:v>
      </x:c>
      <x:c r="D2509" s="195" t="n">
        <x:f>IFERROR(B2509-C2509,"")</x:f>
        <x:v>2.29</x:v>
      </x:c>
    </x:row>
    <x:row r="2510">
      <x:c r="A2510" s="187" t="n">
        <x:v>46037</x:v>
      </x:c>
      <x:c r="B2510" s="195" t="n">
        <x:v>4.17</x:v>
      </x:c>
      <x:c r="C2510" s="195" t="n">
        <x:v>1.88</x:v>
      </x:c>
      <x:c r="D2510" s="195" t="n">
        <x:f>IFERROR(B2510-C2510,"")</x:f>
        <x:v>2.29</x:v>
      </x:c>
    </x:row>
    <x:row r="2511">
      <x:c r="A2511" s="187" t="n">
        <x:v>46038</x:v>
      </x:c>
      <x:c r="B2511" s="195" t="n">
        <x:v>4.24</x:v>
      </x:c>
      <x:c r="C2511" s="195" t="n">
        <x:v>1.91</x:v>
      </x:c>
      <x:c r="D2511" s="195" t="n">
        <x:f>IFERROR(B2511-C2511,"")</x:f>
        <x:v>2.33</x:v>
      </x:c>
    </x:row>
    <x:row r="2512">
      <x:c r="A2512" s="187" t="n">
        <x:v>46042</x:v>
      </x:c>
      <x:c r="B2512" s="195" t="n">
        <x:v>4.3</x:v>
      </x:c>
      <x:c r="C2512" s="195" t="n">
        <x:v>1.97</x:v>
      </x:c>
      <x:c r="D2512" s="195" t="n">
        <x:f>IFERROR(B2512-C2512,"")</x:f>
        <x:v>2.33</x:v>
      </x:c>
    </x:row>
    <x:row r="2513">
      <x:c r="A2513" s="187" t="n">
        <x:v>46043</x:v>
      </x:c>
      <x:c r="B2513" s="195" t="n">
        <x:v>4.26</x:v>
      </x:c>
      <x:c r="C2513" s="195" t="n">
        <x:v>1.92</x:v>
      </x:c>
      <x:c r="D2513" s="195" t="n">
        <x:f>IFERROR(B2513-C2513,"")</x:f>
        <x:v>2.34</x:v>
      </x:c>
    </x:row>
    <x:row r="2514">
      <x:c r="A2514" s="187" t="n">
        <x:v>46044</x:v>
      </x:c>
      <x:c r="B2514" s="195" t="n">
        <x:v>4.26</x:v>
      </x:c>
      <x:c r="C2514" s="195" t="n">
        <x:v>1.95</x:v>
      </x:c>
      <x:c r="D2514" s="195" t="n">
        <x:f>IFERROR(B2514-C2514,"")</x:f>
        <x:v>2.3099999999999996</x:v>
      </x:c>
    </x:row>
    <x:row r="2515">
      <x:c r="A2515" s="187" t="n">
        <x:v>46045</x:v>
      </x:c>
      <x:c r="B2515" s="195" t="n">
        <x:v>4.24</x:v>
      </x:c>
      <x:c r="C2515" s="195" t="n">
        <x:v>1.92</x:v>
      </x:c>
      <x:c r="D2515" s="195" t="n">
        <x:f>IFERROR(B2515-C2515,"")</x:f>
        <x:v>2.3200000000000003</x:v>
      </x:c>
    </x:row>
    <x:row r="2516">
      <x:c r="A2516" s="187" t="n">
        <x:v>46048</x:v>
      </x:c>
      <x:c r="B2516" s="195" t="n">
        <x:v>4.22</x:v>
      </x:c>
      <x:c r="C2516" s="195" t="n">
        <x:v>1.9</x:v>
      </x:c>
      <x:c r="D2516" s="195" t="n">
        <x:f>IFERROR(B2516-C2516,"")</x:f>
        <x:v>2.32</x:v>
      </x:c>
    </x:row>
    <x:row r="2517">
      <x:c r="A2517" s="187" t="n">
        <x:v>46049</x:v>
      </x:c>
      <x:c r="B2517" s="195" t="n">
        <x:v>4.24</x:v>
      </x:c>
      <x:c r="C2517" s="195" t="n">
        <x:v>1.9</x:v>
      </x:c>
      <x:c r="D2517" s="195" t="n">
        <x:f>IFERROR(B2517-C2517,"")</x:f>
        <x:v>2.3400000000000003</x:v>
      </x:c>
    </x:row>
    <x:row r="2518">
      <x:c r="A2518" s="187" t="n">
        <x:v>46050</x:v>
      </x:c>
      <x:c r="B2518" s="195" t="n">
        <x:v>4.26</x:v>
      </x:c>
      <x:c r="C2518" s="195" t="n">
        <x:v>1.9</x:v>
      </x:c>
      <x:c r="D2518" s="195" t="n">
        <x:f>IFERROR(B2518-C2518,"")</x:f>
        <x:v>2.36</x:v>
      </x:c>
    </x:row>
    <x:row r="2519">
      <x:c r="A2519" s="187" t="n">
        <x:v>46051</x:v>
      </x:c>
      <x:c r="B2519" s="195" t="n">
        <x:v>4.24</x:v>
      </x:c>
      <x:c r="C2519" s="195" t="n">
        <x:v>1.89</x:v>
      </x:c>
      <x:c r="D2519" s="195" t="n">
        <x:f>IFERROR(B2519-C2519,"")</x:f>
        <x:v>2.3500000000000005</x:v>
      </x:c>
    </x:row>
    <x:row r="2520">
      <x:c r="A2520" s="187" t="n">
        <x:v>46052</x:v>
      </x:c>
      <x:c r="B2520" s="195" t="n">
        <x:v>4.26</x:v>
      </x:c>
      <x:c r="C2520" s="195" t="n">
        <x:v>1.9</x:v>
      </x:c>
      <x:c r="D2520" s="195" t="n">
        <x:f>IFERROR(B2520-C2520,"")</x:f>
        <x:v>2.36</x:v>
      </x:c>
    </x:row>
    <x:row r="2521">
      <x:c r="A2521" s="187" t="n">
        <x:v>46055</x:v>
      </x:c>
      <x:c r="B2521" s="195" t="n">
        <x:v>4.29</x:v>
      </x:c>
      <x:c r="C2521" s="195" t="n">
        <x:v>1.94</x:v>
      </x:c>
      <x:c r="D2521" s="195" t="n">
        <x:f>IFERROR(B2521-C2521,"")</x:f>
        <x:v>2.35</x:v>
      </x:c>
    </x:row>
    <x:row r="2522">
      <x:c r="A2522" s="187" t="n">
        <x:v>46056</x:v>
      </x:c>
      <x:c r="B2522" s="195" t="n">
        <x:v>4.28</x:v>
      </x:c>
      <x:c r="C2522" s="195" t="n">
        <x:v>1.92</x:v>
      </x:c>
      <x:c r="D2522" s="195" t="n">
        <x:f>IFERROR(B2522-C2522,"")</x:f>
        <x:v>2.3600000000000003</x:v>
      </x:c>
    </x:row>
    <x:row r="2523">
      <x:c r="A2523" s="187" t="n">
        <x:v>46057</x:v>
      </x:c>
      <x:c r="B2523" s="195" t="n">
        <x:v>4.29</x:v>
      </x:c>
      <x:c r="C2523" s="195" t="n">
        <x:v>1.94</x:v>
      </x:c>
      <x:c r="D2523" s="195" t="n">
        <x:f>IFERROR(B2523-C2523,"")</x:f>
        <x:v>2.35</x:v>
      </x:c>
    </x:row>
    <x:row r="2524">
      <x:c r="A2524" s="187" t="n">
        <x:v>46058</x:v>
      </x:c>
      <x:c r="B2524" s="195" t="n">
        <x:v>4.21</x:v>
      </x:c>
      <x:c r="C2524" s="195" t="n">
        <x:v>1.89</x:v>
      </x:c>
      <x:c r="D2524" s="195" t="n">
        <x:f>IFERROR(B2524-C2524,"")</x:f>
        <x:v>2.3200000000000003</x:v>
      </x:c>
    </x:row>
    <x:row r="2525">
      <x:c r="A2525" s="187" t="n">
        <x:v>46059</x:v>
      </x:c>
      <x:c r="B2525" s="195" t="n">
        <x:v>4.22</x:v>
      </x:c>
      <x:c r="C2525" s="195" t="n">
        <x:v>1.88</x:v>
      </x:c>
      <x:c r="D2525" s="195" t="n">
        <x:f>IFERROR(B2525-C2525,"")</x:f>
        <x:v>2.34</x:v>
      </x:c>
    </x:row>
    <x:row r="2526">
      <x:c r="A2526" s="187" t="n">
        <x:v>46062</x:v>
      </x:c>
      <x:c r="B2526" s="195" t="n">
        <x:v>4.22</x:v>
      </x:c>
      <x:c r="C2526" s="195" t="n">
        <x:v>1.87</x:v>
      </x:c>
      <x:c r="D2526" s="195" t="n">
        <x:f>IFERROR(B2526-C2526,"")</x:f>
        <x:v>2.3499999999999996</x:v>
      </x:c>
    </x:row>
    <x:row r="2527">
      <x:c r="A2527" s="187" t="n">
        <x:v>46063</x:v>
      </x:c>
      <x:c r="B2527" s="195" t="n">
        <x:v>4.16</x:v>
      </x:c>
      <x:c r="C2527" s="195" t="n">
        <x:v>1.84</x:v>
      </x:c>
      <x:c r="D2527" s="195" t="n">
        <x:f>IFERROR(B2527-C2527,"")</x:f>
        <x:v>2.3200000000000003</x:v>
      </x:c>
    </x:row>
    <x:row r="2528">
      <x:c r="A2528" s="187" t="n">
        <x:v>46064</x:v>
      </x:c>
      <x:c r="B2528" s="195" t="n">
        <x:v>4.18</x:v>
      </x:c>
      <x:c r="C2528" s="195" t="n">
        <x:v>1.86</x:v>
      </x:c>
      <x:c r="D2528" s="195" t="n">
        <x:f>IFERROR(B2528-C2528,"")</x:f>
        <x:v>2.3199999999999994</x:v>
      </x:c>
    </x:row>
    <x:row r="2529">
      <x:c r="A2529" s="187" t="n">
        <x:v>46065</x:v>
      </x:c>
      <x:c r="B2529" s="195" t="n">
        <x:v>4.09</x:v>
      </x:c>
      <x:c r="C2529" s="195" t="n">
        <x:v>1.8</x:v>
      </x:c>
      <x:c r="D2529" s="195" t="n">
        <x:f>IFERROR(B2529-C2529,"")</x:f>
        <x:v>2.29</x:v>
      </x:c>
    </x:row>
    <x:row r="2530">
      <x:c r="A2530" s="187" t="n">
        <x:v>46066</x:v>
      </x:c>
      <x:c r="B2530" s="195" t="n">
        <x:v>4.04</x:v>
      </x:c>
      <x:c r="C2530" s="195" t="n">
        <x:v>1.77</x:v>
      </x:c>
      <x:c r="D2530" s="195" t="n">
        <x:f>IFERROR(B2530-C2530,"")</x:f>
        <x:v>2.27</x:v>
      </x:c>
    </x:row>
    <x:row r="2531">
      <x:c r="A2531" s="187" t="n">
        <x:v>46070</x:v>
      </x:c>
      <x:c r="B2531" s="195" t="n">
        <x:v>4.05</x:v>
      </x:c>
      <x:c r="C2531" s="195" t="n">
        <x:v>1.79</x:v>
      </x:c>
      <x:c r="D2531" s="195" t="n">
        <x:f>IFERROR(B2531-C2531,"")</x:f>
        <x:v>2.26</x:v>
      </x:c>
    </x:row>
    <x:row r="2532">
      <x:c r="A2532" s="187" t="n">
        <x:v>46071</x:v>
      </x:c>
      <x:c r="B2532" s="195" t="n">
        <x:v>4.09</x:v>
      </x:c>
      <x:c r="C2532" s="195" t="n">
        <x:v>1.8</x:v>
      </x:c>
      <x:c r="D2532" s="195" t="n">
        <x:f>IFERROR(B2532-C2532,"")</x:f>
        <x:v>2.29</x:v>
      </x:c>
    </x:row>
    <x:row r="2533">
      <x:c r="A2533" s="187" t="n">
        <x:v>46072</x:v>
      </x:c>
      <x:c r="B2533" s="195" t="n">
        <x:v>4.08</x:v>
      </x:c>
      <x:c r="C2533" s="195" t="n">
        <x:v>1.79</x:v>
      </x:c>
      <x:c r="D2533" s="195" t="n">
        <x:f>IFERROR(B2533-C2533,"")</x:f>
        <x:v>2.29</x:v>
      </x:c>
    </x:row>
    <x:row r="2534">
      <x:c r="A2534" s="187" t="n">
        <x:v>46073</x:v>
      </x:c>
      <x:c r="B2534" s="195" t="n">
        <x:v>4.08</x:v>
      </x:c>
      <x:c r="C2534" s="195" t="n">
        <x:v>1.8</x:v>
      </x:c>
      <x:c r="D2534" s="195" t="n">
        <x:f>IFERROR(B2534-C2534,"")</x:f>
        <x:v>2.2800000000000002</x:v>
      </x:c>
    </x:row>
    <x:row r="2535">
      <x:c r="A2535" s="187" t="n">
        <x:v>46076</x:v>
      </x:c>
      <x:c r="B2535" s="195" t="n">
        <x:v>4.03</x:v>
      </x:c>
      <x:c r="C2535" s="195" t="n">
        <x:v>1.77</x:v>
      </x:c>
      <x:c r="D2535" s="195" t="n">
        <x:f>IFERROR(B2535-C2535,"")</x:f>
        <x:v>2.2600000000000002</x:v>
      </x:c>
    </x:row>
    <x:row r="2536">
      <x:c r="A2536" s="187" t="n">
        <x:v>46077</x:v>
      </x:c>
      <x:c r="B2536" s="195" t="n">
        <x:v>4.04</x:v>
      </x:c>
      <x:c r="C2536" s="195" t="n">
        <x:v>1.78</x:v>
      </x:c>
      <x:c r="D2536" s="195" t="n">
        <x:f>IFERROR(B2536-C2536,"")</x:f>
        <x:v>2.26</x:v>
      </x:c>
    </x:row>
    <x:row r="2537">
      <x:c r="A2537" s="187" t="n">
        <x:v>46078</x:v>
      </x:c>
      <x:c r="B2537" s="195" t="n">
        <x:v>4.05</x:v>
      </x:c>
      <x:c r="C2537" s="195" t="n">
        <x:v>1.77</x:v>
      </x:c>
      <x:c r="D2537" s="195" t="n">
        <x:f>IFERROR(B2537-C2537,"")</x:f>
        <x:v>2.28</x:v>
      </x:c>
    </x:row>
    <x:row r="2538">
      <x:c r="A2538" s="187" t="n">
        <x:v>46079</x:v>
      </x:c>
      <x:c r="B2538" s="195" t="n">
        <x:v>4.02</x:v>
      </x:c>
      <x:c r="C2538" s="195" t="n">
        <x:v>1.74</x:v>
      </x:c>
      <x:c r="D2538" s="195" t="n">
        <x:f>IFERROR(B2538-C2538,"")</x:f>
        <x:v>2.2799999999999994</x:v>
      </x:c>
    </x:row>
    <x:row r="2539">
      <x:c r="A2539" s="187" t="n">
        <x:v>46080</x:v>
      </x:c>
      <x:c r="B2539" s="195" t="n">
        <x:v>3.97</x:v>
      </x:c>
      <x:c r="C2539" s="195" t="n">
        <x:v>1.72</x:v>
      </x:c>
      <x:c r="D2539" s="195" t="n">
        <x:f>IFERROR(B2539-C2539,"")</x:f>
        <x:v>2.25</x:v>
      </x:c>
    </x:row>
    <x:row r="2540">
      <x:c r="A2540" s="187" t="n">
        <x:v>46083</x:v>
      </x:c>
      <x:c r="B2540" s="195" t="n">
        <x:v>4.05</x:v>
      </x:c>
      <x:c r="C2540" s="195" t="n">
        <x:v>1.76</x:v>
      </x:c>
      <x:c r="D2540" s="195" t="n">
        <x:f>IFERROR(B2540-C2540,"")</x:f>
        <x:v>2.29</x:v>
      </x:c>
    </x:row>
    <x:row r="2541">
      <x:c r="A2541" s="187" t="n">
        <x:v>46084</x:v>
      </x:c>
      <x:c r="B2541" s="195" t="n">
        <x:v>4.06</x:v>
      </x:c>
      <x:c r="C2541" s="195" t="n">
        <x:v>1.77</x:v>
      </x:c>
      <x:c r="D2541" s="195" t="n">
        <x:f>IFERROR(B2541-C2541,"")</x:f>
        <x:v>2.2899999999999996</x:v>
      </x:c>
    </x:row>
    <x:row r="2542">
      <x:c r="A2542" s="187" t="n">
        <x:v>46085</x:v>
      </x:c>
      <x:c r="B2542" s="195" t="n">
        <x:v>4.09</x:v>
      </x:c>
      <x:c r="C2542" s="195" t="n">
        <x:v>1.8</x:v>
      </x:c>
      <x:c r="D2542" s="195" t="n">
        <x:f>IFERROR(B2542-C2542,"")</x:f>
        <x:v>2.29</x:v>
      </x:c>
    </x:row>
    <x:row r="2543">
      <x:c r="A2543" s="187" t="n">
        <x:v>46086</x:v>
      </x:c>
      <x:c r="B2543" s="195" t="n">
        <x:v>4.13</x:v>
      </x:c>
      <x:c r="C2543" s="195" t="n">
        <x:v>1.82</x:v>
      </x:c>
      <x:c r="D2543" s="195" t="n">
        <x:f>IFERROR(B2543-C2543,"")</x:f>
        <x:v>2.3099999999999996</x:v>
      </x:c>
    </x:row>
    <x:row r="2544">
      <x:c r="A2544" s="187" t="n">
        <x:v>46087</x:v>
      </x:c>
      <x:c r="B2544" s="195" t="n">
        <x:v>4.15</x:v>
      </x:c>
      <x:c r="C2544" s="195" t="n">
        <x:v>1.8</x:v>
      </x:c>
      <x:c r="D2544" s="195" t="n">
        <x:f>IFERROR(B2544-C2544,"")</x:f>
        <x:v>2.3500000000000005</x:v>
      </x:c>
    </x:row>
    <x:row r="2545">
      <x:c r="A2545" s="187" t="n">
        <x:v>46090</x:v>
      </x:c>
      <x:c r="B2545" s="195" t="n">
        <x:v>4.12</x:v>
      </x:c>
      <x:c r="C2545" s="195" t="n">
        <x:v>1.78</x:v>
      </x:c>
      <x:c r="D2545" s="195" t="n">
        <x:f>IFERROR(B2545-C2545,"")</x:f>
        <x:v>2.34</x:v>
      </x:c>
    </x:row>
    <x:row r="2546">
      <x:c r="A2546" s="187" t="n">
        <x:v>46091</x:v>
      </x:c>
      <x:c r="B2546" s="195" t="n">
        <x:v>4.15</x:v>
      </x:c>
      <x:c r="C2546" s="195" t="n">
        <x:v>1.82</x:v>
      </x:c>
      <x:c r="D2546" s="195" t="n">
        <x:f>IFERROR(B2546-C2546,"")</x:f>
        <x:v>2.33</x:v>
      </x:c>
    </x:row>
    <x:row r="2547">
      <x:c r="A2547" s="187" t="n">
        <x:v>46092</x:v>
      </x:c>
      <x:c r="B2547" s="195" t="n">
        <x:v>4.21</x:v>
      </x:c>
      <x:c r="C2547" s="195" t="n">
        <x:v>1.85</x:v>
      </x:c>
      <x:c r="D2547" s="195" t="n">
        <x:f>IFERROR(B2547-C2547,"")</x:f>
        <x:v>2.36</x:v>
      </x:c>
    </x:row>
    <x:row r="2548">
      <x:c r="A2548" s="187" t="n">
        <x:v>46093</x:v>
      </x:c>
      <x:c r="B2548" s="195" t="n">
        <x:v>4.27</x:v>
      </x:c>
      <x:c r="C2548" s="195" t="n">
        <x:v>1.89</x:v>
      </x:c>
      <x:c r="D2548" s="195" t="n">
        <x:f>IFERROR(B2548-C2548,"")</x:f>
        <x:v>2.38</x:v>
      </x:c>
    </x:row>
    <x:row r="2549">
      <x:c r="A2549" s="187" t="n">
        <x:v>46094</x:v>
      </x:c>
      <x:c r="B2549" s="195" t="n">
        <x:v>4.28</x:v>
      </x:c>
      <x:c r="C2549" s="195" t="n">
        <x:v>1.92</x:v>
      </x:c>
      <x:c r="D2549" s="195" t="n">
        <x:f>IFERROR(B2549-C2549,"")</x:f>
        <x:v>2.3600000000000003</x:v>
      </x:c>
    </x:row>
    <x:row r="2550">
      <x:c r="A2550" s="187" t="n">
        <x:v>46097</x:v>
      </x:c>
      <x:c r="B2550" s="195" t="n">
        <x:v>4.23</x:v>
      </x:c>
      <x:c r="C2550" s="195" t="n">
        <x:v>1.87</x:v>
      </x:c>
      <x:c r="D2550" s="195" t="n">
        <x:f>IFERROR(B2550-C2550,"")</x:f>
        <x:v>2.3600000000000003</x:v>
      </x:c>
    </x:row>
    <x:row r="2551">
      <x:c r="A2551" s="187" t="n">
        <x:v>46098</x:v>
      </x:c>
      <x:c r="B2551" s="195" t="n">
        <x:v>4.2</x:v>
      </x:c>
      <x:c r="C2551" s="195" t="n">
        <x:v>1.83</x:v>
      </x:c>
      <x:c r="D2551" s="195" t="n">
        <x:f>IFERROR(B2551-C2551,"")</x:f>
        <x:v>2.37</x:v>
      </x:c>
    </x:row>
    <x:row r="2552">
      <x:c r="A2552" s="187" t="n">
        <x:v>46099</x:v>
      </x:c>
      <x:c r="B2552" s="195" t="n">
        <x:v>4.26</x:v>
      </x:c>
      <x:c r="C2552" s="195" t="n">
        <x:v>1.86</x:v>
      </x:c>
      <x:c r="D2552" s="195" t="n">
        <x:f>IFERROR(B2552-C2552,"")</x:f>
        <x:v>2.3999999999999995</x:v>
      </x:c>
    </x:row>
    <x:row r="2553">
      <x:c r="A2553" s="187" t="n">
        <x:v>46100</x:v>
      </x:c>
      <x:c r="B2553" s="195" t="n">
        <x:v>4.25</x:v>
      </x:c>
      <x:c r="C2553" s="195" t="n">
        <x:v>1.88</x:v>
      </x:c>
      <x:c r="D2553" s="195" t="n">
        <x:f>IFERROR(B2553-C2553,"")</x:f>
        <x:v>2.37</x:v>
      </x:c>
    </x:row>
    <x:row r="2554">
      <x:c r="A2554" s="187" t="n">
        <x:v>46101</x:v>
      </x:c>
      <x:c r="B2554" s="195" t="n">
        <x:v>4.39</x:v>
      </x:c>
      <x:c r="C2554" s="195" t="n">
        <x:v>2.01</x:v>
      </x:c>
      <x:c r="D2554" s="195" t="n">
        <x:f>IFERROR(B2554-C2554,"")</x:f>
        <x:v>2.38</x:v>
      </x:c>
    </x:row>
    <x:row r="2555">
      <x:c r="A2555" s="187" t="n">
        <x:v>46104</x:v>
      </x:c>
      <x:c r="B2555" s="195" t="n">
        <x:v>4.34</x:v>
      </x:c>
      <x:c r="C2555" s="195" t="n">
        <x:v>2.01</x:v>
      </x:c>
      <x:c r="D2555" s="195" t="n">
        <x:f>IFERROR(B2555-C2555,"")</x:f>
        <x:v>2.33</x:v>
      </x:c>
    </x:row>
    <x:row r="2556">
      <x:c r="A2556" s="187" t="n">
        <x:v>46105</x:v>
      </x:c>
      <x:c r="B2556" s="195" t="n">
        <x:v>4.39</x:v>
      </x:c>
      <x:c r="C2556" s="195" t="n">
        <x:v>2.06</x:v>
      </x:c>
      <x:c r="D2556" s="195" t="n">
        <x:f>IFERROR(B2556-C2556,"")</x:f>
        <x:v>2.3299999999999996</x:v>
      </x:c>
    </x:row>
    <x:row r="2557">
      <x:c r="A2557" s="187" t="n">
        <x:v>46106</x:v>
      </x:c>
      <x:c r="B2557" s="195" t="n">
        <x:v>4.33</x:v>
      </x:c>
      <x:c r="C2557" s="195" t="n">
        <x:v>2.02</x:v>
      </x:c>
      <x:c r="D2557" s="195" t="n">
        <x:f>IFERROR(B2557-C2557,"")</x:f>
        <x:v>2.31</x:v>
      </x:c>
    </x:row>
    <x:row r="2558">
      <x:c r="A2558" s="187" t="n">
        <x:v>46107</x:v>
      </x:c>
      <x:c r="B2558" s="195" t="n">
        <x:v>4.42</x:v>
      </x:c>
      <x:c r="C2558" s="195" t="n">
        <x:v>2.08</x:v>
      </x:c>
      <x:c r="D2558" s="195" t="n">
        <x:f>IFERROR(B2558-C2558,"")</x:f>
        <x:v>2.34</x:v>
      </x:c>
    </x:row>
    <x:row r="2559">
      <x:c r="A2559" s="187" t="n">
        <x:v>46108</x:v>
      </x:c>
      <x:c r="B2559" s="195" t="n">
        <x:v>4.44</x:v>
      </x:c>
      <x:c r="C2559" s="195" t="n">
        <x:v>2.13</x:v>
      </x:c>
      <x:c r="D2559" s="195" t="n">
        <x:f>IFERROR(B2559-C2559,"")</x:f>
        <x:v>2.3100000000000005</x:v>
      </x:c>
    </x:row>
    <x:row r="2560">
      <x:c r="A2560" s="187" t="n">
        <x:v>46111</x:v>
      </x:c>
      <x:c r="B2560" s="195" t="n">
        <x:v>4.35</x:v>
      </x:c>
      <x:c r="C2560" s="195" t="n">
        <x:v>2.04</x:v>
      </x:c>
      <x:c r="D2560" s="195" t="n">
        <x:f>IFERROR(B2560-C2560,"")</x:f>
        <x:v>2.3099999999999996</x:v>
      </x:c>
    </x:row>
    <x:row r="2561">
      <x:c r="A2561" s="187" t="n">
        <x:v>46112</x:v>
      </x:c>
      <x:c r="B2561" s="195" t="n">
        <x:v>4.3</x:v>
      </x:c>
      <x:c r="C2561" s="195" t="n">
        <x:v>2</x:v>
      </x:c>
      <x:c r="D2561" s="195" t="n">
        <x:f>IFERROR(B2561-C2561,"")</x:f>
        <x:v>2.3</x:v>
      </x:c>
    </x:row>
    <x:row r="2562">
      <x:c r="A2562" s="187" t="n">
        <x:v>46113</x:v>
      </x:c>
      <x:c r="B2562" s="195" t="n">
        <x:v>4.33</x:v>
      </x:c>
      <x:c r="C2562" s="195" t="n">
        <x:v>2.02</x:v>
      </x:c>
      <x:c r="D2562" s="195" t="n">
        <x:f>IFERROR(B2562-C2562,"")</x:f>
        <x:v>2.31</x:v>
      </x:c>
    </x:row>
    <x:row r="2563">
      <x:c r="A2563" s="187" t="n">
        <x:v>46114</x:v>
      </x:c>
      <x:c r="B2563" s="195" t="n">
        <x:v>4.31</x:v>
      </x:c>
      <x:c r="C2563" s="195" t="n">
        <x:v>1.97</x:v>
      </x:c>
      <x:c r="D2563" s="195" t="n">
        <x:f>IFERROR(B2563-C2563,"")</x:f>
        <x:v>2.34</x:v>
      </x:c>
    </x:row>
    <x:row r="2564">
      <x:c r="A2564" s="187" t="n">
        <x:v>46115</x:v>
      </x:c>
      <x:c r="B2564" s="195" t="n">
        <x:v>4.35</x:v>
      </x:c>
      <x:c r="C2564" s="195" t="n">
        <x:v>1.99</x:v>
      </x:c>
      <x:c r="D2564" s="195" t="n">
        <x:f>IFERROR(B2564-C2564,"")</x:f>
        <x:v>2.3599999999999994</x:v>
      </x:c>
    </x:row>
    <x:row r="2565">
      <x:c r="A2565" s="187" t="n">
        <x:v>46118</x:v>
      </x:c>
      <x:c r="B2565" s="195" t="n">
        <x:v>4.34</x:v>
      </x:c>
      <x:c r="C2565" s="195" t="n">
        <x:v>1.98</x:v>
      </x:c>
      <x:c r="D2565" s="195" t="n">
        <x:f>IFERROR(B2565-C2565,"")</x:f>
        <x:v>2.36</x:v>
      </x:c>
    </x:row>
    <x:row r="2566">
      <x:c r="A2566" s="187" t="n">
        <x:v>46119</x:v>
      </x:c>
      <x:c r="B2566" s="195" t="n">
        <x:v>4.33</x:v>
      </x:c>
      <x:c r="C2566" s="195" t="n">
        <x:v>1.96</x:v>
      </x:c>
      <x:c r="D2566" s="195" t="n">
        <x:f>IFERROR(B2566-C2566,"")</x:f>
        <x:v>2.37</x:v>
      </x:c>
    </x:row>
    <x:row r="2567">
      <x:c r="A2567" s="187" t="n">
        <x:v>46120</x:v>
      </x:c>
      <x:c r="B2567" s="195" t="n">
        <x:v>4.29</x:v>
      </x:c>
      <x:c r="C2567" s="195" t="n">
        <x:v>1.96</x:v>
      </x:c>
      <x:c r="D2567" s="195" t="n">
        <x:f>IFERROR(B2567-C2567,"")</x:f>
        <x:v>2.33</x:v>
      </x:c>
    </x:row>
    <x:row r="2568">
      <x:c r="A2568" s="187" t="n">
        <x:v>46121</x:v>
      </x:c>
      <x:c r="B2568" s="195" t="n">
        <x:v>4.29</x:v>
      </x:c>
      <x:c r="C2568" s="195" t="n">
        <x:v>1.95</x:v>
      </x:c>
      <x:c r="D2568" s="195" t="n">
        <x:f>IFERROR(B2568-C2568,"")</x:f>
        <x:v>2.34</x:v>
      </x:c>
    </x:row>
    <x:row r="2569">
      <x:c r="A2569" s="187" t="n">
        <x:v>46122</x:v>
      </x:c>
      <x:c r="B2569" s="195" t="n">
        <x:v>4.31</x:v>
      </x:c>
      <x:c r="C2569" s="195" t="n">
        <x:v>1.95</x:v>
      </x:c>
      <x:c r="D2569" s="195" t="n">
        <x:f>IFERROR(B2569-C2569,"")</x:f>
        <x:v>2.3599999999999994</x:v>
      </x:c>
    </x:row>
    <x:row r="2570">
      <x:c r="A2570" s="187" t="n">
        <x:v>46125</x:v>
      </x:c>
      <x:c r="B2570" s="195" t="n">
        <x:v>4.3</x:v>
      </x:c>
      <x:c r="C2570" s="195" t="n">
        <x:v>1.92</x:v>
      </x:c>
      <x:c r="D2570" s="195" t="n">
        <x:f>IFERROR(B2570-C2570,"")</x:f>
        <x:v>2.38</x:v>
      </x:c>
    </x:row>
    <x:row r="2571">
      <x:c r="A2571" s="187" t="n">
        <x:v>46126</x:v>
      </x:c>
      <x:c r="B2571" s="195" t="n">
        <x:v>4.26</x:v>
      </x:c>
      <x:c r="C2571" s="195" t="n">
        <x:v>1.89</x:v>
      </x:c>
      <x:c r="D2571" s="195" t="n">
        <x:f>IFERROR(B2571-C2571,"")</x:f>
        <x:v>2.37</x:v>
      </x:c>
    </x:row>
    <x:row r="2572">
      <x:c r="A2572" s="187" t="n">
        <x:v>46127</x:v>
      </x:c>
      <x:c r="B2572" s="195" t="n">
        <x:v>4.29</x:v>
      </x:c>
      <x:c r="C2572" s="195" t="n">
        <x:v>1.9</x:v>
      </x:c>
      <x:c r="D2572" s="195" t="n">
        <x:f>IFERROR(B2572-C2572,"")</x:f>
        <x:v>2.39</x:v>
      </x:c>
    </x:row>
    <x:row r="2573">
      <x:c r="A2573" s="187" t="n">
        <x:v>46128</x:v>
      </x:c>
      <x:c r="B2573" s="195" t="n">
        <x:v>4.32</x:v>
      </x:c>
      <x:c r="C2573" s="195" t="n">
        <x:v>1.93</x:v>
      </x:c>
      <x:c r="D2573" s="195" t="n">
        <x:f>IFERROR(B2573-C2573,"")</x:f>
        <x:v>2.3900000000000006</x:v>
      </x:c>
    </x:row>
    <x:row r="2574">
      <x:c r="A2574" s="187" t="n">
        <x:v>46129</x:v>
      </x:c>
      <x:c r="B2574" s="195" t="n">
        <x:v>4.26</x:v>
      </x:c>
      <x:c r="C2574" s="195" t="n">
        <x:v>1.9</x:v>
      </x:c>
      <x:c r="D2574" s="195" t="n">
        <x:f>IFERROR(B2574-C2574,"")</x:f>
        <x:v>2.36</x:v>
      </x:c>
    </x:row>
    <x:row r="2575">
      <x:c r="A2575" s="187" t="n">
        <x:v>46132</x:v>
      </x:c>
      <x:c r="B2575" s="195" t="n">
        <x:v>4.26</x:v>
      </x:c>
      <x:c r="C2575" s="195" t="n">
        <x:v>1.91</x:v>
      </x:c>
      <x:c r="D2575" s="195" t="n">
        <x:f>IFERROR(B2575-C2575,"")</x:f>
        <x:v>2.3499999999999996</x:v>
      </x:c>
    </x:row>
    <x:row r="2576">
      <x:c r="A2576" s="187" t="n">
        <x:v>46133</x:v>
      </x:c>
      <x:c r="B2576" s="195" t="n">
        <x:v>4.3</x:v>
      </x:c>
      <x:c r="C2576" s="195" t="n">
        <x:v>1.92</x:v>
      </x:c>
      <x:c r="D2576" s="195" t="n">
        <x:f>IFERROR(B2576-C2576,"")</x:f>
        <x:v>2.38</x:v>
      </x:c>
    </x:row>
    <x:row r="2577">
      <x:c r="A2577" s="187" t="n">
        <x:v>46134</x:v>
      </x:c>
      <x:c r="B2577" s="195" t="n">
        <x:v>4.3</x:v>
      </x:c>
      <x:c r="C2577" s="195" t="n">
        <x:v>1.92</x:v>
      </x:c>
      <x:c r="D2577" s="195" t="n">
        <x:f>IFERROR(B2577-C2577,"")</x:f>
        <x:v>2.38</x:v>
      </x:c>
    </x:row>
    <x:row r="2578">
      <x:c r="A2578" s="187" t="n">
        <x:v>46135</x:v>
      </x:c>
      <x:c r="B2578" s="195" t="n">
        <x:v>4.34</x:v>
      </x:c>
      <x:c r="C2578" s="195" t="n">
        <x:v>1.92</x:v>
      </x:c>
      <x:c r="D2578" s="195" t="n">
        <x:f>IFERROR(B2578-C2578,"")</x:f>
        <x:v>2.42</x:v>
      </x:c>
    </x:row>
    <x:row r="2579">
      <x:c r="A2579" s="187" t="n">
        <x:v>46136</x:v>
      </x:c>
      <x:c r="B2579" s="195" t="n">
        <x:v>4.31</x:v>
      </x:c>
      <x:c r="C2579" s="195" t="n">
        <x:v>1.89</x:v>
      </x:c>
      <x:c r="D2579" s="195" t="n">
        <x:f>IFERROR(B2579-C2579,"")</x:f>
        <x:v>2.42</x:v>
      </x:c>
    </x:row>
    <x:row r="2580">
      <x:c r="A2580" s="187" t="n">
        <x:v>46139</x:v>
      </x:c>
      <x:c r="B2580" s="195" t="n">
        <x:v>4.35</x:v>
      </x:c>
      <x:c r="C2580" s="195" t="n">
        <x:v>1.91</x:v>
      </x:c>
      <x:c r="D2580" s="195" t="n">
        <x:f>IFERROR(B2580-C2580,"")</x:f>
        <x:v>2.4399999999999995</x:v>
      </x:c>
    </x:row>
    <x:row r="2581">
      <x:c r="A2581" s="187" t="n">
        <x:v>46140</x:v>
      </x:c>
      <x:c r="B2581" s="195" t="n">
        <x:v>4.36</x:v>
      </x:c>
      <x:c r="C2581" s="195" t="n">
        <x:v>1.92</x:v>
      </x:c>
      <x:c r="D2581" s="195" t="n">
        <x:f>IFERROR(B2581-C2581,"")</x:f>
        <x:v>2.4400000000000004</x:v>
      </x:c>
    </x:row>
    <x:row r="2582">
      <x:c r="A2582" s="187" t="n">
        <x:v>46141</x:v>
      </x:c>
      <x:c r="B2582" s="195" t="n">
        <x:v>4.42</x:v>
      </x:c>
      <x:c r="C2582" s="195" t="n">
        <x:v>1.96</x:v>
      </x:c>
      <x:c r="D2582" s="195" t="n">
        <x:f>IFERROR(B2582-C2582,"")</x:f>
        <x:v>2.46</x:v>
      </x:c>
    </x:row>
    <x:row r="2583">
      <x:c r="A2583" s="187" t="n">
        <x:v>46142</x:v>
      </x:c>
      <x:c r="B2583" s="195" t="n">
        <x:v>4.4</x:v>
      </x:c>
      <x:c r="C2583" s="195" t="n">
        <x:v>1.94</x:v>
      </x:c>
      <x:c r="D2583" s="195" t="n">
        <x:f>IFERROR(B2583-C2583,"")</x:f>
        <x:v>2.4600000000000004</x:v>
      </x:c>
    </x:row>
    <x:row r="2584">
      <x:c r="A2584" s="187" t="n">
        <x:v>46143</x:v>
      </x:c>
      <x:c r="B2584" s="195" t="n">
        <x:v>4.39</x:v>
      </x:c>
      <x:c r="C2584" s="195" t="n">
        <x:v>1.91</x:v>
      </x:c>
      <x:c r="D2584" s="195" t="n">
        <x:f>IFERROR(B2584-C2584,"")</x:f>
        <x:v>2.4799999999999995</x:v>
      </x:c>
    </x:row>
    <x:row r="2585">
      <x:c r="A2585" s="187" t="n">
        <x:v>46146</x:v>
      </x:c>
      <x:c r="B2585" s="195" t="n">
        <x:v>4.45</x:v>
      </x:c>
      <x:c r="C2585" s="195" t="n">
        <x:v>1.95</x:v>
      </x:c>
      <x:c r="D2585" s="195" t="n">
        <x:f>IFERROR(B2585-C2585,"")</x:f>
        <x:v>2.5</x:v>
      </x:c>
    </x:row>
    <x:row r="2586">
      <x:c r="A2586" s="187" t="n">
        <x:v>46147</x:v>
      </x:c>
      <x:c r="B2586" s="195" t="n">
        <x:v>4.43</x:v>
      </x:c>
      <x:c r="C2586" s="195" t="n">
        <x:v>1.96</x:v>
      </x:c>
      <x:c r="D2586" s="195" t="n">
        <x:f>IFERROR(B2586-C2586,"")</x:f>
        <x:v>2.4699999999999998</x:v>
      </x:c>
    </x:row>
    <x:row r="2587">
      <x:c r="A2587" s="187" t="n">
        <x:v>46148</x:v>
      </x:c>
      <x:c r="B2587" s="195" t="n">
        <x:v>4.36</x:v>
      </x:c>
      <x:c r="C2587" s="195" t="n">
        <x:v>1.94</x:v>
      </x:c>
      <x:c r="D2587" s="195" t="n">
        <x:f>IFERROR(B2587-C2587,"")</x:f>
        <x:v>2.4200000000000004</x:v>
      </x:c>
    </x:row>
    <x:row r="2588">
      <x:c r="A2588" s="187" t="n">
        <x:v>46149</x:v>
      </x:c>
      <x:c r="B2588" s="195" t="n">
        <x:v>4.41</x:v>
      </x:c>
      <x:c r="C2588" s="195" t="n">
        <x:v>1.96</x:v>
      </x:c>
      <x:c r="D2588" s="195" t="n">
        <x:f>IFERROR(B2588-C2588,"")</x:f>
        <x:v>2.45</x:v>
      </x:c>
    </x:row>
    <x:row r="2589">
      <x:c r="A2589" s="187" t="n">
        <x:v>46150</x:v>
      </x:c>
      <x:c r="B2589" s="195" t="n">
        <x:v>4.38</x:v>
      </x:c>
      <x:c r="C2589" s="195" t="n">
        <x:v>1.93</x:v>
      </x:c>
      <x:c r="D2589" s="195" t="n">
        <x:f>IFERROR(B2589-C2589,"")</x:f>
        <x:v>2.45</x:v>
      </x:c>
    </x:row>
    <x:row r="2590">
      <x:c r="A2590" s="187" t="n">
        <x:v>46153</x:v>
      </x:c>
      <x:c r="B2590" s="195" t="n">
        <x:v>4.42</x:v>
      </x:c>
      <x:c r="C2590" s="195" t="n">
        <x:v>1.95</x:v>
      </x:c>
      <x:c r="D2590" s="195" t="n">
        <x:f>IFERROR(B2590-C2590,"")</x:f>
        <x:v>2.4699999999999998</x:v>
      </x:c>
    </x:row>
    <x:row r="2591">
      <x:c r="A2591" s="187" t="n">
        <x:v>46154</x:v>
      </x:c>
      <x:c r="B2591" s="195" t="n">
        <x:v>4.46</x:v>
      </x:c>
      <x:c r="C2591" s="195" t="n">
        <x:v>1.99</x:v>
      </x:c>
      <x:c r="D2591" s="195" t="n">
        <x:f>IFERROR(B2591-C2591,"")</x:f>
        <x:v>2.4699999999999998</x:v>
      </x:c>
    </x:row>
    <x:row r="2592">
      <x:c r="A2592" s="187" t="n">
        <x:v>46155</x:v>
      </x:c>
      <x:c r="B2592" s="195" t="n">
        <x:v>4.46</x:v>
      </x:c>
      <x:c r="C2592" s="195" t="n">
        <x:v>1.99</x:v>
      </x:c>
      <x:c r="D2592" s="195" t="n">
        <x:f>IFERROR(B2592-C2592,"")</x:f>
        <x:v>2.4699999999999998</x:v>
      </x:c>
    </x:row>
    <x:row r="2593">
      <x:c r="A2593" s="187" t="n">
        <x:v>46156</x:v>
      </x:c>
      <x:c r="B2593" s="195" t="n">
        <x:v>4.47</x:v>
      </x:c>
      <x:c r="C2593" s="195" t="n">
        <x:v>2</x:v>
      </x:c>
      <x:c r="D2593" s="195" t="n">
        <x:f>IFERROR(B2593-C2593,"")</x:f>
        <x:v>2.4699999999999998</x:v>
      </x:c>
    </x:row>
    <x:row r="2594">
      <x:c r="A2594" s="187" t="n">
        <x:v>46157</x:v>
      </x:c>
      <x:c r="B2594" s="195" t="n">
        <x:v>4.59</x:v>
      </x:c>
      <x:c r="C2594" s="195" t="n">
        <x:v>2.1</x:v>
      </x:c>
      <x:c r="D2594" s="195" t="n">
        <x:f>IFERROR(B2594-C2594,"")</x:f>
        <x:v>2.4899999999999998</x:v>
      </x:c>
    </x:row>
    <x:row r="2595">
      <x:c r="A2595" s="187" t="n">
        <x:v>46160</x:v>
      </x:c>
      <x:c r="B2595" s="195" t="n">
        <x:v>4.61</x:v>
      </x:c>
      <x:c r="C2595" s="195" t="n">
        <x:v>2.13</x:v>
      </x:c>
      <x:c r="D2595" s="195" t="n">
        <x:f>IFERROR(B2595-C2595,"")</x:f>
        <x:v>2.4800000000000004</x:v>
      </x:c>
    </x:row>
    <x:row r="2596">
      <x:c r="A2596" s="187" t="n">
        <x:v>46161</x:v>
      </x:c>
      <x:c r="B2596" s="195" t="n">
        <x:v>4.67</x:v>
      </x:c>
      <x:c r="C2596" s="195" t="n">
        <x:v>2.18</x:v>
      </x:c>
      <x:c r="D2596" s="195" t="n">
        <x:f>IFERROR(B2596-C2596,"")</x:f>
        <x:v>2.4899999999999998</x:v>
      </x:c>
    </x:row>
    <x:row r="2597">
      <x:c r="A2597" s="187" t="n">
        <x:v>46162</x:v>
      </x:c>
      <x:c r="B2597" s="195" t="n">
        <x:v>4.57</x:v>
      </x:c>
      <x:c r="C2597" s="195" t="n">
        <x:v>2.13</x:v>
      </x:c>
      <x:c r="D2597" s="195" t="n">
        <x:f>IFERROR(B2597-C2597,"")</x:f>
        <x:v>2.4400000000000004</x:v>
      </x:c>
    </x:row>
    <x:row r="2598">
      <x:c r="A2598" s="187" t="n">
        <x:v>46163</x:v>
      </x:c>
      <x:c r="B2598" s="195" t="n">
        <x:v>4.57</x:v>
      </x:c>
      <x:c r="C2598" s="195" t="n">
        <x:v>2.18</x:v>
      </x:c>
      <x:c r="D2598" s="195" t="n">
        <x:f>IFERROR(B2598-C2598,"")</x:f>
        <x:v>2.39</x:v>
      </x:c>
    </x:row>
    <x:row r="2599">
      <x:c r="A2599" s="187" t="n">
        <x:v>46164</x:v>
      </x:c>
      <x:c r="B2599" s="195" t="n">
        <x:v>4.56</x:v>
      </x:c>
      <x:c r="C2599" s="195" t="n">
        <x:v>2.16</x:v>
      </x:c>
      <x:c r="D2599" s="195" t="n">
        <x:f>IFERROR(B2599-C2599,"")</x:f>
        <x:v>2.3999999999999995</x:v>
      </x:c>
    </x:row>
    <x:row r="2600">
      <x:c r="A2600" s="187" t="n">
        <x:v>46168</x:v>
      </x:c>
      <x:c r="B2600" s="195" t="n">
        <x:v>4.5</x:v>
      </x:c>
      <x:c r="C2600" s="195" t="n">
        <x:v>2.1</x:v>
      </x:c>
      <x:c r="D2600" s="195" t="n">
        <x:f>IFERROR(B2600-C2600,"")</x:f>
        <x:v>2.4</x:v>
      </x:c>
    </x:row>
    <x:row r="2601">
      <x:c r="A2601" s="187" t="n">
        <x:v>46169</x:v>
      </x:c>
      <x:c r="B2601" s="195" t="n">
        <x:v>4.48</x:v>
      </x:c>
      <x:c r="C2601" s="195" t="n">
        <x:v>2.09</x:v>
      </x:c>
      <x:c r="D2601" s="195" t="n">
        <x:f>IFERROR(B2601-C2601,"")</x:f>
        <x:v>2.3900000000000006</x:v>
      </x:c>
    </x:row>
    <x:row r="2602">
      <x:c r="A2602" s="187" t="n">
        <x:v>46170</x:v>
      </x:c>
      <x:c r="B2602" s="195" t="n">
        <x:v>4.45</x:v>
      </x:c>
      <x:c r="C2602" s="195" t="n">
        <x:v>2.06</x:v>
      </x:c>
      <x:c r="D2602" s="195" t="n">
        <x:f>IFERROR(B2602-C2602,"")</x:f>
        <x:v>2.39</x:v>
      </x:c>
    </x:row>
    <x:row r="2603">
      <x:c r="A2603" s="187" t="n">
        <x:v>46171</x:v>
      </x:c>
      <x:c r="B2603" s="195" t="n">
        <x:v>4.45</x:v>
      </x:c>
      <x:c r="C2603" s="195" t="n">
        <x:v>2.07</x:v>
      </x:c>
      <x:c r="D2603" s="195" t="n">
        <x:f>IFERROR(B2603-C2603,"")</x:f>
        <x:v>2.3800000000000003</x:v>
      </x:c>
    </x:row>
    <x:row r="2604">
      <x:c r="A2604" s="187" t="n">
        <x:v>46174</x:v>
      </x:c>
      <x:c r="B2604" s="195" t="n">
        <x:v>4.47</x:v>
      </x:c>
      <x:c r="C2604" s="195" t="n">
        <x:v>2.07</x:v>
      </x:c>
      <x:c r="D2604" s="195" t="n">
        <x:f>IFERROR(B2604-C2604,"")</x:f>
        <x:v>2.4</x:v>
      </x:c>
    </x:row>
    <x:row r="2605">
      <x:c r="A2605" s="187" t="n">
        <x:v>46175</x:v>
      </x:c>
      <x:c r="B2605" s="195" t="n">
        <x:v>4.46</x:v>
      </x:c>
      <x:c r="C2605" s="195" t="n">
        <x:v>2.07</x:v>
      </x:c>
      <x:c r="D2605" s="195" t="n">
        <x:f>IFERROR(B2605-C2605,"")</x:f>
        <x:v>2.39</x:v>
      </x:c>
    </x:row>
    <x:row r="2606">
      <x:c r="A2606" s="187" t="n">
        <x:v>46176</x:v>
      </x:c>
      <x:c r="B2606" s="195" t="n">
        <x:v>4.49</x:v>
      </x:c>
      <x:c r="C2606" s="195" t="n">
        <x:v>2.11</x:v>
      </x:c>
      <x:c r="D2606" s="195" t="n">
        <x:f>IFERROR(B2606-C2606,"")</x:f>
        <x:v>2.3800000000000003</x:v>
      </x:c>
    </x:row>
    <x:row r="2607">
      <x:c r="A2607" s="187" t="n">
        <x:v>46177</x:v>
      </x:c>
      <x:c r="B2607" s="195" t="n">
        <x:v>4.47</x:v>
      </x:c>
      <x:c r="C2607" s="195" t="n">
        <x:v>2.11</x:v>
      </x:c>
      <x:c r="D2607" s="195" t="n">
        <x:f>IFERROR(B2607-C2607,"")</x:f>
        <x:v>2.36</x:v>
      </x:c>
    </x:row>
    <x:row r="2608">
      <x:c r="A2608" s="187" t="n">
        <x:v>46178</x:v>
      </x:c>
      <x:c r="B2608" s="195" t="n">
        <x:v>4.55</x:v>
      </x:c>
      <x:c r="C2608" s="195" t="n">
        <x:v>2.19</x:v>
      </x:c>
      <x:c r="D2608" s="195" t="n">
        <x:f>IFERROR(B2608-C2608,"")</x:f>
        <x:v>2.36</x:v>
      </x:c>
    </x:row>
    <x:row r="2609">
      <x:c r="A2609" s="187" t="n">
        <x:v>46181</x:v>
      </x:c>
      <x:c r="B2609" s="195" t="n">
        <x:v>4.56</x:v>
      </x:c>
      <x:c r="C2609" s="195" t="n">
        <x:v>2.21</x:v>
      </x:c>
      <x:c r="D2609" s="195" t="n">
        <x:f>IFERROR(B2609-C2609,"")</x:f>
        <x:v>2.3499999999999996</x:v>
      </x:c>
    </x:row>
    <x:row r="2610">
      <x:c r="A2610" s="187" t="n">
        <x:v>46182</x:v>
      </x:c>
      <x:c r="B2610" s="195" t="n">
        <x:v>4.53</x:v>
      </x:c>
      <x:c r="C2610" s="195" t="n">
        <x:v>2.2</x:v>
      </x:c>
      <x:c r="D2610" s="195" t="n">
        <x:f>IFERROR(B2610-C2610,"")</x:f>
        <x:v>2.33</x:v>
      </x:c>
    </x:row>
    <x:row r="2611">
      <x:c r="A2611" s="187" t="n">
        <x:v>46183</x:v>
      </x:c>
      <x:c r="B2611" s="195" t="n">
        <x:v>4.55</x:v>
      </x:c>
      <x:c r="C2611" s="195" t="n">
        <x:v>2.21</x:v>
      </x:c>
      <x:c r="D2611" s="195" t="n">
        <x:f>IFERROR(B2611-C2611,"")</x:f>
        <x:v>2.34</x:v>
      </x:c>
    </x:row>
    <x:row r="2612">
      <x:c r="A2612" s="187" t="n">
        <x:v>46184</x:v>
      </x:c>
      <x:c r="B2612" s="195" t="n">
        <x:v>4.45</x:v>
      </x:c>
      <x:c r="C2612" s="195" t="n">
        <x:v>2.16</x:v>
      </x:c>
      <x:c r="D2612" s="195" t="n">
        <x:f>IFERROR(B2612-C2612,"")</x:f>
        <x:v>2.29</x:v>
      </x:c>
    </x:row>
    <x:row r="2613">
      <x:c r="A2613" s="187" t="n">
        <x:v>46185</x:v>
      </x:c>
      <x:c r="B2613" s="195" t="n">
        <x:v>4.48</x:v>
      </x:c>
      <x:c r="C2613" s="195" t="n">
        <x:v>2.17</x:v>
      </x:c>
      <x:c r="D2613" s="195" t="n">
        <x:f>IFERROR(B2613-C2613,"")</x:f>
        <x:v>2.3100000000000005</x:v>
      </x:c>
    </x:row>
    <x:row r="2614">
      <x:c r="A2614" s="187" t="n">
        <x:v>46188</x:v>
      </x:c>
      <x:c r="B2614" s="195" t="n">
        <x:v>4.47</x:v>
      </x:c>
      <x:c r="C2614" s="195" t="n">
        <x:v>2.15</x:v>
      </x:c>
      <x:c r="D2614" s="195" t="n">
        <x:f>IFERROR(B2614-C2614,"")</x:f>
        <x:v>2.32</x:v>
      </x:c>
    </x:row>
    <x:row r="2615">
      <x:c r="A2615" s="187" t="n">
        <x:v>46189</x:v>
      </x:c>
      <x:c r="B2615" s="195" t="n">
        <x:v>4.43</x:v>
      </x:c>
      <x:c r="C2615" s="195" t="n">
        <x:v>2.14</x:v>
      </x:c>
      <x:c r="D2615" s="195" t="n">
        <x:f>IFERROR(B2615-C2615,"")</x:f>
        <x:v>2.2899999999999996</x:v>
      </x:c>
    </x:row>
    <x:row r="2616">
      <x:c r="A2616" s="187" t="n">
        <x:v>46190</x:v>
      </x:c>
      <x:c r="B2616" s="195" t="n">
        <x:v>4.49</x:v>
      </x:c>
      <x:c r="C2616" s="195" t="n">
        <x:v>2.23</x:v>
      </x:c>
      <x:c r="D2616" s="195" t="n">
        <x:f>IFERROR(B2616-C2616,"")</x:f>
        <x:v>2.2600000000000002</x:v>
      </x:c>
    </x:row>
    <x:row r="2617">
      <x:c r="A2617" s="187" t="n">
        <x:v>46191</x:v>
      </x:c>
      <x:c r="B2617" s="195" t="n">
        <x:v>4.46</x:v>
      </x:c>
      <x:c r="C2617" s="195" t="n">
        <x:v>2.21</x:v>
      </x:c>
      <x:c r="D2617" s="195" t="n">
        <x:f>IFERROR(B2617-C2617,"")</x:f>
        <x:v>2.25</x:v>
      </x:c>
    </x:row>
    <x:row r="2618">
      <x:c r="A2618" s="187" t="n">
        <x:v>46195</x:v>
      </x:c>
      <x:c r="B2618" s="195" t="n">
        <x:v>4.51</x:v>
      </x:c>
      <x:c r="C2618" s="195" t="n">
        <x:v>2.28</x:v>
      </x:c>
      <x:c r="D2618" s="195" t="n">
        <x:f>IFERROR(B2618-C2618,"")</x:f>
        <x:v>2.23</x:v>
      </x:c>
    </x:row>
    <x:row r="2619">
      <x:c r="A2619" s="187" t="n">
        <x:v>46196</x:v>
      </x:c>
      <x:c r="B2619" s="195" t="n">
        <x:v>4.5</x:v>
      </x:c>
      <x:c r="C2619" s="195" t="n">
        <x:v>2.29</x:v>
      </x:c>
      <x:c r="D2619" s="195" t="n">
        <x:f>IFERROR(B2619-C2619,"")</x:f>
        <x:v>2.21</x:v>
      </x:c>
    </x:row>
    <x:row r="2620">
      <x:c r="A2620" s="187" t="n">
        <x:v>46197</x:v>
      </x:c>
      <x:c r="B2620" s="195" t="n">
        <x:v>4.41</x:v>
      </x:c>
      <x:c r="C2620" s="195" t="n">
        <x:v>2.23</x:v>
      </x:c>
      <x:c r="D2620" s="195" t="n">
        <x:f>IFERROR(B2620-C2620,"")</x:f>
        <x:v>2.18</x:v>
      </x:c>
    </x:row>
    <x:row r="2621">
      <x:c r="A2621" s="187" t="n">
        <x:v>46198</x:v>
      </x:c>
      <x:c r="B2621" s="195" t="n">
        <x:v>4.4</x:v>
      </x:c>
      <x:c r="C2621" s="195" t="n">
        <x:v>2.19</x:v>
      </x:c>
      <x:c r="D2621" s="195" t="n">
        <x:f>IFERROR(B2621-C2621,"")</x:f>
        <x:v>2.2100000000000004</x:v>
      </x:c>
    </x:row>
    <x:row r="2622">
      <x:c r="A2622" s="187" t="n">
        <x:v>46199</x:v>
      </x:c>
      <x:c r="B2622" s="195" t="n">
        <x:v>4.38</x:v>
      </x:c>
      <x:c r="C2622" s="195" t="n">
        <x:v>2.18</x:v>
      </x:c>
      <x:c r="D2622" s="195" t="n">
        <x:f>IFERROR(B2622-C2622,"")</x:f>
        <x:v>2.1999999999999997</x:v>
      </x:c>
    </x:row>
    <x:row r="2623">
      <x:c r="A2623" s="187" t="n">
        <x:v>46202</x:v>
      </x:c>
      <x:c r="B2623" s="195" t="n">
        <x:v>4.38</x:v>
      </x:c>
      <x:c r="C2623" s="195" t="n">
        <x:v>2.16</x:v>
      </x:c>
      <x:c r="D2623" s="195" t="n">
        <x:f>IFERROR(B2623-C2623,"")</x:f>
        <x:v>2.2199999999999998</x:v>
      </x:c>
    </x:row>
    <x:row r="2624">
      <x:c r="A2624" s="187" t="n">
        <x:v>46203</x:v>
      </x:c>
      <x:c r="B2624" s="195" t="n">
        <x:v>4.44</x:v>
      </x:c>
      <x:c r="C2624" s="195" t="n">
        <x:v>2.2</x:v>
      </x:c>
      <x:c r="D2624" s="195" t="n">
        <x:f>IFERROR(B2624-C2624,"")</x:f>
        <x:v>2.24</x:v>
      </x:c>
    </x:row>
    <x:row r="2625">
      <x:c r="A2625" s="187" t="n">
        <x:v>46204</x:v>
      </x:c>
      <x:c r="B2625" s="195" t="n">
        <x:v>4.48</x:v>
      </x:c>
      <x:c r="C2625" s="195" t="n">
        <x:v>2.25</x:v>
      </x:c>
      <x:c r="D2625" s="195" t="n">
        <x:f>IFERROR(B2625-C2625,"")</x:f>
        <x:v>2.2300000000000004</x:v>
      </x:c>
    </x:row>
    <x:row r="2626">
      <x:c r="A2626" s="187" t="n">
        <x:v>46205</x:v>
      </x:c>
      <x:c r="B2626" s="195" t="n">
        <x:v>4.49</x:v>
      </x:c>
      <x:c r="C2626" s="195" t="n">
        <x:v>2.26</x:v>
      </x:c>
      <x:c r="D2626" s="195" t="n">
        <x:f>IFERROR(B2626-C2626,"")</x:f>
        <x:v>2.2300000000000004</x:v>
      </x:c>
    </x:row>
    <x:row r="2627">
      <x:c r="A2627" s="187" t="n">
        <x:v>46209</x:v>
      </x:c>
      <x:c r="B2627" s="195" t="n">
        <x:v>4.48</x:v>
      </x:c>
      <x:c r="C2627" s="195" t="n">
        <x:v>2.24</x:v>
      </x:c>
      <x:c r="D2627" s="195" t="n">
        <x:f>IFERROR(B2627-C2627,"")</x:f>
        <x:v>2.24</x:v>
      </x:c>
    </x:row>
    <x:row r="2628">
      <x:c r="A2628" s="187" t="n">
        <x:v>46210</x:v>
      </x:c>
      <x:c r="B2628" s="195" t="n">
        <x:v>4.55</x:v>
      </x:c>
      <x:c r="C2628" s="195" t="n">
        <x:v>2.3</x:v>
      </x:c>
      <x:c r="D2628" s="195" t="n">
        <x:f>IFERROR(B2628-C2628,"")</x:f>
        <x:v>2.25</x:v>
      </x:c>
    </x:row>
    <x:row r="2629">
      <x:c r="A2629" s="187" t="n">
        <x:v>46211</x:v>
      </x:c>
      <x:c r="B2629" s="195" t="n">
        <x:v>4.56</x:v>
      </x:c>
      <x:c r="C2629" s="195" t="n">
        <x:v>2.31</x:v>
      </x:c>
      <x:c r="D2629" s="195" t="n">
        <x:f>IFERROR(B2629-C2629,"")</x:f>
        <x:v>2.2499999999999996</x:v>
      </x:c>
    </x:row>
    <x:row r="2630">
      <x:c r="A2630" s="187" t="n">
        <x:v>46212</x:v>
      </x:c>
      <x:c r="B2630" s="195" t="n">
        <x:v>4.54</x:v>
      </x:c>
      <x:c r="C2630" s="195" t="n">
        <x:v>2.31</x:v>
      </x:c>
      <x:c r="D2630" s="195" t="n">
        <x:f>IFERROR(B2630-C2630,"")</x:f>
        <x:v>2.23</x:v>
      </x:c>
    </x:row>
    <x:row r="2631">
      <x:c r="A2631" s="187" t="n">
        <x:v>46213</x:v>
      </x:c>
      <x:c r="B2631" s="195" t="n">
        <x:v>4.56</x:v>
      </x:c>
      <x:c r="C2631" s="195" t="n">
        <x:v>2.32</x:v>
      </x:c>
      <x:c r="D2631" s="195" t="n">
        <x:f>IFERROR(B2631-C2631,"")</x:f>
        <x:v>2.2399999999999998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2a476e57f64e40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</x:cols>
  <x:sheetData>
    <x:row r="1" ht="48" hidden="0" customHeight="1">
      <x:c r="A1" s="185" t="str">
        <x:v>date</x:v>
      </x:c>
      <x:c r="B1" s="185" t="str">
        <x:v>broad_dollar_index</x:v>
      </x:c>
    </x:row>
    <x:row r="2" ht="15" hidden="0" customHeight="1">
      <x:c r="A2" s="187" t="n">
        <x:v>42370</x:v>
      </x:c>
      <x:c r="B2" s="197"/>
    </x:row>
    <x:row r="3" ht="15" hidden="0" customHeight="1">
      <x:c r="A3" s="187" t="n">
        <x:v>42373</x:v>
      </x:c>
      <x:c r="B3" s="197" t="n">
        <x:v>114.1595</x:v>
      </x:c>
    </x:row>
    <x:row r="4" ht="15" hidden="0" customHeight="1">
      <x:c r="A4" s="187" t="n">
        <x:v>42374</x:v>
      </x:c>
      <x:c r="B4" s="197" t="n">
        <x:v>114.2649</x:v>
      </x:c>
    </x:row>
    <x:row r="5" ht="15" hidden="0" customHeight="1">
      <x:c r="A5" s="187" t="n">
        <x:v>42375</x:v>
      </x:c>
      <x:c r="B5" s="197" t="n">
        <x:v>114.6177</x:v>
      </x:c>
    </x:row>
    <x:row r="6" ht="15" hidden="0" customHeight="1">
      <x:c r="A6" s="187" t="n">
        <x:v>42376</x:v>
      </x:c>
      <x:c r="B6" s="197" t="n">
        <x:v>114.6516</x:v>
      </x:c>
    </x:row>
    <x:row r="7" ht="15" hidden="0" customHeight="1">
      <x:c r="A7" s="187" t="n">
        <x:v>42377</x:v>
      </x:c>
      <x:c r="B7" s="197" t="n">
        <x:v>115.0095</x:v>
      </x:c>
    </x:row>
    <x:row r="8" ht="15" hidden="0" customHeight="1">
      <x:c r="A8" s="187" t="n">
        <x:v>42380</x:v>
      </x:c>
      <x:c r="B8" s="197" t="n">
        <x:v>115.0139</x:v>
      </x:c>
    </x:row>
    <x:row r="9" ht="15" hidden="0" customHeight="1">
      <x:c r="A9" s="187" t="n">
        <x:v>42381</x:v>
      </x:c>
      <x:c r="B9" s="197" t="n">
        <x:v>115.3128</x:v>
      </x:c>
    </x:row>
    <x:row r="10" ht="15" hidden="0" customHeight="1">
      <x:c r="A10" s="187" t="n">
        <x:v>42382</x:v>
      </x:c>
      <x:c r="B10" s="197" t="n">
        <x:v>115.1425</x:v>
      </x:c>
    </x:row>
    <x:row r="11" ht="15" hidden="0" customHeight="1">
      <x:c r="A11" s="187" t="n">
        <x:v>42383</x:v>
      </x:c>
      <x:c r="B11" s="197" t="n">
        <x:v>115.3846</x:v>
      </x:c>
    </x:row>
    <x:row r="12" ht="15" hidden="0" customHeight="1">
      <x:c r="A12" s="187" t="n">
        <x:v>42384</x:v>
      </x:c>
      <x:c r="B12" s="197" t="n">
        <x:v>115.7404</x:v>
      </x:c>
    </x:row>
    <x:row r="13" ht="15" hidden="0" customHeight="1">
      <x:c r="A13" s="187" t="n">
        <x:v>42387</x:v>
      </x:c>
      <x:c r="B13" s="197"/>
    </x:row>
    <x:row r="14" ht="15" hidden="0" customHeight="1">
      <x:c r="A14" s="187" t="n">
        <x:v>42388</x:v>
      </x:c>
      <x:c r="B14" s="197" t="n">
        <x:v>115.8155</x:v>
      </x:c>
    </x:row>
    <x:row r="15" ht="15" hidden="0" customHeight="1">
      <x:c r="A15" s="187" t="n">
        <x:v>42389</x:v>
      </x:c>
      <x:c r="B15" s="197" t="n">
        <x:v>116.3498</x:v>
      </x:c>
    </x:row>
    <x:row r="16" ht="15" hidden="0" customHeight="1">
      <x:c r="A16" s="187" t="n">
        <x:v>42390</x:v>
      </x:c>
      <x:c r="B16" s="197" t="n">
        <x:v>115.9833</x:v>
      </x:c>
    </x:row>
    <x:row r="17" ht="15" hidden="0" customHeight="1">
      <x:c r="A17" s="187" t="n">
        <x:v>42391</x:v>
      </x:c>
      <x:c r="B17" s="197"/>
    </x:row>
    <x:row r="18" ht="15" hidden="0" customHeight="1">
      <x:c r="A18" s="187" t="n">
        <x:v>42394</x:v>
      </x:c>
      <x:c r="B18" s="197"/>
    </x:row>
    <x:row r="19" ht="15" hidden="0" customHeight="1">
      <x:c r="A19" s="187" t="n">
        <x:v>42395</x:v>
      </x:c>
      <x:c r="B19" s="197"/>
    </x:row>
    <x:row r="20" ht="15" hidden="0" customHeight="1">
      <x:c r="A20" s="187" t="n">
        <x:v>42396</x:v>
      </x:c>
      <x:c r="B20" s="197" t="n">
        <x:v>115.5087</x:v>
      </x:c>
    </x:row>
    <x:row r="21" ht="15" hidden="0" customHeight="1">
      <x:c r="A21" s="187" t="n">
        <x:v>42397</x:v>
      </x:c>
      <x:c r="B21" s="197" t="n">
        <x:v>115.2224</x:v>
      </x:c>
    </x:row>
    <x:row r="22" ht="15" hidden="0" customHeight="1">
      <x:c r="A22" s="187" t="n">
        <x:v>42398</x:v>
      </x:c>
      <x:c r="B22" s="197" t="n">
        <x:v>115.5731</x:v>
      </x:c>
    </x:row>
    <x:row r="23" ht="15" hidden="0" customHeight="1">
      <x:c r="A23" s="187" t="n">
        <x:v>42401</x:v>
      </x:c>
      <x:c r="B23" s="197" t="n">
        <x:v>115.3331</x:v>
      </x:c>
    </x:row>
    <x:row r="24" ht="15" hidden="0" customHeight="1">
      <x:c r="A24" s="187" t="n">
        <x:v>42402</x:v>
      </x:c>
      <x:c r="B24" s="197" t="n">
        <x:v>115.553</x:v>
      </x:c>
    </x:row>
    <x:row r="25" ht="15" hidden="0" customHeight="1">
      <x:c r="A25" s="187" t="n">
        <x:v>42403</x:v>
      </x:c>
      <x:c r="B25" s="197" t="n">
        <x:v>114.6144</x:v>
      </x:c>
    </x:row>
    <x:row r="26" ht="15" hidden="0" customHeight="1">
      <x:c r="A26" s="187" t="n">
        <x:v>42404</x:v>
      </x:c>
      <x:c r="B26" s="197" t="n">
        <x:v>113.6012</x:v>
      </x:c>
    </x:row>
    <x:row r="27" ht="15" hidden="0" customHeight="1">
      <x:c r="A27" s="187" t="n">
        <x:v>42405</x:v>
      </x:c>
      <x:c r="B27" s="197" t="n">
        <x:v>114.2935</x:v>
      </x:c>
    </x:row>
    <x:row r="28" ht="15" hidden="0" customHeight="1">
      <x:c r="A28" s="187" t="n">
        <x:v>42408</x:v>
      </x:c>
      <x:c r="B28" s="197" t="n">
        <x:v>114.4351</x:v>
      </x:c>
    </x:row>
    <x:row r="29" ht="15" hidden="0" customHeight="1">
      <x:c r="A29" s="187" t="n">
        <x:v>42409</x:v>
      </x:c>
      <x:c r="B29" s="197" t="n">
        <x:v>114.127</x:v>
      </x:c>
    </x:row>
    <x:row r="30" ht="15" hidden="0" customHeight="1">
      <x:c r="A30" s="187" t="n">
        <x:v>42410</x:v>
      </x:c>
      <x:c r="B30" s="197" t="n">
        <x:v>114.2877</x:v>
      </x:c>
    </x:row>
    <x:row r="31" ht="15" hidden="0" customHeight="1">
      <x:c r="A31" s="187" t="n">
        <x:v>42411</x:v>
      </x:c>
      <x:c r="B31" s="197" t="n">
        <x:v>114.1845</x:v>
      </x:c>
    </x:row>
    <x:row r="32" ht="15" hidden="0" customHeight="1">
      <x:c r="A32" s="187" t="n">
        <x:v>42412</x:v>
      </x:c>
      <x:c r="B32" s="197" t="n">
        <x:v>114.2992</x:v>
      </x:c>
    </x:row>
    <x:row r="33" ht="15" hidden="0" customHeight="1">
      <x:c r="A33" s="187" t="n">
        <x:v>42415</x:v>
      </x:c>
      <x:c r="B33" s="197"/>
    </x:row>
    <x:row r="34" ht="15" hidden="0" customHeight="1">
      <x:c r="A34" s="187" t="n">
        <x:v>42416</x:v>
      </x:c>
      <x:c r="B34" s="197" t="n">
        <x:v>114.4905</x:v>
      </x:c>
    </x:row>
    <x:row r="35" ht="15" hidden="0" customHeight="1">
      <x:c r="A35" s="187" t="n">
        <x:v>42417</x:v>
      </x:c>
      <x:c r="B35" s="197" t="n">
        <x:v>113.8634</x:v>
      </x:c>
    </x:row>
    <x:row r="36" ht="15" hidden="0" customHeight="1">
      <x:c r="A36" s="187" t="n">
        <x:v>42418</x:v>
      </x:c>
      <x:c r="B36" s="197" t="n">
        <x:v>113.8897</x:v>
      </x:c>
    </x:row>
    <x:row r="37" ht="15" hidden="0" customHeight="1">
      <x:c r="A37" s="187" t="n">
        <x:v>42419</x:v>
      </x:c>
      <x:c r="B37" s="197" t="n">
        <x:v>113.9558</x:v>
      </x:c>
    </x:row>
    <x:row r="38" ht="15" hidden="0" customHeight="1">
      <x:c r="A38" s="187" t="n">
        <x:v>42422</x:v>
      </x:c>
      <x:c r="B38" s="197" t="n">
        <x:v>113.8232</x:v>
      </x:c>
    </x:row>
    <x:row r="39" ht="15" hidden="0" customHeight="1">
      <x:c r="A39" s="187" t="n">
        <x:v>42423</x:v>
      </x:c>
      <x:c r="B39" s="197" t="n">
        <x:v>114.177</x:v>
      </x:c>
    </x:row>
    <x:row r="40" ht="15" hidden="0" customHeight="1">
      <x:c r="A40" s="187" t="n">
        <x:v>42424</x:v>
      </x:c>
      <x:c r="B40" s="197" t="n">
        <x:v>114.1716</x:v>
      </x:c>
    </x:row>
    <x:row r="41">
      <x:c r="A41" s="187" t="n">
        <x:v>42425</x:v>
      </x:c>
      <x:c r="B41" s="197" t="n">
        <x:v>113.9222</x:v>
      </x:c>
    </x:row>
    <x:row r="42">
      <x:c r="A42" s="187" t="n">
        <x:v>42426</x:v>
      </x:c>
      <x:c r="B42" s="197" t="n">
        <x:v>114.3708</x:v>
      </x:c>
    </x:row>
    <x:row r="43">
      <x:c r="A43" s="187" t="n">
        <x:v>42429</x:v>
      </x:c>
      <x:c r="B43" s="197" t="n">
        <x:v>114.2418</x:v>
      </x:c>
    </x:row>
    <x:row r="44">
      <x:c r="A44" s="187" t="n">
        <x:v>42430</x:v>
      </x:c>
      <x:c r="B44" s="197" t="n">
        <x:v>113.9265</x:v>
      </x:c>
    </x:row>
    <x:row r="45">
      <x:c r="A45" s="187" t="n">
        <x:v>42431</x:v>
      </x:c>
      <x:c r="B45" s="197" t="n">
        <x:v>113.7965</x:v>
      </x:c>
    </x:row>
    <x:row r="46">
      <x:c r="A46" s="187" t="n">
        <x:v>42432</x:v>
      </x:c>
      <x:c r="B46" s="197" t="n">
        <x:v>113.2482</x:v>
      </x:c>
    </x:row>
    <x:row r="47">
      <x:c r="A47" s="187" t="n">
        <x:v>42433</x:v>
      </x:c>
      <x:c r="B47" s="197" t="n">
        <x:v>112.6387</x:v>
      </x:c>
    </x:row>
    <x:row r="48">
      <x:c r="A48" s="187" t="n">
        <x:v>42436</x:v>
      </x:c>
      <x:c r="B48" s="197" t="n">
        <x:v>112.6219</x:v>
      </x:c>
    </x:row>
    <x:row r="49">
      <x:c r="A49" s="187" t="n">
        <x:v>42437</x:v>
      </x:c>
      <x:c r="B49" s="197" t="n">
        <x:v>112.8465</x:v>
      </x:c>
    </x:row>
    <x:row r="50">
      <x:c r="A50" s="187" t="n">
        <x:v>42438</x:v>
      </x:c>
      <x:c r="B50" s="197" t="n">
        <x:v>112.4268</x:v>
      </x:c>
    </x:row>
    <x:row r="51">
      <x:c r="A51" s="187" t="n">
        <x:v>42439</x:v>
      </x:c>
      <x:c r="B51" s="197" t="n">
        <x:v>112.4191</x:v>
      </x:c>
    </x:row>
    <x:row r="52">
      <x:c r="A52" s="187" t="n">
        <x:v>42440</x:v>
      </x:c>
      <x:c r="B52" s="197" t="n">
        <x:v>111.741</x:v>
      </x:c>
    </x:row>
    <x:row r="53">
      <x:c r="A53" s="187" t="n">
        <x:v>42443</x:v>
      </x:c>
      <x:c r="B53" s="197" t="n">
        <x:v>112.1688</x:v>
      </x:c>
    </x:row>
    <x:row r="54">
      <x:c r="A54" s="187" t="n">
        <x:v>42444</x:v>
      </x:c>
      <x:c r="B54" s="197" t="n">
        <x:v>112.5545</x:v>
      </x:c>
    </x:row>
    <x:row r="55">
      <x:c r="A55" s="187" t="n">
        <x:v>42445</x:v>
      </x:c>
      <x:c r="B55" s="197" t="n">
        <x:v>112.7759</x:v>
      </x:c>
    </x:row>
    <x:row r="56">
      <x:c r="A56" s="187" t="n">
        <x:v>42446</x:v>
      </x:c>
      <x:c r="B56" s="197" t="n">
        <x:v>110.445</x:v>
      </x:c>
    </x:row>
    <x:row r="57">
      <x:c r="A57" s="187" t="n">
        <x:v>42447</x:v>
      </x:c>
      <x:c r="B57" s="197" t="n">
        <x:v>110.4002</x:v>
      </x:c>
    </x:row>
    <x:row r="58">
      <x:c r="A58" s="187" t="n">
        <x:v>42450</x:v>
      </x:c>
      <x:c r="B58" s="197" t="n">
        <x:v>110.737</x:v>
      </x:c>
    </x:row>
    <x:row r="59">
      <x:c r="A59" s="187" t="n">
        <x:v>42451</x:v>
      </x:c>
      <x:c r="B59" s="197" t="n">
        <x:v>110.7877</x:v>
      </x:c>
    </x:row>
    <x:row r="60">
      <x:c r="A60" s="187" t="n">
        <x:v>42452</x:v>
      </x:c>
      <x:c r="B60" s="197" t="n">
        <x:v>111.5473</x:v>
      </x:c>
    </x:row>
    <x:row r="61">
      <x:c r="A61" s="187" t="n">
        <x:v>42453</x:v>
      </x:c>
      <x:c r="B61" s="197" t="n">
        <x:v>111.816</x:v>
      </x:c>
    </x:row>
    <x:row r="62">
      <x:c r="A62" s="187" t="n">
        <x:v>42454</x:v>
      </x:c>
      <x:c r="B62" s="197" t="n">
        <x:v>111.7698</x:v>
      </x:c>
    </x:row>
    <x:row r="63">
      <x:c r="A63" s="187" t="n">
        <x:v>42457</x:v>
      </x:c>
      <x:c r="B63" s="197" t="n">
        <x:v>111.3578</x:v>
      </x:c>
    </x:row>
    <x:row r="64">
      <x:c r="A64" s="187" t="n">
        <x:v>42458</x:v>
      </x:c>
      <x:c r="B64" s="197" t="n">
        <x:v>111.3736</x:v>
      </x:c>
    </x:row>
    <x:row r="65">
      <x:c r="A65" s="187" t="n">
        <x:v>42459</x:v>
      </x:c>
      <x:c r="B65" s="197" t="n">
        <x:v>110.2301</x:v>
      </x:c>
    </x:row>
    <x:row r="66">
      <x:c r="A66" s="187" t="n">
        <x:v>42460</x:v>
      </x:c>
      <x:c r="B66" s="197" t="n">
        <x:v>109.9191</x:v>
      </x:c>
    </x:row>
    <x:row r="67">
      <x:c r="A67" s="187" t="n">
        <x:v>42461</x:v>
      </x:c>
      <x:c r="B67" s="197" t="n">
        <x:v>110.2977</x:v>
      </x:c>
    </x:row>
    <x:row r="68">
      <x:c r="A68" s="187" t="n">
        <x:v>42464</x:v>
      </x:c>
      <x:c r="B68" s="197" t="n">
        <x:v>110.3987</x:v>
      </x:c>
    </x:row>
    <x:row r="69">
      <x:c r="A69" s="187" t="n">
        <x:v>42465</x:v>
      </x:c>
      <x:c r="B69" s="197" t="n">
        <x:v>110.9478</x:v>
      </x:c>
    </x:row>
    <x:row r="70">
      <x:c r="A70" s="187" t="n">
        <x:v>42466</x:v>
      </x:c>
      <x:c r="B70" s="197" t="n">
        <x:v>110.5347</x:v>
      </x:c>
    </x:row>
    <x:row r="71">
      <x:c r="A71" s="187" t="n">
        <x:v>42467</x:v>
      </x:c>
      <x:c r="B71" s="197" t="n">
        <x:v>110.8876</x:v>
      </x:c>
    </x:row>
    <x:row r="72">
      <x:c r="A72" s="187" t="n">
        <x:v>42468</x:v>
      </x:c>
      <x:c r="B72" s="197" t="n">
        <x:v>110.4213</x:v>
      </x:c>
    </x:row>
    <x:row r="73">
      <x:c r="A73" s="187" t="n">
        <x:v>42471</x:v>
      </x:c>
      <x:c r="B73" s="197" t="n">
        <x:v>109.9758</x:v>
      </x:c>
    </x:row>
    <x:row r="74">
      <x:c r="A74" s="187" t="n">
        <x:v>42472</x:v>
      </x:c>
      <x:c r="B74" s="197" t="n">
        <x:v>109.816</x:v>
      </x:c>
    </x:row>
    <x:row r="75">
      <x:c r="A75" s="187" t="n">
        <x:v>42473</x:v>
      </x:c>
      <x:c r="B75" s="197" t="n">
        <x:v>110.1436</x:v>
      </x:c>
    </x:row>
    <x:row r="76">
      <x:c r="A76" s="187" t="n">
        <x:v>42474</x:v>
      </x:c>
      <x:c r="B76" s="197" t="n">
        <x:v>110.1691</x:v>
      </x:c>
    </x:row>
    <x:row r="77">
      <x:c r="A77" s="187" t="n">
        <x:v>42475</x:v>
      </x:c>
      <x:c r="B77" s="197" t="n">
        <x:v>110.1933</x:v>
      </x:c>
    </x:row>
    <x:row r="78">
      <x:c r="A78" s="187" t="n">
        <x:v>42478</x:v>
      </x:c>
      <x:c r="B78" s="197" t="n">
        <x:v>109.9892</x:v>
      </x:c>
    </x:row>
    <x:row r="79">
      <x:c r="A79" s="187" t="n">
        <x:v>42479</x:v>
      </x:c>
      <x:c r="B79" s="197" t="n">
        <x:v>109.2782</x:v>
      </x:c>
    </x:row>
    <x:row r="80">
      <x:c r="A80" s="187" t="n">
        <x:v>42480</x:v>
      </x:c>
      <x:c r="B80" s="197" t="n">
        <x:v>109.3926</x:v>
      </x:c>
    </x:row>
    <x:row r="81">
      <x:c r="A81" s="187" t="n">
        <x:v>42481</x:v>
      </x:c>
      <x:c r="B81" s="197" t="n">
        <x:v>109.8533</x:v>
      </x:c>
    </x:row>
    <x:row r="82">
      <x:c r="A82" s="187" t="n">
        <x:v>42482</x:v>
      </x:c>
      <x:c r="B82" s="197" t="n">
        <x:v>110.2331</x:v>
      </x:c>
    </x:row>
    <x:row r="83">
      <x:c r="A83" s="187" t="n">
        <x:v>42485</x:v>
      </x:c>
      <x:c r="B83" s="197" t="n">
        <x:v>110.1865</x:v>
      </x:c>
    </x:row>
    <x:row r="84">
      <x:c r="A84" s="187" t="n">
        <x:v>42486</x:v>
      </x:c>
      <x:c r="B84" s="197" t="n">
        <x:v>109.7496</x:v>
      </x:c>
    </x:row>
    <x:row r="85">
      <x:c r="A85" s="187" t="n">
        <x:v>42487</x:v>
      </x:c>
      <x:c r="B85" s="197" t="n">
        <x:v>109.8483</x:v>
      </x:c>
    </x:row>
    <x:row r="86">
      <x:c r="A86" s="187" t="n">
        <x:v>42488</x:v>
      </x:c>
      <x:c r="B86" s="197" t="n">
        <x:v>109.2148</x:v>
      </x:c>
    </x:row>
    <x:row r="87">
      <x:c r="A87" s="187" t="n">
        <x:v>42489</x:v>
      </x:c>
      <x:c r="B87" s="197" t="n">
        <x:v>108.8274</x:v>
      </x:c>
    </x:row>
    <x:row r="88">
      <x:c r="A88" s="187" t="n">
        <x:v>42492</x:v>
      </x:c>
      <x:c r="B88" s="197" t="n">
        <x:v>108.671</x:v>
      </x:c>
    </x:row>
    <x:row r="89">
      <x:c r="A89" s="187" t="n">
        <x:v>42493</x:v>
      </x:c>
      <x:c r="B89" s="197" t="n">
        <x:v>109.3613</x:v>
      </x:c>
    </x:row>
    <x:row r="90">
      <x:c r="A90" s="187" t="n">
        <x:v>42494</x:v>
      </x:c>
      <x:c r="B90" s="197" t="n">
        <x:v>109.9952</x:v>
      </x:c>
    </x:row>
    <x:row r="91">
      <x:c r="A91" s="187" t="n">
        <x:v>42495</x:v>
      </x:c>
      <x:c r="B91" s="197" t="n">
        <x:v>110.2417</x:v>
      </x:c>
    </x:row>
    <x:row r="92">
      <x:c r="A92" s="187" t="n">
        <x:v>42496</x:v>
      </x:c>
      <x:c r="B92" s="197" t="n">
        <x:v>110.3801</x:v>
      </x:c>
    </x:row>
    <x:row r="93">
      <x:c r="A93" s="187" t="n">
        <x:v>42499</x:v>
      </x:c>
      <x:c r="B93" s="197" t="n">
        <x:v>110.9466</x:v>
      </x:c>
    </x:row>
    <x:row r="94">
      <x:c r="A94" s="187" t="n">
        <x:v>42500</x:v>
      </x:c>
      <x:c r="B94" s="197" t="n">
        <x:v>110.8225</x:v>
      </x:c>
    </x:row>
    <x:row r="95">
      <x:c r="A95" s="187" t="n">
        <x:v>42501</x:v>
      </x:c>
      <x:c r="B95" s="197" t="n">
        <x:v>110.2806</x:v>
      </x:c>
    </x:row>
    <x:row r="96">
      <x:c r="A96" s="187" t="n">
        <x:v>42502</x:v>
      </x:c>
      <x:c r="B96" s="197" t="n">
        <x:v>110.6935</x:v>
      </x:c>
    </x:row>
    <x:row r="97">
      <x:c r="A97" s="187" t="n">
        <x:v>42503</x:v>
      </x:c>
      <x:c r="B97" s="197" t="n">
        <x:v>111.2521</x:v>
      </x:c>
    </x:row>
    <x:row r="98">
      <x:c r="A98" s="187" t="n">
        <x:v>42506</x:v>
      </x:c>
      <x:c r="B98" s="197" t="n">
        <x:v>111.1217</x:v>
      </x:c>
    </x:row>
    <x:row r="99">
      <x:c r="A99" s="187" t="n">
        <x:v>42507</x:v>
      </x:c>
      <x:c r="B99" s="197" t="n">
        <x:v>111.0867</x:v>
      </x:c>
    </x:row>
    <x:row r="100">
      <x:c r="A100" s="187" t="n">
        <x:v>42508</x:v>
      </x:c>
      <x:c r="B100" s="197" t="n">
        <x:v>111.4995</x:v>
      </x:c>
    </x:row>
    <x:row r="101">
      <x:c r="A101" s="187" t="n">
        <x:v>42509</x:v>
      </x:c>
      <x:c r="B101" s="197" t="n">
        <x:v>112.2331</x:v>
      </x:c>
    </x:row>
    <x:row r="102">
      <x:c r="A102" s="187" t="n">
        <x:v>42510</x:v>
      </x:c>
      <x:c r="B102" s="197" t="n">
        <x:v>112.1822</x:v>
      </x:c>
    </x:row>
    <x:row r="103">
      <x:c r="A103" s="187" t="n">
        <x:v>42513</x:v>
      </x:c>
      <x:c r="B103" s="197" t="n">
        <x:v>112.284</x:v>
      </x:c>
    </x:row>
    <x:row r="104">
      <x:c r="A104" s="187" t="n">
        <x:v>42514</x:v>
      </x:c>
      <x:c r="B104" s="197" t="n">
        <x:v>112.2912</x:v>
      </x:c>
    </x:row>
    <x:row r="105">
      <x:c r="A105" s="187" t="n">
        <x:v>42515</x:v>
      </x:c>
      <x:c r="B105" s="197" t="n">
        <x:v>112.2001</x:v>
      </x:c>
    </x:row>
    <x:row r="106">
      <x:c r="A106" s="187" t="n">
        <x:v>42516</x:v>
      </x:c>
      <x:c r="B106" s="197" t="n">
        <x:v>111.8979</x:v>
      </x:c>
    </x:row>
    <x:row r="107">
      <x:c r="A107" s="187" t="n">
        <x:v>42517</x:v>
      </x:c>
      <x:c r="B107" s="197" t="n">
        <x:v>112.0822</x:v>
      </x:c>
    </x:row>
    <x:row r="108">
      <x:c r="A108" s="187" t="n">
        <x:v>42520</x:v>
      </x:c>
      <x:c r="B108" s="197"/>
    </x:row>
    <x:row r="109">
      <x:c r="A109" s="187" t="n">
        <x:v>42521</x:v>
      </x:c>
      <x:c r="B109" s="197" t="n">
        <x:v>112.4276</x:v>
      </x:c>
    </x:row>
    <x:row r="110">
      <x:c r="A110" s="187" t="n">
        <x:v>42522</x:v>
      </x:c>
      <x:c r="B110" s="197" t="n">
        <x:v>112.462</x:v>
      </x:c>
    </x:row>
    <x:row r="111">
      <x:c r="A111" s="187" t="n">
        <x:v>42523</x:v>
      </x:c>
      <x:c r="B111" s="197" t="n">
        <x:v>112.4564</x:v>
      </x:c>
    </x:row>
    <x:row r="112">
      <x:c r="A112" s="187" t="n">
        <x:v>42524</x:v>
      </x:c>
      <x:c r="B112" s="197" t="n">
        <x:v>111.4451</x:v>
      </x:c>
    </x:row>
    <x:row r="113">
      <x:c r="A113" s="187" t="n">
        <x:v>42527</x:v>
      </x:c>
      <x:c r="B113" s="197" t="n">
        <x:v>111.2295</x:v>
      </x:c>
    </x:row>
    <x:row r="114">
      <x:c r="A114" s="187" t="n">
        <x:v>42528</x:v>
      </x:c>
      <x:c r="B114" s="197" t="n">
        <x:v>110.8378</x:v>
      </x:c>
    </x:row>
    <x:row r="115">
      <x:c r="A115" s="187" t="n">
        <x:v>42529</x:v>
      </x:c>
      <x:c r="B115" s="197" t="n">
        <x:v>110.1916</x:v>
      </x:c>
    </x:row>
    <x:row r="116">
      <x:c r="A116" s="187" t="n">
        <x:v>42530</x:v>
      </x:c>
      <x:c r="B116" s="197" t="n">
        <x:v>110.6168</x:v>
      </x:c>
    </x:row>
    <x:row r="117">
      <x:c r="A117" s="187" t="n">
        <x:v>42531</x:v>
      </x:c>
      <x:c r="B117" s="197" t="n">
        <x:v>111.1027</x:v>
      </x:c>
    </x:row>
    <x:row r="118">
      <x:c r="A118" s="187" t="n">
        <x:v>42534</x:v>
      </x:c>
      <x:c r="B118" s="197" t="n">
        <x:v>111.5036</x:v>
      </x:c>
    </x:row>
    <x:row r="119">
      <x:c r="A119" s="187" t="n">
        <x:v>42535</x:v>
      </x:c>
      <x:c r="B119" s="197" t="n">
        <x:v>111.9826</x:v>
      </x:c>
    </x:row>
    <x:row r="120">
      <x:c r="A120" s="187" t="n">
        <x:v>42536</x:v>
      </x:c>
      <x:c r="B120" s="197" t="n">
        <x:v>111.7671</x:v>
      </x:c>
    </x:row>
    <x:row r="121">
      <x:c r="A121" s="187" t="n">
        <x:v>42537</x:v>
      </x:c>
      <x:c r="B121" s="197" t="n">
        <x:v>112.2347</x:v>
      </x:c>
    </x:row>
    <x:row r="122">
      <x:c r="A122" s="187" t="n">
        <x:v>42538</x:v>
      </x:c>
      <x:c r="B122" s="197" t="n">
        <x:v>111.5332</x:v>
      </x:c>
    </x:row>
    <x:row r="123">
      <x:c r="A123" s="187" t="n">
        <x:v>42541</x:v>
      </x:c>
      <x:c r="B123" s="197" t="n">
        <x:v>110.8693</x:v>
      </x:c>
    </x:row>
    <x:row r="124">
      <x:c r="A124" s="187" t="n">
        <x:v>42542</x:v>
      </x:c>
      <x:c r="B124" s="197" t="n">
        <x:v>111.0077</x:v>
      </x:c>
    </x:row>
    <x:row r="125">
      <x:c r="A125" s="187" t="n">
        <x:v>42543</x:v>
      </x:c>
      <x:c r="B125" s="197" t="n">
        <x:v>110.7681</x:v>
      </x:c>
    </x:row>
    <x:row r="126">
      <x:c r="A126" s="187" t="n">
        <x:v>42544</x:v>
      </x:c>
      <x:c r="B126" s="197" t="n">
        <x:v>110.262</x:v>
      </x:c>
    </x:row>
    <x:row r="127">
      <x:c r="A127" s="187" t="n">
        <x:v>42545</x:v>
      </x:c>
      <x:c r="B127" s="197" t="n">
        <x:v>112.1355</x:v>
      </x:c>
    </x:row>
    <x:row r="128">
      <x:c r="A128" s="187" t="n">
        <x:v>42548</x:v>
      </x:c>
      <x:c r="B128" s="197" t="n">
        <x:v>113.1301</x:v>
      </x:c>
    </x:row>
    <x:row r="129">
      <x:c r="A129" s="187" t="n">
        <x:v>42549</x:v>
      </x:c>
      <x:c r="B129" s="197" t="n">
        <x:v>112.7545</x:v>
      </x:c>
    </x:row>
    <x:row r="130">
      <x:c r="A130" s="187" t="n">
        <x:v>42550</x:v>
      </x:c>
      <x:c r="B130" s="197" t="n">
        <x:v>111.8597</x:v>
      </x:c>
    </x:row>
    <x:row r="131">
      <x:c r="A131" s="187" t="n">
        <x:v>42551</x:v>
      </x:c>
      <x:c r="B131" s="197" t="n">
        <x:v>112.1618</x:v>
      </x:c>
    </x:row>
    <x:row r="132">
      <x:c r="A132" s="187" t="n">
        <x:v>42552</x:v>
      </x:c>
      <x:c r="B132" s="197" t="n">
        <x:v>111.6509</x:v>
      </x:c>
    </x:row>
    <x:row r="133">
      <x:c r="A133" s="187" t="n">
        <x:v>42555</x:v>
      </x:c>
      <x:c r="B133" s="197"/>
    </x:row>
    <x:row r="134">
      <x:c r="A134" s="187" t="n">
        <x:v>42556</x:v>
      </x:c>
      <x:c r="B134" s="197" t="n">
        <x:v>112.4231</x:v>
      </x:c>
    </x:row>
    <x:row r="135">
      <x:c r="A135" s="187" t="n">
        <x:v>42557</x:v>
      </x:c>
      <x:c r="B135" s="197" t="n">
        <x:v>112.5438</x:v>
      </x:c>
    </x:row>
    <x:row r="136">
      <x:c r="A136" s="187" t="n">
        <x:v>42558</x:v>
      </x:c>
      <x:c r="B136" s="197" t="n">
        <x:v>112.5775</x:v>
      </x:c>
    </x:row>
    <x:row r="137">
      <x:c r="A137" s="187" t="n">
        <x:v>42559</x:v>
      </x:c>
      <x:c r="B137" s="197" t="n">
        <x:v>112.3963</x:v>
      </x:c>
    </x:row>
    <x:row r="138">
      <x:c r="A138" s="187" t="n">
        <x:v>42562</x:v>
      </x:c>
      <x:c r="B138" s="197" t="n">
        <x:v>112.5254</x:v>
      </x:c>
    </x:row>
    <x:row r="139">
      <x:c r="A139" s="187" t="n">
        <x:v>42563</x:v>
      </x:c>
      <x:c r="B139" s="197" t="n">
        <x:v>112.1102</x:v>
      </x:c>
    </x:row>
    <x:row r="140">
      <x:c r="A140" s="187" t="n">
        <x:v>42564</x:v>
      </x:c>
      <x:c r="B140" s="197" t="n">
        <x:v>112.0266</x:v>
      </x:c>
    </x:row>
    <x:row r="141">
      <x:c r="A141" s="187" t="n">
        <x:v>42565</x:v>
      </x:c>
      <x:c r="B141" s="197" t="n">
        <x:v>111.7692</x:v>
      </x:c>
    </x:row>
    <x:row r="142">
      <x:c r="A142" s="187" t="n">
        <x:v>42566</x:v>
      </x:c>
      <x:c r="B142" s="197" t="n">
        <x:v>112.2833</x:v>
      </x:c>
    </x:row>
    <x:row r="143">
      <x:c r="A143" s="187" t="n">
        <x:v>42569</x:v>
      </x:c>
      <x:c r="B143" s="197" t="n">
        <x:v>112.2463</x:v>
      </x:c>
    </x:row>
    <x:row r="144">
      <x:c r="A144" s="187" t="n">
        <x:v>42570</x:v>
      </x:c>
      <x:c r="B144" s="197" t="n">
        <x:v>112.638</x:v>
      </x:c>
    </x:row>
    <x:row r="145">
      <x:c r="A145" s="187" t="n">
        <x:v>42571</x:v>
      </x:c>
      <x:c r="B145" s="197" t="n">
        <x:v>112.6743</x:v>
      </x:c>
    </x:row>
    <x:row r="146">
      <x:c r="A146" s="187" t="n">
        <x:v>42572</x:v>
      </x:c>
      <x:c r="B146" s="197" t="n">
        <x:v>112.6239</x:v>
      </x:c>
    </x:row>
    <x:row r="147">
      <x:c r="A147" s="187" t="n">
        <x:v>42573</x:v>
      </x:c>
      <x:c r="B147" s="197" t="n">
        <x:v>112.989</x:v>
      </x:c>
    </x:row>
    <x:row r="148">
      <x:c r="A148" s="187" t="n">
        <x:v>42576</x:v>
      </x:c>
      <x:c r="B148" s="197" t="n">
        <x:v>113.1784</x:v>
      </x:c>
    </x:row>
    <x:row r="149">
      <x:c r="A149" s="187" t="n">
        <x:v>42577</x:v>
      </x:c>
      <x:c r="B149" s="197" t="n">
        <x:v>113.0593</x:v>
      </x:c>
    </x:row>
    <x:row r="150">
      <x:c r="A150" s="187" t="n">
        <x:v>42578</x:v>
      </x:c>
      <x:c r="B150" s="197" t="n">
        <x:v>113.217</x:v>
      </x:c>
    </x:row>
    <x:row r="151">
      <x:c r="A151" s="187" t="n">
        <x:v>42579</x:v>
      </x:c>
      <x:c r="B151" s="197" t="n">
        <x:v>112.7393</x:v>
      </x:c>
    </x:row>
    <x:row r="152">
      <x:c r="A152" s="187" t="n">
        <x:v>42580</x:v>
      </x:c>
      <x:c r="B152" s="197" t="n">
        <x:v>111.874</x:v>
      </x:c>
    </x:row>
    <x:row r="153">
      <x:c r="A153" s="187" t="n">
        <x:v>42583</x:v>
      </x:c>
      <x:c r="B153" s="197" t="n">
        <x:v>111.9757</x:v>
      </x:c>
    </x:row>
    <x:row r="154">
      <x:c r="A154" s="187" t="n">
        <x:v>42584</x:v>
      </x:c>
      <x:c r="B154" s="197" t="n">
        <x:v>111.7124</x:v>
      </x:c>
    </x:row>
    <x:row r="155">
      <x:c r="A155" s="187" t="n">
        <x:v>42585</x:v>
      </x:c>
      <x:c r="B155" s="197" t="n">
        <x:v>111.9419</x:v>
      </x:c>
    </x:row>
    <x:row r="156">
      <x:c r="A156" s="187" t="n">
        <x:v>42586</x:v>
      </x:c>
      <x:c r="B156" s="197" t="n">
        <x:v>111.9149</x:v>
      </x:c>
    </x:row>
    <x:row r="157">
      <x:c r="A157" s="187" t="n">
        <x:v>42587</x:v>
      </x:c>
      <x:c r="B157" s="197" t="n">
        <x:v>112.3589</x:v>
      </x:c>
    </x:row>
    <x:row r="158">
      <x:c r="A158" s="187" t="n">
        <x:v>42590</x:v>
      </x:c>
      <x:c r="B158" s="197" t="n">
        <x:v>112.1456</x:v>
      </x:c>
    </x:row>
    <x:row r="159">
      <x:c r="A159" s="187" t="n">
        <x:v>42591</x:v>
      </x:c>
      <x:c r="B159" s="197" t="n">
        <x:v>111.722</x:v>
      </x:c>
    </x:row>
    <x:row r="160">
      <x:c r="A160" s="187" t="n">
        <x:v>42592</x:v>
      </x:c>
      <x:c r="B160" s="197" t="n">
        <x:v>111.3238</x:v>
      </x:c>
    </x:row>
    <x:row r="161">
      <x:c r="A161" s="187" t="n">
        <x:v>42593</x:v>
      </x:c>
      <x:c r="B161" s="197" t="n">
        <x:v>111.1954</x:v>
      </x:c>
    </x:row>
    <x:row r="162">
      <x:c r="A162" s="187" t="n">
        <x:v>42594</x:v>
      </x:c>
      <x:c r="B162" s="197" t="n">
        <x:v>111.1787</x:v>
      </x:c>
    </x:row>
    <x:row r="163">
      <x:c r="A163" s="187" t="n">
        <x:v>42597</x:v>
      </x:c>
      <x:c r="B163" s="197" t="n">
        <x:v>110.9212</x:v>
      </x:c>
    </x:row>
    <x:row r="164">
      <x:c r="A164" s="187" t="n">
        <x:v>42598</x:v>
      </x:c>
      <x:c r="B164" s="197" t="n">
        <x:v>110.4295</x:v>
      </x:c>
    </x:row>
    <x:row r="165">
      <x:c r="A165" s="187" t="n">
        <x:v>42599</x:v>
      </x:c>
      <x:c r="B165" s="197" t="n">
        <x:v>110.9459</x:v>
      </x:c>
    </x:row>
    <x:row r="166">
      <x:c r="A166" s="187" t="n">
        <x:v>42600</x:v>
      </x:c>
      <x:c r="B166" s="197" t="n">
        <x:v>110.3134</x:v>
      </x:c>
    </x:row>
    <x:row r="167">
      <x:c r="A167" s="187" t="n">
        <x:v>42601</x:v>
      </x:c>
      <x:c r="B167" s="197" t="n">
        <x:v>110.8163</x:v>
      </x:c>
    </x:row>
    <x:row r="168">
      <x:c r="A168" s="187" t="n">
        <x:v>42604</x:v>
      </x:c>
      <x:c r="B168" s="197" t="n">
        <x:v>110.9997</x:v>
      </x:c>
    </x:row>
    <x:row r="169">
      <x:c r="A169" s="187" t="n">
        <x:v>42605</x:v>
      </x:c>
      <x:c r="B169" s="197" t="n">
        <x:v>110.9414</x:v>
      </x:c>
    </x:row>
    <x:row r="170">
      <x:c r="A170" s="187" t="n">
        <x:v>42606</x:v>
      </x:c>
      <x:c r="B170" s="197" t="n">
        <x:v>111.2958</x:v>
      </x:c>
    </x:row>
    <x:row r="171">
      <x:c r="A171" s="187" t="n">
        <x:v>42607</x:v>
      </x:c>
      <x:c r="B171" s="197" t="n">
        <x:v>111.1726</x:v>
      </x:c>
    </x:row>
    <x:row r="172">
      <x:c r="A172" s="187" t="n">
        <x:v>42608</x:v>
      </x:c>
      <x:c r="B172" s="197" t="n">
        <x:v>111.2035</x:v>
      </x:c>
    </x:row>
    <x:row r="173">
      <x:c r="A173" s="187" t="n">
        <x:v>42611</x:v>
      </x:c>
      <x:c r="B173" s="197" t="n">
        <x:v>111.8775</x:v>
      </x:c>
    </x:row>
    <x:row r="174">
      <x:c r="A174" s="187" t="n">
        <x:v>42612</x:v>
      </x:c>
      <x:c r="B174" s="197" t="n">
        <x:v>112.2928</x:v>
      </x:c>
    </x:row>
    <x:row r="175">
      <x:c r="A175" s="187" t="n">
        <x:v>42613</x:v>
      </x:c>
      <x:c r="B175" s="197" t="n">
        <x:v>112.4036</x:v>
      </x:c>
    </x:row>
    <x:row r="176">
      <x:c r="A176" s="187" t="n">
        <x:v>42614</x:v>
      </x:c>
      <x:c r="B176" s="197" t="n">
        <x:v>112.1733</x:v>
      </x:c>
    </x:row>
    <x:row r="177">
      <x:c r="A177" s="187" t="n">
        <x:v>42615</x:v>
      </x:c>
      <x:c r="B177" s="197" t="n">
        <x:v>112.0009</x:v>
      </x:c>
    </x:row>
    <x:row r="178">
      <x:c r="A178" s="187" t="n">
        <x:v>42618</x:v>
      </x:c>
      <x:c r="B178" s="197"/>
    </x:row>
    <x:row r="179">
      <x:c r="A179" s="187" t="n">
        <x:v>42619</x:v>
      </x:c>
      <x:c r="B179" s="197" t="n">
        <x:v>110.9613</x:v>
      </x:c>
    </x:row>
    <x:row r="180">
      <x:c r="A180" s="187" t="n">
        <x:v>42620</x:v>
      </x:c>
      <x:c r="B180" s="197" t="n">
        <x:v>110.9717</x:v>
      </x:c>
    </x:row>
    <x:row r="181">
      <x:c r="A181" s="187" t="n">
        <x:v>42621</x:v>
      </x:c>
      <x:c r="B181" s="197" t="n">
        <x:v>111.2609</x:v>
      </x:c>
    </x:row>
    <x:row r="182">
      <x:c r="A182" s="187" t="n">
        <x:v>42622</x:v>
      </x:c>
      <x:c r="B182" s="197" t="n">
        <x:v>111.9879</x:v>
      </x:c>
    </x:row>
    <x:row r="183">
      <x:c r="A183" s="187" t="n">
        <x:v>42625</x:v>
      </x:c>
      <x:c r="B183" s="197" t="n">
        <x:v>112.1516</x:v>
      </x:c>
    </x:row>
    <x:row r="184">
      <x:c r="A184" s="187" t="n">
        <x:v>42626</x:v>
      </x:c>
      <x:c r="B184" s="197" t="n">
        <x:v>112.5207</x:v>
      </x:c>
    </x:row>
    <x:row r="185">
      <x:c r="A185" s="187" t="n">
        <x:v>42627</x:v>
      </x:c>
      <x:c r="B185" s="197" t="n">
        <x:v>112.4678</x:v>
      </x:c>
    </x:row>
    <x:row r="186">
      <x:c r="A186" s="187" t="n">
        <x:v>42628</x:v>
      </x:c>
      <x:c r="B186" s="197" t="n">
        <x:v>112.4753</x:v>
      </x:c>
    </x:row>
    <x:row r="187">
      <x:c r="A187" s="187" t="n">
        <x:v>42629</x:v>
      </x:c>
      <x:c r="B187" s="197" t="n">
        <x:v>113.1765</x:v>
      </x:c>
    </x:row>
    <x:row r="188">
      <x:c r="A188" s="187" t="n">
        <x:v>42632</x:v>
      </x:c>
      <x:c r="B188" s="197" t="n">
        <x:v>112.903</x:v>
      </x:c>
    </x:row>
    <x:row r="189">
      <x:c r="A189" s="187" t="n">
        <x:v>42633</x:v>
      </x:c>
      <x:c r="B189" s="197" t="n">
        <x:v>113.1848</x:v>
      </x:c>
    </x:row>
    <x:row r="190">
      <x:c r="A190" s="187" t="n">
        <x:v>42634</x:v>
      </x:c>
      <x:c r="B190" s="197" t="n">
        <x:v>112.9842</x:v>
      </x:c>
    </x:row>
    <x:row r="191">
      <x:c r="A191" s="187" t="n">
        <x:v>42635</x:v>
      </x:c>
      <x:c r="B191" s="197" t="n">
        <x:v>112.2592</x:v>
      </x:c>
    </x:row>
    <x:row r="192">
      <x:c r="A192" s="187" t="n">
        <x:v>42636</x:v>
      </x:c>
      <x:c r="B192" s="197" t="n">
        <x:v>112.7166</x:v>
      </x:c>
    </x:row>
    <x:row r="193">
      <x:c r="A193" s="187" t="n">
        <x:v>42639</x:v>
      </x:c>
      <x:c r="B193" s="197" t="n">
        <x:v>112.7112</x:v>
      </x:c>
    </x:row>
    <x:row r="194">
      <x:c r="A194" s="187" t="n">
        <x:v>42640</x:v>
      </x:c>
      <x:c r="B194" s="197" t="n">
        <x:v>112.5515</x:v>
      </x:c>
    </x:row>
    <x:row r="195">
      <x:c r="A195" s="187" t="n">
        <x:v>42641</x:v>
      </x:c>
      <x:c r="B195" s="197" t="n">
        <x:v>112.6283</x:v>
      </x:c>
    </x:row>
    <x:row r="196">
      <x:c r="A196" s="187" t="n">
        <x:v>42642</x:v>
      </x:c>
      <x:c r="B196" s="197" t="n">
        <x:v>112.2879</x:v>
      </x:c>
    </x:row>
    <x:row r="197">
      <x:c r="A197" s="187" t="n">
        <x:v>42643</x:v>
      </x:c>
      <x:c r="B197" s="197" t="n">
        <x:v>112.2795</x:v>
      </x:c>
    </x:row>
    <x:row r="198">
      <x:c r="A198" s="187" t="n">
        <x:v>42646</x:v>
      </x:c>
      <x:c r="B198" s="197" t="n">
        <x:v>112.5077</x:v>
      </x:c>
    </x:row>
    <x:row r="199">
      <x:c r="A199" s="187" t="n">
        <x:v>42647</x:v>
      </x:c>
      <x:c r="B199" s="197" t="n">
        <x:v>112.6579</x:v>
      </x:c>
    </x:row>
    <x:row r="200">
      <x:c r="A200" s="187" t="n">
        <x:v>42648</x:v>
      </x:c>
      <x:c r="B200" s="197" t="n">
        <x:v>112.7946</x:v>
      </x:c>
    </x:row>
    <x:row r="201">
      <x:c r="A201" s="187" t="n">
        <x:v>42649</x:v>
      </x:c>
      <x:c r="B201" s="197" t="n">
        <x:v>113.0066</x:v>
      </x:c>
    </x:row>
    <x:row r="202">
      <x:c r="A202" s="187" t="n">
        <x:v>42650</x:v>
      </x:c>
      <x:c r="B202" s="197" t="n">
        <x:v>113.2915</x:v>
      </x:c>
    </x:row>
    <x:row r="203">
      <x:c r="A203" s="187" t="n">
        <x:v>42653</x:v>
      </x:c>
      <x:c r="B203" s="197"/>
    </x:row>
    <x:row r="204">
      <x:c r="A204" s="187" t="n">
        <x:v>42654</x:v>
      </x:c>
      <x:c r="B204" s="197" t="n">
        <x:v>113.4461</x:v>
      </x:c>
    </x:row>
    <x:row r="205">
      <x:c r="A205" s="187" t="n">
        <x:v>42655</x:v>
      </x:c>
      <x:c r="B205" s="197" t="n">
        <x:v>113.7442</x:v>
      </x:c>
    </x:row>
    <x:row r="206">
      <x:c r="A206" s="187" t="n">
        <x:v>42656</x:v>
      </x:c>
      <x:c r="B206" s="197" t="n">
        <x:v>113.6238</x:v>
      </x:c>
    </x:row>
    <x:row r="207">
      <x:c r="A207" s="187" t="n">
        <x:v>42657</x:v>
      </x:c>
      <x:c r="B207" s="197" t="n">
        <x:v>113.7119</x:v>
      </x:c>
    </x:row>
    <x:row r="208">
      <x:c r="A208" s="187" t="n">
        <x:v>42660</x:v>
      </x:c>
      <x:c r="B208" s="197" t="n">
        <x:v>113.5488</x:v>
      </x:c>
    </x:row>
    <x:row r="209">
      <x:c r="A209" s="187" t="n">
        <x:v>42661</x:v>
      </x:c>
      <x:c r="B209" s="197" t="n">
        <x:v>113.1393</x:v>
      </x:c>
    </x:row>
    <x:row r="210">
      <x:c r="A210" s="187" t="n">
        <x:v>42662</x:v>
      </x:c>
      <x:c r="B210" s="197" t="n">
        <x:v>113.0547</x:v>
      </x:c>
    </x:row>
    <x:row r="211">
      <x:c r="A211" s="187" t="n">
        <x:v>42663</x:v>
      </x:c>
      <x:c r="B211" s="197" t="n">
        <x:v>113.4033</x:v>
      </x:c>
    </x:row>
    <x:row r="212">
      <x:c r="A212" s="187" t="n">
        <x:v>42664</x:v>
      </x:c>
      <x:c r="B212" s="197" t="n">
        <x:v>113.9015</x:v>
      </x:c>
    </x:row>
    <x:row r="213">
      <x:c r="A213" s="187" t="n">
        <x:v>42667</x:v>
      </x:c>
      <x:c r="B213" s="197" t="n">
        <x:v>113.8571</x:v>
      </x:c>
    </x:row>
    <x:row r="214">
      <x:c r="A214" s="187" t="n">
        <x:v>42668</x:v>
      </x:c>
      <x:c r="B214" s="197" t="n">
        <x:v>113.6801</x:v>
      </x:c>
    </x:row>
    <x:row r="215">
      <x:c r="A215" s="187" t="n">
        <x:v>42669</x:v>
      </x:c>
      <x:c r="B215" s="197" t="n">
        <x:v>113.8131</x:v>
      </x:c>
    </x:row>
    <x:row r="216">
      <x:c r="A216" s="187" t="n">
        <x:v>42670</x:v>
      </x:c>
      <x:c r="B216" s="197" t="n">
        <x:v>114.1998</x:v>
      </x:c>
    </x:row>
    <x:row r="217">
      <x:c r="A217" s="187" t="n">
        <x:v>42671</x:v>
      </x:c>
      <x:c r="B217" s="197" t="n">
        <x:v>114.0931</x:v>
      </x:c>
    </x:row>
    <x:row r="218">
      <x:c r="A218" s="187" t="n">
        <x:v>42674</x:v>
      </x:c>
      <x:c r="B218" s="197" t="n">
        <x:v>114.0188</x:v>
      </x:c>
    </x:row>
    <x:row r="219">
      <x:c r="A219" s="187" t="n">
        <x:v>42675</x:v>
      </x:c>
      <x:c r="B219" s="197" t="n">
        <x:v>113.9915</x:v>
      </x:c>
    </x:row>
    <x:row r="220">
      <x:c r="A220" s="187" t="n">
        <x:v>42676</x:v>
      </x:c>
      <x:c r="B220" s="197" t="n">
        <x:v>113.9206</x:v>
      </x:c>
    </x:row>
    <x:row r="221">
      <x:c r="A221" s="187" t="n">
        <x:v>42677</x:v>
      </x:c>
      <x:c r="B221" s="197" t="n">
        <x:v>113.7664</x:v>
      </x:c>
    </x:row>
    <x:row r="222">
      <x:c r="A222" s="187" t="n">
        <x:v>42678</x:v>
      </x:c>
      <x:c r="B222" s="197" t="n">
        <x:v>113.5828</x:v>
      </x:c>
    </x:row>
    <x:row r="223">
      <x:c r="A223" s="187" t="n">
        <x:v>42681</x:v>
      </x:c>
      <x:c r="B223" s="197" t="n">
        <x:v>113.5443</x:v>
      </x:c>
    </x:row>
    <x:row r="224">
      <x:c r="A224" s="187" t="n">
        <x:v>42682</x:v>
      </x:c>
      <x:c r="B224" s="197" t="n">
        <x:v>113.3017</x:v>
      </x:c>
    </x:row>
    <x:row r="225">
      <x:c r="A225" s="187" t="n">
        <x:v>42683</x:v>
      </x:c>
      <x:c r="B225" s="197" t="n">
        <x:v>114.6956</x:v>
      </x:c>
    </x:row>
    <x:row r="226">
      <x:c r="A226" s="187" t="n">
        <x:v>42684</x:v>
      </x:c>
      <x:c r="B226" s="197" t="n">
        <x:v>115.9375</x:v>
      </x:c>
    </x:row>
    <x:row r="227">
      <x:c r="A227" s="187" t="n">
        <x:v>42685</x:v>
      </x:c>
      <x:c r="B227" s="197"/>
    </x:row>
    <x:row r="228">
      <x:c r="A228" s="187" t="n">
        <x:v>42688</x:v>
      </x:c>
      <x:c r="B228" s="197" t="n">
        <x:v>117.2245</x:v>
      </x:c>
    </x:row>
    <x:row r="229">
      <x:c r="A229" s="187" t="n">
        <x:v>42689</x:v>
      </x:c>
      <x:c r="B229" s="197" t="n">
        <x:v>116.7724</x:v>
      </x:c>
    </x:row>
    <x:row r="230">
      <x:c r="A230" s="187" t="n">
        <x:v>42690</x:v>
      </x:c>
      <x:c r="B230" s="197" t="n">
        <x:v>116.8062</x:v>
      </x:c>
    </x:row>
    <x:row r="231">
      <x:c r="A231" s="187" t="n">
        <x:v>42691</x:v>
      </x:c>
      <x:c r="B231" s="197" t="n">
        <x:v>116.8952</x:v>
      </x:c>
    </x:row>
    <x:row r="232">
      <x:c r="A232" s="187" t="n">
        <x:v>42692</x:v>
      </x:c>
      <x:c r="B232" s="197" t="n">
        <x:v>117.5936</x:v>
      </x:c>
    </x:row>
    <x:row r="233">
      <x:c r="A233" s="187" t="n">
        <x:v>42695</x:v>
      </x:c>
      <x:c r="B233" s="197" t="n">
        <x:v>117.4762</x:v>
      </x:c>
    </x:row>
    <x:row r="234">
      <x:c r="A234" s="187" t="n">
        <x:v>42696</x:v>
      </x:c>
      <x:c r="B234" s="197" t="n">
        <x:v>117.4508</x:v>
      </x:c>
    </x:row>
    <x:row r="235">
      <x:c r="A235" s="187" t="n">
        <x:v>42697</x:v>
      </x:c>
      <x:c r="B235" s="197" t="n">
        <x:v>118.0356</x:v>
      </x:c>
    </x:row>
    <x:row r="236">
      <x:c r="A236" s="187" t="n">
        <x:v>42698</x:v>
      </x:c>
      <x:c r="B236" s="197"/>
    </x:row>
    <x:row r="237">
      <x:c r="A237" s="187" t="n">
        <x:v>42699</x:v>
      </x:c>
      <x:c r="B237" s="197" t="n">
        <x:v>118.02</x:v>
      </x:c>
    </x:row>
    <x:row r="238">
      <x:c r="A238" s="187" t="n">
        <x:v>42702</x:v>
      </x:c>
      <x:c r="B238" s="197" t="n">
        <x:v>117.7278</x:v>
      </x:c>
    </x:row>
    <x:row r="239">
      <x:c r="A239" s="187" t="n">
        <x:v>42703</x:v>
      </x:c>
      <x:c r="B239" s="197" t="n">
        <x:v>117.644</x:v>
      </x:c>
    </x:row>
    <x:row r="240">
      <x:c r="A240" s="187" t="n">
        <x:v>42704</x:v>
      </x:c>
      <x:c r="B240" s="197" t="n">
        <x:v>117.7636</x:v>
      </x:c>
    </x:row>
    <x:row r="241">
      <x:c r="A241" s="187" t="n">
        <x:v>42705</x:v>
      </x:c>
      <x:c r="B241" s="197" t="n">
        <x:v>117.6642</x:v>
      </x:c>
    </x:row>
    <x:row r="242">
      <x:c r="A242" s="187" t="n">
        <x:v>42706</x:v>
      </x:c>
      <x:c r="B242" s="197" t="n">
        <x:v>117.3116</x:v>
      </x:c>
    </x:row>
    <x:row r="243">
      <x:c r="A243" s="187" t="n">
        <x:v>42709</x:v>
      </x:c>
      <x:c r="B243" s="197" t="n">
        <x:v>117.1008</x:v>
      </x:c>
    </x:row>
    <x:row r="244">
      <x:c r="A244" s="187" t="n">
        <x:v>42710</x:v>
      </x:c>
      <x:c r="B244" s="197" t="n">
        <x:v>116.9225</x:v>
      </x:c>
    </x:row>
    <x:row r="245">
      <x:c r="A245" s="187" t="n">
        <x:v>42711</x:v>
      </x:c>
      <x:c r="B245" s="197" t="n">
        <x:v>116.672</x:v>
      </x:c>
    </x:row>
    <x:row r="246">
      <x:c r="A246" s="187" t="n">
        <x:v>42712</x:v>
      </x:c>
      <x:c r="B246" s="197" t="n">
        <x:v>117.0327</x:v>
      </x:c>
    </x:row>
    <x:row r="247">
      <x:c r="A247" s="187" t="n">
        <x:v>42713</x:v>
      </x:c>
      <x:c r="B247" s="197" t="n">
        <x:v>117.2834</x:v>
      </x:c>
    </x:row>
    <x:row r="248">
      <x:c r="A248" s="187" t="n">
        <x:v>42716</x:v>
      </x:c>
      <x:c r="B248" s="197" t="n">
        <x:v>116.9161</x:v>
      </x:c>
    </x:row>
    <x:row r="249">
      <x:c r="A249" s="187" t="n">
        <x:v>42717</x:v>
      </x:c>
      <x:c r="B249" s="197" t="n">
        <x:v>116.8029</x:v>
      </x:c>
    </x:row>
    <x:row r="250">
      <x:c r="A250" s="187" t="n">
        <x:v>42718</x:v>
      </x:c>
      <x:c r="B250" s="197" t="n">
        <x:v>116.7332</x:v>
      </x:c>
    </x:row>
    <x:row r="251">
      <x:c r="A251" s="187" t="n">
        <x:v>42719</x:v>
      </x:c>
      <x:c r="B251" s="197" t="n">
        <x:v>118.8072</x:v>
      </x:c>
    </x:row>
    <x:row r="252">
      <x:c r="A252" s="187" t="n">
        <x:v>42720</x:v>
      </x:c>
      <x:c r="B252" s="197" t="n">
        <x:v>118.3584</x:v>
      </x:c>
    </x:row>
    <x:row r="253">
      <x:c r="A253" s="187" t="n">
        <x:v>42723</x:v>
      </x:c>
      <x:c r="B253" s="197" t="n">
        <x:v>118.3875</x:v>
      </x:c>
    </x:row>
    <x:row r="254">
      <x:c r="A254" s="187" t="n">
        <x:v>42724</x:v>
      </x:c>
      <x:c r="B254" s="197" t="n">
        <x:v>118.63</x:v>
      </x:c>
    </x:row>
    <x:row r="255">
      <x:c r="A255" s="187" t="n">
        <x:v>42725</x:v>
      </x:c>
      <x:c r="B255" s="197" t="n">
        <x:v>118.581</x:v>
      </x:c>
    </x:row>
    <x:row r="256">
      <x:c r="A256" s="187" t="n">
        <x:v>42726</x:v>
      </x:c>
      <x:c r="B256" s="197" t="n">
        <x:v>118.8209</x:v>
      </x:c>
    </x:row>
    <x:row r="257">
      <x:c r="A257" s="187" t="n">
        <x:v>42727</x:v>
      </x:c>
      <x:c r="B257" s="197" t="n">
        <x:v>118.7856</x:v>
      </x:c>
    </x:row>
    <x:row r="258">
      <x:c r="A258" s="187" t="n">
        <x:v>42730</x:v>
      </x:c>
      <x:c r="B258" s="197"/>
    </x:row>
    <x:row r="259">
      <x:c r="A259" s="187" t="n">
        <x:v>42731</x:v>
      </x:c>
      <x:c r="B259" s="197" t="n">
        <x:v>118.9506</x:v>
      </x:c>
    </x:row>
    <x:row r="260">
      <x:c r="A260" s="187" t="n">
        <x:v>42732</x:v>
      </x:c>
      <x:c r="B260" s="197" t="n">
        <x:v>119.2305</x:v>
      </x:c>
    </x:row>
    <x:row r="261">
      <x:c r="A261" s="187" t="n">
        <x:v>42733</x:v>
      </x:c>
      <x:c r="B261" s="197" t="n">
        <x:v>118.6637</x:v>
      </x:c>
    </x:row>
    <x:row r="262">
      <x:c r="A262" s="187" t="n">
        <x:v>42734</x:v>
      </x:c>
      <x:c r="B262" s="197" t="n">
        <x:v>118.3466</x:v>
      </x:c>
    </x:row>
    <x:row r="263">
      <x:c r="A263" s="187" t="n">
        <x:v>42737</x:v>
      </x:c>
      <x:c r="B263" s="197"/>
    </x:row>
    <x:row r="264">
      <x:c r="A264" s="187" t="n">
        <x:v>42738</x:v>
      </x:c>
      <x:c r="B264" s="197" t="n">
        <x:v>119.0903</x:v>
      </x:c>
    </x:row>
    <x:row r="265">
      <x:c r="A265" s="187" t="n">
        <x:v>42739</x:v>
      </x:c>
      <x:c r="B265" s="197" t="n">
        <x:v>118.8803</x:v>
      </x:c>
    </x:row>
    <x:row r="266">
      <x:c r="A266" s="187" t="n">
        <x:v>42740</x:v>
      </x:c>
      <x:c r="B266" s="197" t="n">
        <x:v>117.9999</x:v>
      </x:c>
    </x:row>
    <x:row r="267">
      <x:c r="A267" s="187" t="n">
        <x:v>42741</x:v>
      </x:c>
      <x:c r="B267" s="197" t="n">
        <x:v>118.3495</x:v>
      </x:c>
    </x:row>
    <x:row r="268">
      <x:c r="A268" s="187" t="n">
        <x:v>42744</x:v>
      </x:c>
      <x:c r="B268" s="197" t="n">
        <x:v>118.4111</x:v>
      </x:c>
    </x:row>
    <x:row r="269">
      <x:c r="A269" s="187" t="n">
        <x:v>42745</x:v>
      </x:c>
      <x:c r="B269" s="197" t="n">
        <x:v>118.5386</x:v>
      </x:c>
    </x:row>
    <x:row r="270">
      <x:c r="A270" s="187" t="n">
        <x:v>42746</x:v>
      </x:c>
      <x:c r="B270" s="197" t="n">
        <x:v>119.0219</x:v>
      </x:c>
    </x:row>
    <x:row r="271">
      <x:c r="A271" s="187" t="n">
        <x:v>42747</x:v>
      </x:c>
      <x:c r="B271" s="197" t="n">
        <x:v>117.8001</x:v>
      </x:c>
    </x:row>
    <x:row r="272">
      <x:c r="A272" s="187" t="n">
        <x:v>42748</x:v>
      </x:c>
      <x:c r="B272" s="197" t="n">
        <x:v>117.9884</x:v>
      </x:c>
    </x:row>
    <x:row r="273">
      <x:c r="A273" s="187" t="n">
        <x:v>42751</x:v>
      </x:c>
      <x:c r="B273" s="197"/>
    </x:row>
    <x:row r="274">
      <x:c r="A274" s="187" t="n">
        <x:v>42752</x:v>
      </x:c>
      <x:c r="B274" s="197" t="n">
        <x:v>117.2656</x:v>
      </x:c>
    </x:row>
    <x:row r="275">
      <x:c r="A275" s="187" t="n">
        <x:v>42753</x:v>
      </x:c>
      <x:c r="B275" s="197" t="n">
        <x:v>117.7242</x:v>
      </x:c>
    </x:row>
    <x:row r="276">
      <x:c r="A276" s="187" t="n">
        <x:v>42754</x:v>
      </x:c>
      <x:c r="B276" s="197" t="n">
        <x:v>118.3182</x:v>
      </x:c>
    </x:row>
    <x:row r="277">
      <x:c r="A277" s="187" t="n">
        <x:v>42755</x:v>
      </x:c>
      <x:c r="B277" s="197"/>
    </x:row>
    <x:row r="278">
      <x:c r="A278" s="187" t="n">
        <x:v>42758</x:v>
      </x:c>
      <x:c r="B278" s="197" t="n">
        <x:v>117.2479</x:v>
      </x:c>
    </x:row>
    <x:row r="279">
      <x:c r="A279" s="187" t="n">
        <x:v>42759</x:v>
      </x:c>
      <x:c r="B279" s="197" t="n">
        <x:v>117.0516</x:v>
      </x:c>
    </x:row>
    <x:row r="280">
      <x:c r="A280" s="187" t="n">
        <x:v>42760</x:v>
      </x:c>
      <x:c r="B280" s="197" t="n">
        <x:v>116.9355</x:v>
      </x:c>
    </x:row>
    <x:row r="281">
      <x:c r="A281" s="187" t="n">
        <x:v>42761</x:v>
      </x:c>
      <x:c r="B281" s="197" t="n">
        <x:v>117.2766</x:v>
      </x:c>
    </x:row>
    <x:row r="282">
      <x:c r="A282" s="187" t="n">
        <x:v>42762</x:v>
      </x:c>
      <x:c r="B282" s="197" t="n">
        <x:v>117.0735</x:v>
      </x:c>
    </x:row>
    <x:row r="283">
      <x:c r="A283" s="187" t="n">
        <x:v>42765</x:v>
      </x:c>
      <x:c r="B283" s="197" t="n">
        <x:v>116.7325</x:v>
      </x:c>
    </x:row>
    <x:row r="284">
      <x:c r="A284" s="187" t="n">
        <x:v>42766</x:v>
      </x:c>
      <x:c r="B284" s="197" t="n">
        <x:v>116.2241</x:v>
      </x:c>
    </x:row>
    <x:row r="285">
      <x:c r="A285" s="187" t="n">
        <x:v>42767</x:v>
      </x:c>
      <x:c r="B285" s="197" t="n">
        <x:v>116.3914</x:v>
      </x:c>
    </x:row>
    <x:row r="286">
      <x:c r="A286" s="187" t="n">
        <x:v>42768</x:v>
      </x:c>
      <x:c r="B286" s="197" t="n">
        <x:v>115.903</x:v>
      </x:c>
    </x:row>
    <x:row r="287">
      <x:c r="A287" s="187" t="n">
        <x:v>42769</x:v>
      </x:c>
      <x:c r="B287" s="197" t="n">
        <x:v>115.6259</x:v>
      </x:c>
    </x:row>
    <x:row r="288">
      <x:c r="A288" s="187" t="n">
        <x:v>42772</x:v>
      </x:c>
      <x:c r="B288" s="197" t="n">
        <x:v>116.0504</x:v>
      </x:c>
    </x:row>
    <x:row r="289">
      <x:c r="A289" s="187" t="n">
        <x:v>42773</x:v>
      </x:c>
      <x:c r="B289" s="197" t="n">
        <x:v>116.4082</x:v>
      </x:c>
    </x:row>
    <x:row r="290">
      <x:c r="A290" s="187" t="n">
        <x:v>42774</x:v>
      </x:c>
      <x:c r="B290" s="197" t="n">
        <x:v>116.1382</x:v>
      </x:c>
    </x:row>
    <x:row r="291">
      <x:c r="A291" s="187" t="n">
        <x:v>42775</x:v>
      </x:c>
      <x:c r="B291" s="197" t="n">
        <x:v>116.306</x:v>
      </x:c>
    </x:row>
    <x:row r="292">
      <x:c r="A292" s="187" t="n">
        <x:v>42776</x:v>
      </x:c>
      <x:c r="B292" s="197" t="n">
        <x:v>116.148</x:v>
      </x:c>
    </x:row>
    <x:row r="293">
      <x:c r="A293" s="187" t="n">
        <x:v>42779</x:v>
      </x:c>
      <x:c r="B293" s="197" t="n">
        <x:v>116.3427</x:v>
      </x:c>
    </x:row>
    <x:row r="294">
      <x:c r="A294" s="187" t="n">
        <x:v>42780</x:v>
      </x:c>
      <x:c r="B294" s="197" t="n">
        <x:v>116.3949</x:v>
      </x:c>
    </x:row>
    <x:row r="295">
      <x:c r="A295" s="187" t="n">
        <x:v>42781</x:v>
      </x:c>
      <x:c r="B295" s="197" t="n">
        <x:v>116.2162</x:v>
      </x:c>
    </x:row>
    <x:row r="296">
      <x:c r="A296" s="187" t="n">
        <x:v>42782</x:v>
      </x:c>
      <x:c r="B296" s="197" t="n">
        <x:v>116.0067</x:v>
      </x:c>
    </x:row>
    <x:row r="297">
      <x:c r="A297" s="187" t="n">
        <x:v>42783</x:v>
      </x:c>
      <x:c r="B297" s="197" t="n">
        <x:v>116.4035</x:v>
      </x:c>
    </x:row>
    <x:row r="298">
      <x:c r="A298" s="187" t="n">
        <x:v>42786</x:v>
      </x:c>
      <x:c r="B298" s="197"/>
    </x:row>
    <x:row r="299">
      <x:c r="A299" s="187" t="n">
        <x:v>42787</x:v>
      </x:c>
      <x:c r="B299" s="197" t="n">
        <x:v>116.5921</x:v>
      </x:c>
    </x:row>
    <x:row r="300">
      <x:c r="A300" s="187" t="n">
        <x:v>42788</x:v>
      </x:c>
      <x:c r="B300" s="197" t="n">
        <x:v>116.2136</x:v>
      </x:c>
    </x:row>
    <x:row r="301">
      <x:c r="A301" s="187" t="n">
        <x:v>42789</x:v>
      </x:c>
      <x:c r="B301" s="197" t="n">
        <x:v>115.6527</x:v>
      </x:c>
    </x:row>
    <x:row r="302">
      <x:c r="A302" s="187" t="n">
        <x:v>42790</x:v>
      </x:c>
      <x:c r="B302" s="197" t="n">
        <x:v>115.8143</x:v>
      </x:c>
    </x:row>
    <x:row r="303">
      <x:c r="A303" s="187" t="n">
        <x:v>42793</x:v>
      </x:c>
      <x:c r="B303" s="197" t="n">
        <x:v>115.6764</x:v>
      </x:c>
    </x:row>
    <x:row r="304">
      <x:c r="A304" s="187" t="n">
        <x:v>42794</x:v>
      </x:c>
      <x:c r="B304" s="197" t="n">
        <x:v>116.0032</x:v>
      </x:c>
    </x:row>
    <x:row r="305">
      <x:c r="A305" s="187" t="n">
        <x:v>42795</x:v>
      </x:c>
      <x:c r="B305" s="197" t="n">
        <x:v>116.438</x:v>
      </x:c>
    </x:row>
    <x:row r="306">
      <x:c r="A306" s="187" t="n">
        <x:v>42796</x:v>
      </x:c>
      <x:c r="B306" s="197" t="n">
        <x:v>116.8429</x:v>
      </x:c>
    </x:row>
    <x:row r="307">
      <x:c r="A307" s="187" t="n">
        <x:v>42797</x:v>
      </x:c>
      <x:c r="B307" s="197" t="n">
        <x:v>116.6438</x:v>
      </x:c>
    </x:row>
    <x:row r="308">
      <x:c r="A308" s="187" t="n">
        <x:v>42800</x:v>
      </x:c>
      <x:c r="B308" s="197" t="n">
        <x:v>116.4313</x:v>
      </x:c>
    </x:row>
    <x:row r="309">
      <x:c r="A309" s="187" t="n">
        <x:v>42801</x:v>
      </x:c>
      <x:c r="B309" s="197" t="n">
        <x:v>116.4303</x:v>
      </x:c>
    </x:row>
    <x:row r="310">
      <x:c r="A310" s="187" t="n">
        <x:v>42802</x:v>
      </x:c>
      <x:c r="B310" s="197" t="n">
        <x:v>116.875</x:v>
      </x:c>
    </x:row>
    <x:row r="311">
      <x:c r="A311" s="187" t="n">
        <x:v>42803</x:v>
      </x:c>
      <x:c r="B311" s="197" t="n">
        <x:v>116.9959</x:v>
      </x:c>
    </x:row>
    <x:row r="312">
      <x:c r="A312" s="187" t="n">
        <x:v>42804</x:v>
      </x:c>
      <x:c r="B312" s="197" t="n">
        <x:v>116.616</x:v>
      </x:c>
    </x:row>
    <x:row r="313">
      <x:c r="A313" s="187" t="n">
        <x:v>42807</x:v>
      </x:c>
      <x:c r="B313" s="197" t="n">
        <x:v>116.4004</x:v>
      </x:c>
    </x:row>
    <x:row r="314">
      <x:c r="A314" s="187" t="n">
        <x:v>42808</x:v>
      </x:c>
      <x:c r="B314" s="197" t="n">
        <x:v>116.5646</x:v>
      </x:c>
    </x:row>
    <x:row r="315">
      <x:c r="A315" s="187" t="n">
        <x:v>42809</x:v>
      </x:c>
      <x:c r="B315" s="197" t="n">
        <x:v>116.3584</x:v>
      </x:c>
    </x:row>
    <x:row r="316">
      <x:c r="A316" s="187" t="n">
        <x:v>42810</x:v>
      </x:c>
      <x:c r="B316" s="197" t="n">
        <x:v>115.4456</x:v>
      </x:c>
    </x:row>
    <x:row r="317">
      <x:c r="A317" s="187" t="n">
        <x:v>42811</x:v>
      </x:c>
      <x:c r="B317" s="197" t="n">
        <x:v>115.2783</x:v>
      </x:c>
    </x:row>
    <x:row r="318">
      <x:c r="A318" s="187" t="n">
        <x:v>42814</x:v>
      </x:c>
      <x:c r="B318" s="197" t="n">
        <x:v>115.0426</x:v>
      </x:c>
    </x:row>
    <x:row r="319">
      <x:c r="A319" s="187" t="n">
        <x:v>42815</x:v>
      </x:c>
      <x:c r="B319" s="197" t="n">
        <x:v>114.8119</x:v>
      </x:c>
    </x:row>
    <x:row r="320">
      <x:c r="A320" s="187" t="n">
        <x:v>42816</x:v>
      </x:c>
      <x:c r="B320" s="197" t="n">
        <x:v>114.7937</x:v>
      </x:c>
    </x:row>
    <x:row r="321">
      <x:c r="A321" s="187" t="n">
        <x:v>42817</x:v>
      </x:c>
      <x:c r="B321" s="197" t="n">
        <x:v>114.7899</x:v>
      </x:c>
    </x:row>
    <x:row r="322">
      <x:c r="A322" s="187" t="n">
        <x:v>42818</x:v>
      </x:c>
      <x:c r="B322" s="197" t="n">
        <x:v>114.6372</x:v>
      </x:c>
    </x:row>
    <x:row r="323">
      <x:c r="A323" s="187" t="n">
        <x:v>42821</x:v>
      </x:c>
      <x:c r="B323" s="197" t="n">
        <x:v>114.2347</x:v>
      </x:c>
    </x:row>
    <x:row r="324">
      <x:c r="A324" s="187" t="n">
        <x:v>42822</x:v>
      </x:c>
      <x:c r="B324" s="197" t="n">
        <x:v>114.419</x:v>
      </x:c>
    </x:row>
    <x:row r="325">
      <x:c r="A325" s="187" t="n">
        <x:v>42823</x:v>
      </x:c>
      <x:c r="B325" s="197" t="n">
        <x:v>114.7167</x:v>
      </x:c>
    </x:row>
    <x:row r="326">
      <x:c r="A326" s="187" t="n">
        <x:v>42824</x:v>
      </x:c>
      <x:c r="B326" s="197" t="n">
        <x:v>114.5245</x:v>
      </x:c>
    </x:row>
    <x:row r="327">
      <x:c r="A327" s="187" t="n">
        <x:v>42825</x:v>
      </x:c>
      <x:c r="B327" s="197" t="n">
        <x:v>114.7938</x:v>
      </x:c>
    </x:row>
    <x:row r="328">
      <x:c r="A328" s="187" t="n">
        <x:v>42828</x:v>
      </x:c>
      <x:c r="B328" s="197" t="n">
        <x:v>114.8734</x:v>
      </x:c>
    </x:row>
    <x:row r="329">
      <x:c r="A329" s="187" t="n">
        <x:v>42829</x:v>
      </x:c>
      <x:c r="B329" s="197" t="n">
        <x:v>115.0038</x:v>
      </x:c>
    </x:row>
    <x:row r="330">
      <x:c r="A330" s="187" t="n">
        <x:v>42830</x:v>
      </x:c>
      <x:c r="B330" s="197" t="n">
        <x:v>114.9494</x:v>
      </x:c>
    </x:row>
    <x:row r="331">
      <x:c r="A331" s="187" t="n">
        <x:v>42831</x:v>
      </x:c>
      <x:c r="B331" s="197" t="n">
        <x:v>115.0181</x:v>
      </x:c>
    </x:row>
    <x:row r="332">
      <x:c r="A332" s="187" t="n">
        <x:v>42832</x:v>
      </x:c>
      <x:c r="B332" s="197" t="n">
        <x:v>115.0547</x:v>
      </x:c>
    </x:row>
    <x:row r="333">
      <x:c r="A333" s="187" t="n">
        <x:v>42835</x:v>
      </x:c>
      <x:c r="B333" s="197" t="n">
        <x:v>115.11</x:v>
      </x:c>
    </x:row>
    <x:row r="334">
      <x:c r="A334" s="187" t="n">
        <x:v>42836</x:v>
      </x:c>
      <x:c r="B334" s="197" t="n">
        <x:v>115.009</x:v>
      </x:c>
    </x:row>
    <x:row r="335">
      <x:c r="A335" s="187" t="n">
        <x:v>42837</x:v>
      </x:c>
      <x:c r="B335" s="197" t="n">
        <x:v>114.9162</x:v>
      </x:c>
    </x:row>
    <x:row r="336">
      <x:c r="A336" s="187" t="n">
        <x:v>42838</x:v>
      </x:c>
      <x:c r="B336" s="197" t="n">
        <x:v>114.5059</x:v>
      </x:c>
    </x:row>
    <x:row r="337">
      <x:c r="A337" s="187" t="n">
        <x:v>42839</x:v>
      </x:c>
      <x:c r="B337" s="197" t="n">
        <x:v>114.5368</x:v>
      </x:c>
    </x:row>
    <x:row r="338">
      <x:c r="A338" s="187" t="n">
        <x:v>42842</x:v>
      </x:c>
      <x:c r="B338" s="197" t="n">
        <x:v>114.3283</x:v>
      </x:c>
    </x:row>
    <x:row r="339">
      <x:c r="A339" s="187" t="n">
        <x:v>42843</x:v>
      </x:c>
      <x:c r="B339" s="197" t="n">
        <x:v>114.2575</x:v>
      </x:c>
    </x:row>
    <x:row r="340">
      <x:c r="A340" s="187" t="n">
        <x:v>42844</x:v>
      </x:c>
      <x:c r="B340" s="197" t="n">
        <x:v>114.7923</x:v>
      </x:c>
    </x:row>
    <x:row r="341">
      <x:c r="A341" s="187" t="n">
        <x:v>42845</x:v>
      </x:c>
      <x:c r="B341" s="197" t="n">
        <x:v>114.6205</x:v>
      </x:c>
    </x:row>
    <x:row r="342">
      <x:c r="A342" s="187" t="n">
        <x:v>42846</x:v>
      </x:c>
      <x:c r="B342" s="197" t="n">
        <x:v>114.8128</x:v>
      </x:c>
    </x:row>
    <x:row r="343">
      <x:c r="A343" s="187" t="n">
        <x:v>42849</x:v>
      </x:c>
      <x:c r="B343" s="197" t="n">
        <x:v>114.3659</x:v>
      </x:c>
    </x:row>
    <x:row r="344">
      <x:c r="A344" s="187" t="n">
        <x:v>42850</x:v>
      </x:c>
      <x:c r="B344" s="197" t="n">
        <x:v>114.5111</x:v>
      </x:c>
    </x:row>
    <x:row r="345">
      <x:c r="A345" s="187" t="n">
        <x:v>42851</x:v>
      </x:c>
      <x:c r="B345" s="197" t="n">
        <x:v>114.9479</x:v>
      </x:c>
    </x:row>
    <x:row r="346">
      <x:c r="A346" s="187" t="n">
        <x:v>42852</x:v>
      </x:c>
      <x:c r="B346" s="197" t="n">
        <x:v>114.9946</x:v>
      </x:c>
    </x:row>
    <x:row r="347">
      <x:c r="A347" s="187" t="n">
        <x:v>42853</x:v>
      </x:c>
      <x:c r="B347" s="197" t="n">
        <x:v>114.7877</x:v>
      </x:c>
    </x:row>
    <x:row r="348">
      <x:c r="A348" s="187" t="n">
        <x:v>42856</x:v>
      </x:c>
      <x:c r="B348" s="197" t="n">
        <x:v>114.5921</x:v>
      </x:c>
    </x:row>
    <x:row r="349">
      <x:c r="A349" s="187" t="n">
        <x:v>42857</x:v>
      </x:c>
      <x:c r="B349" s="197" t="n">
        <x:v>114.6792</x:v>
      </x:c>
    </x:row>
    <x:row r="350">
      <x:c r="A350" s="187" t="n">
        <x:v>42858</x:v>
      </x:c>
      <x:c r="B350" s="197" t="n">
        <x:v>114.6637</x:v>
      </x:c>
    </x:row>
    <x:row r="351">
      <x:c r="A351" s="187" t="n">
        <x:v>42859</x:v>
      </x:c>
      <x:c r="B351" s="197" t="n">
        <x:v>114.9076</x:v>
      </x:c>
    </x:row>
    <x:row r="352">
      <x:c r="A352" s="187" t="n">
        <x:v>42860</x:v>
      </x:c>
      <x:c r="B352" s="197" t="n">
        <x:v>114.7725</x:v>
      </x:c>
    </x:row>
    <x:row r="353">
      <x:c r="A353" s="187" t="n">
        <x:v>42863</x:v>
      </x:c>
      <x:c r="B353" s="197" t="n">
        <x:v>115.0895</x:v>
      </x:c>
    </x:row>
    <x:row r="354">
      <x:c r="A354" s="187" t="n">
        <x:v>42864</x:v>
      </x:c>
      <x:c r="B354" s="197" t="n">
        <x:v>115.3933</x:v>
      </x:c>
    </x:row>
    <x:row r="355">
      <x:c r="A355" s="187" t="n">
        <x:v>42865</x:v>
      </x:c>
      <x:c r="B355" s="197" t="n">
        <x:v>115.1145</x:v>
      </x:c>
    </x:row>
    <x:row r="356">
      <x:c r="A356" s="187" t="n">
        <x:v>42866</x:v>
      </x:c>
      <x:c r="B356" s="197" t="n">
        <x:v>115.0669</x:v>
      </x:c>
    </x:row>
    <x:row r="357">
      <x:c r="A357" s="187" t="n">
        <x:v>42867</x:v>
      </x:c>
      <x:c r="B357" s="197" t="n">
        <x:v>114.7479</x:v>
      </x:c>
    </x:row>
    <x:row r="358">
      <x:c r="A358" s="187" t="n">
        <x:v>42870</x:v>
      </x:c>
      <x:c r="B358" s="197" t="n">
        <x:v>114.3504</x:v>
      </x:c>
    </x:row>
    <x:row r="359">
      <x:c r="A359" s="187" t="n">
        <x:v>42871</x:v>
      </x:c>
      <x:c r="B359" s="197" t="n">
        <x:v>113.9923</x:v>
      </x:c>
    </x:row>
    <x:row r="360">
      <x:c r="A360" s="187" t="n">
        <x:v>42872</x:v>
      </x:c>
      <x:c r="B360" s="197" t="n">
        <x:v>113.7506</x:v>
      </x:c>
    </x:row>
    <x:row r="361">
      <x:c r="A361" s="187" t="n">
        <x:v>42873</x:v>
      </x:c>
      <x:c r="B361" s="197" t="n">
        <x:v>114.2683</x:v>
      </x:c>
    </x:row>
    <x:row r="362">
      <x:c r="A362" s="187" t="n">
        <x:v>42874</x:v>
      </x:c>
      <x:c r="B362" s="197" t="n">
        <x:v>113.7001</x:v>
      </x:c>
    </x:row>
    <x:row r="363">
      <x:c r="A363" s="187" t="n">
        <x:v>42877</x:v>
      </x:c>
      <x:c r="B363" s="197" t="n">
        <x:v>113.5442</x:v>
      </x:c>
    </x:row>
    <x:row r="364">
      <x:c r="A364" s="187" t="n">
        <x:v>42878</x:v>
      </x:c>
      <x:c r="B364" s="197" t="n">
        <x:v>113.6862</x:v>
      </x:c>
    </x:row>
    <x:row r="365">
      <x:c r="A365" s="187" t="n">
        <x:v>42879</x:v>
      </x:c>
      <x:c r="B365" s="197" t="n">
        <x:v>113.675</x:v>
      </x:c>
    </x:row>
    <x:row r="366">
      <x:c r="A366" s="187" t="n">
        <x:v>42880</x:v>
      </x:c>
      <x:c r="B366" s="197" t="n">
        <x:v>113.3719</x:v>
      </x:c>
    </x:row>
    <x:row r="367">
      <x:c r="A367" s="187" t="n">
        <x:v>42881</x:v>
      </x:c>
      <x:c r="B367" s="197" t="n">
        <x:v>113.4839</x:v>
      </x:c>
    </x:row>
    <x:row r="368">
      <x:c r="A368" s="187" t="n">
        <x:v>42884</x:v>
      </x:c>
      <x:c r="B368" s="197"/>
    </x:row>
    <x:row r="369">
      <x:c r="A369" s="187" t="n">
        <x:v>42885</x:v>
      </x:c>
      <x:c r="B369" s="197" t="n">
        <x:v>113.5552</x:v>
      </x:c>
    </x:row>
    <x:row r="370">
      <x:c r="A370" s="187" t="n">
        <x:v>42886</x:v>
      </x:c>
      <x:c r="B370" s="197" t="n">
        <x:v>113.2956</x:v>
      </x:c>
    </x:row>
    <x:row r="371">
      <x:c r="A371" s="187" t="n">
        <x:v>42887</x:v>
      </x:c>
      <x:c r="B371" s="197" t="n">
        <x:v>113.3017</x:v>
      </x:c>
    </x:row>
    <x:row r="372">
      <x:c r="A372" s="187" t="n">
        <x:v>42888</x:v>
      </x:c>
      <x:c r="B372" s="197" t="n">
        <x:v>113.1908</x:v>
      </x:c>
    </x:row>
    <x:row r="373">
      <x:c r="A373" s="187" t="n">
        <x:v>42891</x:v>
      </x:c>
      <x:c r="B373" s="197" t="n">
        <x:v>112.9755</x:v>
      </x:c>
    </x:row>
    <x:row r="374">
      <x:c r="A374" s="187" t="n">
        <x:v>42892</x:v>
      </x:c>
      <x:c r="B374" s="197" t="n">
        <x:v>112.7095</x:v>
      </x:c>
    </x:row>
    <x:row r="375">
      <x:c r="A375" s="187" t="n">
        <x:v>42893</x:v>
      </x:c>
      <x:c r="B375" s="197" t="n">
        <x:v>112.8191</x:v>
      </x:c>
    </x:row>
    <x:row r="376">
      <x:c r="A376" s="187" t="n">
        <x:v>42894</x:v>
      </x:c>
      <x:c r="B376" s="197" t="n">
        <x:v>112.8351</x:v>
      </x:c>
    </x:row>
    <x:row r="377">
      <x:c r="A377" s="187" t="n">
        <x:v>42895</x:v>
      </x:c>
      <x:c r="B377" s="197" t="n">
        <x:v>112.9562</x:v>
      </x:c>
    </x:row>
    <x:row r="378">
      <x:c r="A378" s="187" t="n">
        <x:v>42898</x:v>
      </x:c>
      <x:c r="B378" s="197" t="n">
        <x:v>112.9837</x:v>
      </x:c>
    </x:row>
    <x:row r="379">
      <x:c r="A379" s="187" t="n">
        <x:v>42899</x:v>
      </x:c>
      <x:c r="B379" s="197" t="n">
        <x:v>112.6271</x:v>
      </x:c>
    </x:row>
    <x:row r="380">
      <x:c r="A380" s="187" t="n">
        <x:v>42900</x:v>
      </x:c>
      <x:c r="B380" s="197" t="n">
        <x:v>112.0734</x:v>
      </x:c>
    </x:row>
    <x:row r="381">
      <x:c r="A381" s="187" t="n">
        <x:v>42901</x:v>
      </x:c>
      <x:c r="B381" s="197" t="n">
        <x:v>112.8708</x:v>
      </x:c>
    </x:row>
    <x:row r="382">
      <x:c r="A382" s="187" t="n">
        <x:v>42902</x:v>
      </x:c>
      <x:c r="B382" s="197" t="n">
        <x:v>112.6155</x:v>
      </x:c>
    </x:row>
    <x:row r="383">
      <x:c r="A383" s="187" t="n">
        <x:v>42905</x:v>
      </x:c>
      <x:c r="B383" s="197" t="n">
        <x:v>112.7576</x:v>
      </x:c>
    </x:row>
    <x:row r="384">
      <x:c r="A384" s="187" t="n">
        <x:v>42906</x:v>
      </x:c>
      <x:c r="B384" s="197" t="n">
        <x:v>113.2698</x:v>
      </x:c>
    </x:row>
    <x:row r="385">
      <x:c r="A385" s="187" t="n">
        <x:v>42907</x:v>
      </x:c>
      <x:c r="B385" s="197" t="n">
        <x:v>113.3327</x:v>
      </x:c>
    </x:row>
    <x:row r="386">
      <x:c r="A386" s="187" t="n">
        <x:v>42908</x:v>
      </x:c>
      <x:c r="B386" s="197" t="n">
        <x:v>113.1654</x:v>
      </x:c>
    </x:row>
    <x:row r="387">
      <x:c r="A387" s="187" t="n">
        <x:v>42909</x:v>
      </x:c>
      <x:c r="B387" s="197" t="n">
        <x:v>112.8665</x:v>
      </x:c>
    </x:row>
    <x:row r="388">
      <x:c r="A388" s="187" t="n">
        <x:v>42912</x:v>
      </x:c>
      <x:c r="B388" s="197" t="n">
        <x:v>112.7633</x:v>
      </x:c>
    </x:row>
    <x:row r="389">
      <x:c r="A389" s="187" t="n">
        <x:v>42913</x:v>
      </x:c>
      <x:c r="B389" s="197" t="n">
        <x:v>112.55</x:v>
      </x:c>
    </x:row>
    <x:row r="390">
      <x:c r="A390" s="187" t="n">
        <x:v>42914</x:v>
      </x:c>
      <x:c r="B390" s="197" t="n">
        <x:v>112.0747</x:v>
      </x:c>
    </x:row>
    <x:row r="391">
      <x:c r="A391" s="187" t="n">
        <x:v>42915</x:v>
      </x:c>
      <x:c r="B391" s="197" t="n">
        <x:v>111.998</x:v>
      </x:c>
    </x:row>
    <x:row r="392">
      <x:c r="A392" s="187" t="n">
        <x:v>42916</x:v>
      </x:c>
      <x:c r="B392" s="197" t="n">
        <x:v>111.9896</x:v>
      </x:c>
    </x:row>
    <x:row r="393">
      <x:c r="A393" s="187" t="n">
        <x:v>42919</x:v>
      </x:c>
      <x:c r="B393" s="197" t="n">
        <x:v>112.4268</x:v>
      </x:c>
    </x:row>
    <x:row r="394">
      <x:c r="A394" s="187" t="n">
        <x:v>42920</x:v>
      </x:c>
      <x:c r="B394" s="197"/>
    </x:row>
    <x:row r="395">
      <x:c r="A395" s="187" t="n">
        <x:v>42921</x:v>
      </x:c>
      <x:c r="B395" s="197" t="n">
        <x:v>112.6534</x:v>
      </x:c>
    </x:row>
    <x:row r="396">
      <x:c r="A396" s="187" t="n">
        <x:v>42922</x:v>
      </x:c>
      <x:c r="B396" s="197" t="n">
        <x:v>112.4199</x:v>
      </x:c>
    </x:row>
    <x:row r="397">
      <x:c r="A397" s="187" t="n">
        <x:v>42923</x:v>
      </x:c>
      <x:c r="B397" s="197" t="n">
        <x:v>112.3137</x:v>
      </x:c>
    </x:row>
    <x:row r="398">
      <x:c r="A398" s="187" t="n">
        <x:v>42926</x:v>
      </x:c>
      <x:c r="B398" s="197" t="n">
        <x:v>112.1587</x:v>
      </x:c>
    </x:row>
    <x:row r="399">
      <x:c r="A399" s="187" t="n">
        <x:v>42927</x:v>
      </x:c>
      <x:c r="B399" s="197" t="n">
        <x:v>112.1434</x:v>
      </x:c>
    </x:row>
    <x:row r="400">
      <x:c r="A400" s="187" t="n">
        <x:v>42928</x:v>
      </x:c>
      <x:c r="B400" s="197" t="n">
        <x:v>111.5904</x:v>
      </x:c>
    </x:row>
    <x:row r="401">
      <x:c r="A401" s="187" t="n">
        <x:v>42929</x:v>
      </x:c>
      <x:c r="B401" s="197" t="n">
        <x:v>111.5365</x:v>
      </x:c>
    </x:row>
    <x:row r="402">
      <x:c r="A402" s="187" t="n">
        <x:v>42930</x:v>
      </x:c>
      <x:c r="B402" s="197" t="n">
        <x:v>110.9075</x:v>
      </x:c>
    </x:row>
    <x:row r="403">
      <x:c r="A403" s="187" t="n">
        <x:v>42933</x:v>
      </x:c>
      <x:c r="B403" s="197" t="n">
        <x:v>110.9304</x:v>
      </x:c>
    </x:row>
    <x:row r="404">
      <x:c r="A404" s="187" t="n">
        <x:v>42934</x:v>
      </x:c>
      <x:c r="B404" s="197" t="n">
        <x:v>110.4356</x:v>
      </x:c>
    </x:row>
    <x:row r="405">
      <x:c r="A405" s="187" t="n">
        <x:v>42935</x:v>
      </x:c>
      <x:c r="B405" s="197" t="n">
        <x:v>110.4339</x:v>
      </x:c>
    </x:row>
    <x:row r="406">
      <x:c r="A406" s="187" t="n">
        <x:v>42936</x:v>
      </x:c>
      <x:c r="B406" s="197" t="n">
        <x:v>110.2512</x:v>
      </x:c>
    </x:row>
    <x:row r="407">
      <x:c r="A407" s="187" t="n">
        <x:v>42937</x:v>
      </x:c>
      <x:c r="B407" s="197" t="n">
        <x:v>110.191</x:v>
      </x:c>
    </x:row>
    <x:row r="408">
      <x:c r="A408" s="187" t="n">
        <x:v>42940</x:v>
      </x:c>
      <x:c r="B408" s="197" t="n">
        <x:v>110.2004</x:v>
      </x:c>
    </x:row>
    <x:row r="409">
      <x:c r="A409" s="187" t="n">
        <x:v>42941</x:v>
      </x:c>
      <x:c r="B409" s="197" t="n">
        <x:v>110.2835</x:v>
      </x:c>
    </x:row>
    <x:row r="410">
      <x:c r="A410" s="187" t="n">
        <x:v>42942</x:v>
      </x:c>
      <x:c r="B410" s="197" t="n">
        <x:v>110.3811</x:v>
      </x:c>
    </x:row>
    <x:row r="411">
      <x:c r="A411" s="187" t="n">
        <x:v>42943</x:v>
      </x:c>
      <x:c r="B411" s="197" t="n">
        <x:v>110.216</x:v>
      </x:c>
    </x:row>
    <x:row r="412">
      <x:c r="A412" s="187" t="n">
        <x:v>42944</x:v>
      </x:c>
      <x:c r="B412" s="197" t="n">
        <x:v>109.92</x:v>
      </x:c>
    </x:row>
    <x:row r="413">
      <x:c r="A413" s="187" t="n">
        <x:v>42947</x:v>
      </x:c>
      <x:c r="B413" s="197" t="n">
        <x:v>109.8177</x:v>
      </x:c>
    </x:row>
    <x:row r="414">
      <x:c r="A414" s="187" t="n">
        <x:v>42948</x:v>
      </x:c>
      <x:c r="B414" s="197" t="n">
        <x:v>109.8495</x:v>
      </x:c>
    </x:row>
    <x:row r="415">
      <x:c r="A415" s="187" t="n">
        <x:v>42949</x:v>
      </x:c>
      <x:c r="B415" s="197" t="n">
        <x:v>109.7503</x:v>
      </x:c>
    </x:row>
    <x:row r="416">
      <x:c r="A416" s="187" t="n">
        <x:v>42950</x:v>
      </x:c>
      <x:c r="B416" s="197" t="n">
        <x:v>109.8332</x:v>
      </x:c>
    </x:row>
    <x:row r="417">
      <x:c r="A417" s="187" t="n">
        <x:v>42951</x:v>
      </x:c>
      <x:c r="B417" s="197" t="n">
        <x:v>110.2808</x:v>
      </x:c>
    </x:row>
    <x:row r="418">
      <x:c r="A418" s="187" t="n">
        <x:v>42954</x:v>
      </x:c>
      <x:c r="B418" s="197" t="n">
        <x:v>110.373</x:v>
      </x:c>
    </x:row>
    <x:row r="419">
      <x:c r="A419" s="187" t="n">
        <x:v>42955</x:v>
      </x:c>
      <x:c r="B419" s="197" t="n">
        <x:v>110.396</x:v>
      </x:c>
    </x:row>
    <x:row r="420">
      <x:c r="A420" s="187" t="n">
        <x:v>42956</x:v>
      </x:c>
      <x:c r="B420" s="197" t="n">
        <x:v>110.3671</x:v>
      </x:c>
    </x:row>
    <x:row r="421">
      <x:c r="A421" s="187" t="n">
        <x:v>42957</x:v>
      </x:c>
      <x:c r="B421" s="197" t="n">
        <x:v>110.1886</x:v>
      </x:c>
    </x:row>
    <x:row r="422">
      <x:c r="A422" s="187" t="n">
        <x:v>42958</x:v>
      </x:c>
      <x:c r="B422" s="197" t="n">
        <x:v>110.0422</x:v>
      </x:c>
    </x:row>
    <x:row r="423">
      <x:c r="A423" s="187" t="n">
        <x:v>42961</x:v>
      </x:c>
      <x:c r="B423" s="197" t="n">
        <x:v>110.095</x:v>
      </x:c>
    </x:row>
    <x:row r="424">
      <x:c r="A424" s="187" t="n">
        <x:v>42962</x:v>
      </x:c>
      <x:c r="B424" s="197" t="n">
        <x:v>110.4846</x:v>
      </x:c>
    </x:row>
    <x:row r="425">
      <x:c r="A425" s="187" t="n">
        <x:v>42963</x:v>
      </x:c>
      <x:c r="B425" s="197" t="n">
        <x:v>110.4394</x:v>
      </x:c>
    </x:row>
    <x:row r="426">
      <x:c r="A426" s="187" t="n">
        <x:v>42964</x:v>
      </x:c>
      <x:c r="B426" s="197" t="n">
        <x:v>110.1673</x:v>
      </x:c>
    </x:row>
    <x:row r="427">
      <x:c r="A427" s="187" t="n">
        <x:v>42965</x:v>
      </x:c>
      <x:c r="B427" s="197" t="n">
        <x:v>110.041</x:v>
      </x:c>
    </x:row>
    <x:row r="428">
      <x:c r="A428" s="187" t="n">
        <x:v>42968</x:v>
      </x:c>
      <x:c r="B428" s="197" t="n">
        <x:v>109.7349</x:v>
      </x:c>
    </x:row>
    <x:row r="429">
      <x:c r="A429" s="187" t="n">
        <x:v>42969</x:v>
      </x:c>
      <x:c r="B429" s="197" t="n">
        <x:v>109.8386</x:v>
      </x:c>
    </x:row>
    <x:row r="430">
      <x:c r="A430" s="187" t="n">
        <x:v>42970</x:v>
      </x:c>
      <x:c r="B430" s="197" t="n">
        <x:v>109.8095</x:v>
      </x:c>
    </x:row>
    <x:row r="431">
      <x:c r="A431" s="187" t="n">
        <x:v>42971</x:v>
      </x:c>
      <x:c r="B431" s="197" t="n">
        <x:v>109.7524</x:v>
      </x:c>
    </x:row>
    <x:row r="432">
      <x:c r="A432" s="187" t="n">
        <x:v>42972</x:v>
      </x:c>
      <x:c r="B432" s="197" t="n">
        <x:v>109.3415</x:v>
      </x:c>
    </x:row>
    <x:row r="433">
      <x:c r="A433" s="187" t="n">
        <x:v>42975</x:v>
      </x:c>
      <x:c r="B433" s="197" t="n">
        <x:v>109.1815</x:v>
      </x:c>
    </x:row>
    <x:row r="434">
      <x:c r="A434" s="187" t="n">
        <x:v>42976</x:v>
      </x:c>
      <x:c r="B434" s="197" t="n">
        <x:v>109.0946</x:v>
      </x:c>
    </x:row>
    <x:row r="435">
      <x:c r="A435" s="187" t="n">
        <x:v>42977</x:v>
      </x:c>
      <x:c r="B435" s="197" t="n">
        <x:v>109.4052</x:v>
      </x:c>
    </x:row>
    <x:row r="436">
      <x:c r="A436" s="187" t="n">
        <x:v>42978</x:v>
      </x:c>
      <x:c r="B436" s="197" t="n">
        <x:v>109.3686</x:v>
      </x:c>
    </x:row>
    <x:row r="437">
      <x:c r="A437" s="187" t="n">
        <x:v>42979</x:v>
      </x:c>
      <x:c r="B437" s="197" t="n">
        <x:v>109.0504</x:v>
      </x:c>
    </x:row>
    <x:row r="438">
      <x:c r="A438" s="187" t="n">
        <x:v>42982</x:v>
      </x:c>
      <x:c r="B438" s="197"/>
    </x:row>
    <x:row r="439">
      <x:c r="A439" s="187" t="n">
        <x:v>42983</x:v>
      </x:c>
      <x:c r="B439" s="197" t="n">
        <x:v>108.8664</x:v>
      </x:c>
    </x:row>
    <x:row r="440">
      <x:c r="A440" s="187" t="n">
        <x:v>42984</x:v>
      </x:c>
      <x:c r="B440" s="197" t="n">
        <x:v>108.4897</x:v>
      </x:c>
    </x:row>
    <x:row r="441">
      <x:c r="A441" s="187" t="n">
        <x:v>42985</x:v>
      </x:c>
      <x:c r="B441" s="197" t="n">
        <x:v>107.9224</x:v>
      </x:c>
    </x:row>
    <x:row r="442">
      <x:c r="A442" s="187" t="n">
        <x:v>42986</x:v>
      </x:c>
      <x:c r="B442" s="197" t="n">
        <x:v>107.808</x:v>
      </x:c>
    </x:row>
    <x:row r="443">
      <x:c r="A443" s="187" t="n">
        <x:v>42989</x:v>
      </x:c>
      <x:c r="B443" s="197" t="n">
        <x:v>108.153</x:v>
      </x:c>
    </x:row>
    <x:row r="444">
      <x:c r="A444" s="187" t="n">
        <x:v>42990</x:v>
      </x:c>
      <x:c r="B444" s="197" t="n">
        <x:v>108.3239</x:v>
      </x:c>
    </x:row>
    <x:row r="445">
      <x:c r="A445" s="187" t="n">
        <x:v>42991</x:v>
      </x:c>
      <x:c r="B445" s="197" t="n">
        <x:v>108.6628</x:v>
      </x:c>
    </x:row>
    <x:row r="446">
      <x:c r="A446" s="187" t="n">
        <x:v>42992</x:v>
      </x:c>
      <x:c r="B446" s="197" t="n">
        <x:v>108.618</x:v>
      </x:c>
    </x:row>
    <x:row r="447">
      <x:c r="A447" s="187" t="n">
        <x:v>42993</x:v>
      </x:c>
      <x:c r="B447" s="197" t="n">
        <x:v>108.3147</x:v>
      </x:c>
    </x:row>
    <x:row r="448">
      <x:c r="A448" s="187" t="n">
        <x:v>42996</x:v>
      </x:c>
      <x:c r="B448" s="197" t="n">
        <x:v>108.6401</x:v>
      </x:c>
    </x:row>
    <x:row r="449">
      <x:c r="A449" s="187" t="n">
        <x:v>42997</x:v>
      </x:c>
      <x:c r="B449" s="197" t="n">
        <x:v>108.6142</x:v>
      </x:c>
    </x:row>
    <x:row r="450">
      <x:c r="A450" s="187" t="n">
        <x:v>42998</x:v>
      </x:c>
      <x:c r="B450" s="197" t="n">
        <x:v>108.4329</x:v>
      </x:c>
    </x:row>
    <x:row r="451">
      <x:c r="A451" s="187" t="n">
        <x:v>42999</x:v>
      </x:c>
      <x:c r="B451" s="197" t="n">
        <x:v>108.9267</x:v>
      </x:c>
    </x:row>
    <x:row r="452">
      <x:c r="A452" s="187" t="n">
        <x:v>43000</x:v>
      </x:c>
      <x:c r="B452" s="197" t="n">
        <x:v>108.7542</x:v>
      </x:c>
    </x:row>
    <x:row r="453">
      <x:c r="A453" s="187" t="n">
        <x:v>43003</x:v>
      </x:c>
      <x:c r="B453" s="197" t="n">
        <x:v>109.3302</x:v>
      </x:c>
    </x:row>
    <x:row r="454">
      <x:c r="A454" s="187" t="n">
        <x:v>43004</x:v>
      </x:c>
      <x:c r="B454" s="197" t="n">
        <x:v>109.7769</x:v>
      </x:c>
    </x:row>
    <x:row r="455">
      <x:c r="A455" s="187" t="n">
        <x:v>43005</x:v>
      </x:c>
      <x:c r="B455" s="197" t="n">
        <x:v>110.0722</x:v>
      </x:c>
    </x:row>
    <x:row r="456">
      <x:c r="A456" s="187" t="n">
        <x:v>43006</x:v>
      </x:c>
      <x:c r="B456" s="197" t="n">
        <x:v>110.2415</x:v>
      </x:c>
    </x:row>
    <x:row r="457">
      <x:c r="A457" s="187" t="n">
        <x:v>43007</x:v>
      </x:c>
      <x:c r="B457" s="197" t="n">
        <x:v>110.0867</x:v>
      </x:c>
    </x:row>
    <x:row r="458">
      <x:c r="A458" s="187" t="n">
        <x:v>43010</x:v>
      </x:c>
      <x:c r="B458" s="197" t="n">
        <x:v>110.3686</x:v>
      </x:c>
    </x:row>
    <x:row r="459">
      <x:c r="A459" s="187" t="n">
        <x:v>43011</x:v>
      </x:c>
      <x:c r="B459" s="197" t="n">
        <x:v>110.3281</x:v>
      </x:c>
    </x:row>
    <x:row r="460">
      <x:c r="A460" s="187" t="n">
        <x:v>43012</x:v>
      </x:c>
      <x:c r="B460" s="197" t="n">
        <x:v>110.2425</x:v>
      </x:c>
    </x:row>
    <x:row r="461">
      <x:c r="A461" s="187" t="n">
        <x:v>43013</x:v>
      </x:c>
      <x:c r="B461" s="197" t="n">
        <x:v>110.5823</x:v>
      </x:c>
    </x:row>
    <x:row r="462">
      <x:c r="A462" s="187" t="n">
        <x:v>43014</x:v>
      </x:c>
      <x:c r="B462" s="197" t="n">
        <x:v>110.7841</x:v>
      </x:c>
    </x:row>
    <x:row r="463">
      <x:c r="A463" s="187" t="n">
        <x:v>43017</x:v>
      </x:c>
      <x:c r="B463" s="197"/>
    </x:row>
    <x:row r="464">
      <x:c r="A464" s="187" t="n">
        <x:v>43018</x:v>
      </x:c>
      <x:c r="B464" s="197" t="n">
        <x:v>110.3034</x:v>
      </x:c>
    </x:row>
    <x:row r="465">
      <x:c r="A465" s="187" t="n">
        <x:v>43019</x:v>
      </x:c>
      <x:c r="B465" s="197" t="n">
        <x:v>110.3037</x:v>
      </x:c>
    </x:row>
    <x:row r="466">
      <x:c r="A466" s="187" t="n">
        <x:v>43020</x:v>
      </x:c>
      <x:c r="B466" s="197" t="n">
        <x:v>110.3152</x:v>
      </x:c>
    </x:row>
    <x:row r="467">
      <x:c r="A467" s="187" t="n">
        <x:v>43021</x:v>
      </x:c>
      <x:c r="B467" s="197" t="n">
        <x:v>110.2669</x:v>
      </x:c>
    </x:row>
    <x:row r="468">
      <x:c r="A468" s="187" t="n">
        <x:v>43024</x:v>
      </x:c>
      <x:c r="B468" s="197" t="n">
        <x:v>110.5432</x:v>
      </x:c>
    </x:row>
    <x:row r="469">
      <x:c r="A469" s="187" t="n">
        <x:v>43025</x:v>
      </x:c>
      <x:c r="B469" s="197" t="n">
        <x:v>110.9141</x:v>
      </x:c>
    </x:row>
    <x:row r="470">
      <x:c r="A470" s="187" t="n">
        <x:v>43026</x:v>
      </x:c>
      <x:c r="B470" s="197" t="n">
        <x:v>110.7214</x:v>
      </x:c>
    </x:row>
    <x:row r="471">
      <x:c r="A471" s="187" t="n">
        <x:v>43027</x:v>
      </x:c>
      <x:c r="B471" s="197" t="n">
        <x:v>110.4577</x:v>
      </x:c>
    </x:row>
    <x:row r="472">
      <x:c r="A472" s="187" t="n">
        <x:v>43028</x:v>
      </x:c>
      <x:c r="B472" s="197" t="n">
        <x:v>111.0375</x:v>
      </x:c>
    </x:row>
    <x:row r="473">
      <x:c r="A473" s="187" t="n">
        <x:v>43031</x:v>
      </x:c>
      <x:c r="B473" s="197" t="n">
        <x:v>111.2134</x:v>
      </x:c>
    </x:row>
    <x:row r="474">
      <x:c r="A474" s="187" t="n">
        <x:v>43032</x:v>
      </x:c>
      <x:c r="B474" s="197" t="n">
        <x:v>111.4027</x:v>
      </x:c>
    </x:row>
    <x:row r="475">
      <x:c r="A475" s="187" t="n">
        <x:v>43033</x:v>
      </x:c>
      <x:c r="B475" s="197" t="n">
        <x:v>111.3904</x:v>
      </x:c>
    </x:row>
    <x:row r="476">
      <x:c r="A476" s="187" t="n">
        <x:v>43034</x:v>
      </x:c>
      <x:c r="B476" s="197" t="n">
        <x:v>111.6418</x:v>
      </x:c>
    </x:row>
    <x:row r="477">
      <x:c r="A477" s="187" t="n">
        <x:v>43035</x:v>
      </x:c>
      <x:c r="B477" s="197" t="n">
        <x:v>112.1495</x:v>
      </x:c>
    </x:row>
    <x:row r="478">
      <x:c r="A478" s="187" t="n">
        <x:v>43038</x:v>
      </x:c>
      <x:c r="B478" s="197" t="n">
        <x:v>111.901</x:v>
      </x:c>
    </x:row>
    <x:row r="479">
      <x:c r="A479" s="187" t="n">
        <x:v>43039</x:v>
      </x:c>
      <x:c r="B479" s="197" t="n">
        <x:v>111.8052</x:v>
      </x:c>
    </x:row>
    <x:row r="480">
      <x:c r="A480" s="187" t="n">
        <x:v>43040</x:v>
      </x:c>
      <x:c r="B480" s="197" t="n">
        <x:v>111.7942</x:v>
      </x:c>
    </x:row>
    <x:row r="481">
      <x:c r="A481" s="187" t="n">
        <x:v>43041</x:v>
      </x:c>
      <x:c r="B481" s="197" t="n">
        <x:v>111.5474</x:v>
      </x:c>
    </x:row>
    <x:row r="482">
      <x:c r="A482" s="187" t="n">
        <x:v>43042</x:v>
      </x:c>
      <x:c r="B482" s="197" t="n">
        <x:v>111.9383</x:v>
      </x:c>
    </x:row>
    <x:row r="483">
      <x:c r="A483" s="187" t="n">
        <x:v>43045</x:v>
      </x:c>
      <x:c r="B483" s="197" t="n">
        <x:v>111.7197</x:v>
      </x:c>
    </x:row>
    <x:row r="484">
      <x:c r="A484" s="187" t="n">
        <x:v>43046</x:v>
      </x:c>
      <x:c r="B484" s="197" t="n">
        <x:v>111.9446</x:v>
      </x:c>
    </x:row>
    <x:row r="485">
      <x:c r="A485" s="187" t="n">
        <x:v>43047</x:v>
      </x:c>
      <x:c r="B485" s="197" t="n">
        <x:v>111.6935</x:v>
      </x:c>
    </x:row>
    <x:row r="486">
      <x:c r="A486" s="187" t="n">
        <x:v>43048</x:v>
      </x:c>
      <x:c r="B486" s="197" t="n">
        <x:v>111.5626</x:v>
      </x:c>
    </x:row>
    <x:row r="487">
      <x:c r="A487" s="187" t="n">
        <x:v>43049</x:v>
      </x:c>
      <x:c r="B487" s="197"/>
    </x:row>
    <x:row r="488">
      <x:c r="A488" s="187" t="n">
        <x:v>43052</x:v>
      </x:c>
      <x:c r="B488" s="197" t="n">
        <x:v>111.7833</x:v>
      </x:c>
    </x:row>
    <x:row r="489">
      <x:c r="A489" s="187" t="n">
        <x:v>43053</x:v>
      </x:c>
      <x:c r="B489" s="197" t="n">
        <x:v>111.5097</x:v>
      </x:c>
    </x:row>
    <x:row r="490">
      <x:c r="A490" s="187" t="n">
        <x:v>43054</x:v>
      </x:c>
      <x:c r="B490" s="197" t="n">
        <x:v>111.4809</x:v>
      </x:c>
    </x:row>
    <x:row r="491">
      <x:c r="A491" s="187" t="n">
        <x:v>43055</x:v>
      </x:c>
      <x:c r="B491" s="197" t="n">
        <x:v>111.2568</x:v>
      </x:c>
    </x:row>
    <x:row r="492">
      <x:c r="A492" s="187" t="n">
        <x:v>43056</x:v>
      </x:c>
      <x:c r="B492" s="197" t="n">
        <x:v>111.0016</x:v>
      </x:c>
    </x:row>
    <x:row r="493">
      <x:c r="A493" s="187" t="n">
        <x:v>43059</x:v>
      </x:c>
      <x:c r="B493" s="197" t="n">
        <x:v>111.2599</x:v>
      </x:c>
    </x:row>
    <x:row r="494">
      <x:c r="A494" s="187" t="n">
        <x:v>43060</x:v>
      </x:c>
      <x:c r="B494" s="197" t="n">
        <x:v>110.9828</x:v>
      </x:c>
    </x:row>
    <x:row r="495">
      <x:c r="A495" s="187" t="n">
        <x:v>43061</x:v>
      </x:c>
      <x:c r="B495" s="197" t="n">
        <x:v>110.5632</x:v>
      </x:c>
    </x:row>
    <x:row r="496">
      <x:c r="A496" s="187" t="n">
        <x:v>43062</x:v>
      </x:c>
      <x:c r="B496" s="197"/>
    </x:row>
    <x:row r="497">
      <x:c r="A497" s="187" t="n">
        <x:v>43063</x:v>
      </x:c>
      <x:c r="B497" s="197" t="n">
        <x:v>110.0253</x:v>
      </x:c>
    </x:row>
    <x:row r="498">
      <x:c r="A498" s="187" t="n">
        <x:v>43066</x:v>
      </x:c>
      <x:c r="B498" s="197" t="n">
        <x:v>110.1136</x:v>
      </x:c>
    </x:row>
    <x:row r="499">
      <x:c r="A499" s="187" t="n">
        <x:v>43067</x:v>
      </x:c>
      <x:c r="B499" s="197" t="n">
        <x:v>110.3018</x:v>
      </x:c>
    </x:row>
    <x:row r="500">
      <x:c r="A500" s="187" t="n">
        <x:v>43068</x:v>
      </x:c>
      <x:c r="B500" s="197" t="n">
        <x:v>110.3265</x:v>
      </x:c>
    </x:row>
    <x:row r="501">
      <x:c r="A501" s="187" t="n">
        <x:v>43069</x:v>
      </x:c>
      <x:c r="B501" s="197" t="n">
        <x:v>110.4648</x:v>
      </x:c>
    </x:row>
    <x:row r="502">
      <x:c r="A502" s="187" t="n">
        <x:v>43070</x:v>
      </x:c>
      <x:c r="B502" s="197" t="n">
        <x:v>110.1413</x:v>
      </x:c>
    </x:row>
    <x:row r="503">
      <x:c r="A503" s="187" t="n">
        <x:v>43073</x:v>
      </x:c>
      <x:c r="B503" s="197" t="n">
        <x:v>110.397</x:v>
      </x:c>
    </x:row>
    <x:row r="504">
      <x:c r="A504" s="187" t="n">
        <x:v>43074</x:v>
      </x:c>
      <x:c r="B504" s="197" t="n">
        <x:v>110.4905</x:v>
      </x:c>
    </x:row>
    <x:row r="505">
      <x:c r="A505" s="187" t="n">
        <x:v>43075</x:v>
      </x:c>
      <x:c r="B505" s="197" t="n">
        <x:v>110.8711</x:v>
      </x:c>
    </x:row>
    <x:row r="506">
      <x:c r="A506" s="187" t="n">
        <x:v>43076</x:v>
      </x:c>
      <x:c r="B506" s="197" t="n">
        <x:v>111.0178</x:v>
      </x:c>
    </x:row>
    <x:row r="507">
      <x:c r="A507" s="187" t="n">
        <x:v>43077</x:v>
      </x:c>
      <x:c r="B507" s="197" t="n">
        <x:v>111.2273</x:v>
      </x:c>
    </x:row>
    <x:row r="508">
      <x:c r="A508" s="187" t="n">
        <x:v>43080</x:v>
      </x:c>
      <x:c r="B508" s="197" t="n">
        <x:v>111.0827</x:v>
      </x:c>
    </x:row>
    <x:row r="509">
      <x:c r="A509" s="187" t="n">
        <x:v>43081</x:v>
      </x:c>
      <x:c r="B509" s="197" t="n">
        <x:v>111.5214</x:v>
      </x:c>
    </x:row>
    <x:row r="510">
      <x:c r="A510" s="187" t="n">
        <x:v>43082</x:v>
      </x:c>
      <x:c r="B510" s="197" t="n">
        <x:v>111.2759</x:v>
      </x:c>
    </x:row>
    <x:row r="511">
      <x:c r="A511" s="187" t="n">
        <x:v>43083</x:v>
      </x:c>
      <x:c r="B511" s="197" t="n">
        <x:v>111.0893</x:v>
      </x:c>
    </x:row>
    <x:row r="512">
      <x:c r="A512" s="187" t="n">
        <x:v>43084</x:v>
      </x:c>
      <x:c r="B512" s="197" t="n">
        <x:v>111.1286</x:v>
      </x:c>
    </x:row>
    <x:row r="513">
      <x:c r="A513" s="187" t="n">
        <x:v>43087</x:v>
      </x:c>
      <x:c r="B513" s="197" t="n">
        <x:v>110.9086</x:v>
      </x:c>
    </x:row>
    <x:row r="514">
      <x:c r="A514" s="187" t="n">
        <x:v>43088</x:v>
      </x:c>
      <x:c r="B514" s="197" t="n">
        <x:v>111.1255</x:v>
      </x:c>
    </x:row>
    <x:row r="515">
      <x:c r="A515" s="187" t="n">
        <x:v>43089</x:v>
      </x:c>
      <x:c r="B515" s="197" t="n">
        <x:v>110.8361</x:v>
      </x:c>
    </x:row>
    <x:row r="516">
      <x:c r="A516" s="187" t="n">
        <x:v>43090</x:v>
      </x:c>
      <x:c r="B516" s="197" t="n">
        <x:v>110.8786</x:v>
      </x:c>
    </x:row>
    <x:row r="517">
      <x:c r="A517" s="187" t="n">
        <x:v>43091</x:v>
      </x:c>
      <x:c r="B517" s="197" t="n">
        <x:v>111.0997</x:v>
      </x:c>
    </x:row>
    <x:row r="518">
      <x:c r="A518" s="187" t="n">
        <x:v>43094</x:v>
      </x:c>
      <x:c r="B518" s="197"/>
    </x:row>
    <x:row r="519">
      <x:c r="A519" s="187" t="n">
        <x:v>43095</x:v>
      </x:c>
      <x:c r="B519" s="197" t="n">
        <x:v>110.9758</x:v>
      </x:c>
    </x:row>
    <x:row r="520">
      <x:c r="A520" s="187" t="n">
        <x:v>43096</x:v>
      </x:c>
      <x:c r="B520" s="197" t="n">
        <x:v>110.8553</x:v>
      </x:c>
    </x:row>
    <x:row r="521">
      <x:c r="A521" s="187" t="n">
        <x:v>43097</x:v>
      </x:c>
      <x:c r="B521" s="197" t="n">
        <x:v>110.5154</x:v>
      </x:c>
    </x:row>
    <x:row r="522">
      <x:c r="A522" s="187" t="n">
        <x:v>43098</x:v>
      </x:c>
      <x:c r="B522" s="197" t="n">
        <x:v>110.0783</x:v>
      </x:c>
    </x:row>
    <x:row r="523">
      <x:c r="A523" s="187" t="n">
        <x:v>43101</x:v>
      </x:c>
      <x:c r="B523" s="197"/>
    </x:row>
    <x:row r="524">
      <x:c r="A524" s="187" t="n">
        <x:v>43102</x:v>
      </x:c>
      <x:c r="B524" s="197" t="n">
        <x:v>109.6445</x:v>
      </x:c>
    </x:row>
    <x:row r="525">
      <x:c r="A525" s="187" t="n">
        <x:v>43103</x:v>
      </x:c>
      <x:c r="B525" s="197" t="n">
        <x:v>109.6751</x:v>
      </x:c>
    </x:row>
    <x:row r="526">
      <x:c r="A526" s="187" t="n">
        <x:v>43104</x:v>
      </x:c>
      <x:c r="B526" s="197" t="n">
        <x:v>109.4777</x:v>
      </x:c>
    </x:row>
    <x:row r="527">
      <x:c r="A527" s="187" t="n">
        <x:v>43105</x:v>
      </x:c>
      <x:c r="B527" s="197" t="n">
        <x:v>109.3496</x:v>
      </x:c>
    </x:row>
    <x:row r="528">
      <x:c r="A528" s="187" t="n">
        <x:v>43108</x:v>
      </x:c>
      <x:c r="B528" s="197" t="n">
        <x:v>109.5681</x:v>
      </x:c>
    </x:row>
    <x:row r="529">
      <x:c r="A529" s="187" t="n">
        <x:v>43109</x:v>
      </x:c>
      <x:c r="B529" s="197" t="n">
        <x:v>109.9025</x:v>
      </x:c>
    </x:row>
    <x:row r="530">
      <x:c r="A530" s="187" t="n">
        <x:v>43110</x:v>
      </x:c>
      <x:c r="B530" s="197" t="n">
        <x:v>109.628</x:v>
      </x:c>
    </x:row>
    <x:row r="531">
      <x:c r="A531" s="187" t="n">
        <x:v>43111</x:v>
      </x:c>
      <x:c r="B531" s="197" t="n">
        <x:v>109.4888</x:v>
      </x:c>
    </x:row>
    <x:row r="532">
      <x:c r="A532" s="187" t="n">
        <x:v>43112</x:v>
      </x:c>
      <x:c r="B532" s="197" t="n">
        <x:v>108.901</x:v>
      </x:c>
    </x:row>
    <x:row r="533">
      <x:c r="A533" s="187" t="n">
        <x:v>43115</x:v>
      </x:c>
      <x:c r="B533" s="197"/>
    </x:row>
    <x:row r="534">
      <x:c r="A534" s="187" t="n">
        <x:v>43116</x:v>
      </x:c>
      <x:c r="B534" s="197" t="n">
        <x:v>108.3218</x:v>
      </x:c>
    </x:row>
    <x:row r="535">
      <x:c r="A535" s="187" t="n">
        <x:v>43117</x:v>
      </x:c>
      <x:c r="B535" s="197" t="n">
        <x:v>108.1526</x:v>
      </x:c>
    </x:row>
    <x:row r="536">
      <x:c r="A536" s="187" t="n">
        <x:v>43118</x:v>
      </x:c>
      <x:c r="B536" s="197" t="n">
        <x:v>108.0655</x:v>
      </x:c>
    </x:row>
    <x:row r="537">
      <x:c r="A537" s="187" t="n">
        <x:v>43119</x:v>
      </x:c>
      <x:c r="B537" s="197" t="n">
        <x:v>107.9455</x:v>
      </x:c>
    </x:row>
    <x:row r="538">
      <x:c r="A538" s="187" t="n">
        <x:v>43122</x:v>
      </x:c>
      <x:c r="B538" s="197" t="n">
        <x:v>108.107</x:v>
      </x:c>
    </x:row>
    <x:row r="539">
      <x:c r="A539" s="187" t="n">
        <x:v>43123</x:v>
      </x:c>
      <x:c r="B539" s="197" t="n">
        <x:v>107.9979</x:v>
      </x:c>
    </x:row>
    <x:row r="540">
      <x:c r="A540" s="187" t="n">
        <x:v>43124</x:v>
      </x:c>
      <x:c r="B540" s="197" t="n">
        <x:v>107.0802</x:v>
      </x:c>
    </x:row>
    <x:row r="541">
      <x:c r="A541" s="187" t="n">
        <x:v>43125</x:v>
      </x:c>
      <x:c r="B541" s="197" t="n">
        <x:v>106.5052</x:v>
      </x:c>
    </x:row>
    <x:row r="542">
      <x:c r="A542" s="187" t="n">
        <x:v>43126</x:v>
      </x:c>
      <x:c r="B542" s="197" t="n">
        <x:v>106.6911</x:v>
      </x:c>
    </x:row>
    <x:row r="543">
      <x:c r="A543" s="187" t="n">
        <x:v>43129</x:v>
      </x:c>
      <x:c r="B543" s="197" t="n">
        <x:v>107.1142</x:v>
      </x:c>
    </x:row>
    <x:row r="544">
      <x:c r="A544" s="187" t="n">
        <x:v>43130</x:v>
      </x:c>
      <x:c r="B544" s="197" t="n">
        <x:v>107.1064</x:v>
      </x:c>
    </x:row>
    <x:row r="545">
      <x:c r="A545" s="187" t="n">
        <x:v>43131</x:v>
      </x:c>
      <x:c r="B545" s="197" t="n">
        <x:v>106.7696</x:v>
      </x:c>
    </x:row>
    <x:row r="546">
      <x:c r="A546" s="187" t="n">
        <x:v>43132</x:v>
      </x:c>
      <x:c r="B546" s="197" t="n">
        <x:v>106.4877</x:v>
      </x:c>
    </x:row>
    <x:row r="547">
      <x:c r="A547" s="187" t="n">
        <x:v>43133</x:v>
      </x:c>
      <x:c r="B547" s="197" t="n">
        <x:v>107.1151</x:v>
      </x:c>
    </x:row>
    <x:row r="548">
      <x:c r="A548" s="187" t="n">
        <x:v>43136</x:v>
      </x:c>
      <x:c r="B548" s="197" t="n">
        <x:v>107.33</x:v>
      </x:c>
    </x:row>
    <x:row r="549">
      <x:c r="A549" s="187" t="n">
        <x:v>43137</x:v>
      </x:c>
      <x:c r="B549" s="197" t="n">
        <x:v>107.5204</x:v>
      </x:c>
    </x:row>
    <x:row r="550">
      <x:c r="A550" s="187" t="n">
        <x:v>43138</x:v>
      </x:c>
      <x:c r="B550" s="197" t="n">
        <x:v>107.7175</x:v>
      </x:c>
    </x:row>
    <x:row r="551">
      <x:c r="A551" s="187" t="n">
        <x:v>43139</x:v>
      </x:c>
      <x:c r="B551" s="197" t="n">
        <x:v>108.3025</x:v>
      </x:c>
    </x:row>
    <x:row r="552">
      <x:c r="A552" s="187" t="n">
        <x:v>43140</x:v>
      </x:c>
      <x:c r="B552" s="197" t="n">
        <x:v>108.2582</x:v>
      </x:c>
    </x:row>
    <x:row r="553">
      <x:c r="A553" s="187" t="n">
        <x:v>43143</x:v>
      </x:c>
      <x:c r="B553" s="197" t="n">
        <x:v>108.0332</x:v>
      </x:c>
    </x:row>
    <x:row r="554">
      <x:c r="A554" s="187" t="n">
        <x:v>43144</x:v>
      </x:c>
      <x:c r="B554" s="197" t="n">
        <x:v>107.7574</x:v>
      </x:c>
    </x:row>
    <x:row r="555">
      <x:c r="A555" s="187" t="n">
        <x:v>43145</x:v>
      </x:c>
      <x:c r="B555" s="197" t="n">
        <x:v>107.4691</x:v>
      </x:c>
    </x:row>
    <x:row r="556">
      <x:c r="A556" s="187" t="n">
        <x:v>43146</x:v>
      </x:c>
      <x:c r="B556" s="197" t="n">
        <x:v>106.9867</x:v>
      </x:c>
    </x:row>
    <x:row r="557">
      <x:c r="A557" s="187" t="n">
        <x:v>43147</x:v>
      </x:c>
      <x:c r="B557" s="197" t="n">
        <x:v>107.0359</x:v>
      </x:c>
    </x:row>
    <x:row r="558">
      <x:c r="A558" s="187" t="n">
        <x:v>43150</x:v>
      </x:c>
      <x:c r="B558" s="197"/>
    </x:row>
    <x:row r="559">
      <x:c r="A559" s="187" t="n">
        <x:v>43151</x:v>
      </x:c>
      <x:c r="B559" s="197" t="n">
        <x:v>107.6249</x:v>
      </x:c>
    </x:row>
    <x:row r="560">
      <x:c r="A560" s="187" t="n">
        <x:v>43152</x:v>
      </x:c>
      <x:c r="B560" s="197" t="n">
        <x:v>107.8679</x:v>
      </x:c>
    </x:row>
    <x:row r="561">
      <x:c r="A561" s="187" t="n">
        <x:v>43153</x:v>
      </x:c>
      <x:c r="B561" s="197" t="n">
        <x:v>107.8668</x:v>
      </x:c>
    </x:row>
    <x:row r="562">
      <x:c r="A562" s="187" t="n">
        <x:v>43154</x:v>
      </x:c>
      <x:c r="B562" s="197" t="n">
        <x:v>107.6804</x:v>
      </x:c>
    </x:row>
    <x:row r="563">
      <x:c r="A563" s="187" t="n">
        <x:v>43157</x:v>
      </x:c>
      <x:c r="B563" s="197" t="n">
        <x:v>107.7347</x:v>
      </x:c>
    </x:row>
    <x:row r="564">
      <x:c r="A564" s="187" t="n">
        <x:v>43158</x:v>
      </x:c>
      <x:c r="B564" s="197" t="n">
        <x:v>108.1731</x:v>
      </x:c>
    </x:row>
    <x:row r="565">
      <x:c r="A565" s="187" t="n">
        <x:v>43159</x:v>
      </x:c>
      <x:c r="B565" s="197" t="n">
        <x:v>108.3903</x:v>
      </x:c>
    </x:row>
    <x:row r="566">
      <x:c r="A566" s="187" t="n">
        <x:v>43160</x:v>
      </x:c>
      <x:c r="B566" s="197" t="n">
        <x:v>108.5358</x:v>
      </x:c>
    </x:row>
    <x:row r="567">
      <x:c r="A567" s="187" t="n">
        <x:v>43161</x:v>
      </x:c>
      <x:c r="B567" s="197"/>
    </x:row>
    <x:row r="568">
      <x:c r="A568" s="187" t="n">
        <x:v>43164</x:v>
      </x:c>
      <x:c r="B568" s="197" t="n">
        <x:v>108.3614</x:v>
      </x:c>
    </x:row>
    <x:row r="569">
      <x:c r="A569" s="187" t="n">
        <x:v>43165</x:v>
      </x:c>
      <x:c r="B569" s="197" t="n">
        <x:v>107.7969</x:v>
      </x:c>
    </x:row>
    <x:row r="570">
      <x:c r="A570" s="187" t="n">
        <x:v>43166</x:v>
      </x:c>
      <x:c r="B570" s="197" t="n">
        <x:v>108.0911</x:v>
      </x:c>
    </x:row>
    <x:row r="571">
      <x:c r="A571" s="187" t="n">
        <x:v>43167</x:v>
      </x:c>
      <x:c r="B571" s="197" t="n">
        <x:v>108.2671</x:v>
      </x:c>
    </x:row>
    <x:row r="572">
      <x:c r="A572" s="187" t="n">
        <x:v>43168</x:v>
      </x:c>
      <x:c r="B572" s="197" t="n">
        <x:v>107.923</x:v>
      </x:c>
    </x:row>
    <x:row r="573">
      <x:c r="A573" s="187" t="n">
        <x:v>43171</x:v>
      </x:c>
      <x:c r="B573" s="197" t="n">
        <x:v>107.9438</x:v>
      </x:c>
    </x:row>
    <x:row r="574">
      <x:c r="A574" s="187" t="n">
        <x:v>43172</x:v>
      </x:c>
      <x:c r="B574" s="197" t="n">
        <x:v>107.7384</x:v>
      </x:c>
    </x:row>
    <x:row r="575">
      <x:c r="A575" s="187" t="n">
        <x:v>43173</x:v>
      </x:c>
      <x:c r="B575" s="197" t="n">
        <x:v>107.8623</x:v>
      </x:c>
    </x:row>
    <x:row r="576">
      <x:c r="A576" s="187" t="n">
        <x:v>43174</x:v>
      </x:c>
      <x:c r="B576" s="197" t="n">
        <x:v>108.2032</x:v>
      </x:c>
    </x:row>
    <x:row r="577">
      <x:c r="A577" s="187" t="n">
        <x:v>43175</x:v>
      </x:c>
      <x:c r="B577" s="197" t="n">
        <x:v>108.4332</x:v>
      </x:c>
    </x:row>
    <x:row r="578">
      <x:c r="A578" s="187" t="n">
        <x:v>43178</x:v>
      </x:c>
      <x:c r="B578" s="197" t="n">
        <x:v>108.3145</x:v>
      </x:c>
    </x:row>
    <x:row r="579">
      <x:c r="A579" s="187" t="n">
        <x:v>43179</x:v>
      </x:c>
      <x:c r="B579" s="197" t="n">
        <x:v>108.4953</x:v>
      </x:c>
    </x:row>
    <x:row r="580">
      <x:c r="A580" s="187" t="n">
        <x:v>43180</x:v>
      </x:c>
      <x:c r="B580" s="197"/>
    </x:row>
    <x:row r="581">
      <x:c r="A581" s="187" t="n">
        <x:v>43181</x:v>
      </x:c>
      <x:c r="B581" s="197" t="n">
        <x:v>107.9935</x:v>
      </x:c>
    </x:row>
    <x:row r="582">
      <x:c r="A582" s="187" t="n">
        <x:v>43182</x:v>
      </x:c>
      <x:c r="B582" s="197" t="n">
        <x:v>107.7495</x:v>
      </x:c>
    </x:row>
    <x:row r="583">
      <x:c r="A583" s="187" t="n">
        <x:v>43185</x:v>
      </x:c>
      <x:c r="B583" s="197" t="n">
        <x:v>107.1819</x:v>
      </x:c>
    </x:row>
    <x:row r="584">
      <x:c r="A584" s="187" t="n">
        <x:v>43186</x:v>
      </x:c>
      <x:c r="B584" s="197" t="n">
        <x:v>107.3359</x:v>
      </x:c>
    </x:row>
    <x:row r="585">
      <x:c r="A585" s="187" t="n">
        <x:v>43187</x:v>
      </x:c>
      <x:c r="B585" s="197" t="n">
        <x:v>107.5733</x:v>
      </x:c>
    </x:row>
    <x:row r="586">
      <x:c r="A586" s="187" t="n">
        <x:v>43188</x:v>
      </x:c>
      <x:c r="B586" s="197" t="n">
        <x:v>107.665</x:v>
      </x:c>
    </x:row>
    <x:row r="587">
      <x:c r="A587" s="187" t="n">
        <x:v>43189</x:v>
      </x:c>
      <x:c r="B587" s="197" t="n">
        <x:v>107.4784</x:v>
      </x:c>
    </x:row>
    <x:row r="588">
      <x:c r="A588" s="187" t="n">
        <x:v>43192</x:v>
      </x:c>
      <x:c r="B588" s="197" t="n">
        <x:v>107.7033</x:v>
      </x:c>
    </x:row>
    <x:row r="589">
      <x:c r="A589" s="187" t="n">
        <x:v>43193</x:v>
      </x:c>
      <x:c r="B589" s="197" t="n">
        <x:v>107.5624</x:v>
      </x:c>
    </x:row>
    <x:row r="590">
      <x:c r="A590" s="187" t="n">
        <x:v>43194</x:v>
      </x:c>
      <x:c r="B590" s="197" t="n">
        <x:v>107.6361</x:v>
      </x:c>
    </x:row>
    <x:row r="591">
      <x:c r="A591" s="187" t="n">
        <x:v>43195</x:v>
      </x:c>
      <x:c r="B591" s="197" t="n">
        <x:v>107.7281</x:v>
      </x:c>
    </x:row>
    <x:row r="592">
      <x:c r="A592" s="187" t="n">
        <x:v>43196</x:v>
      </x:c>
      <x:c r="B592" s="197" t="n">
        <x:v>107.7886</x:v>
      </x:c>
    </x:row>
    <x:row r="593">
      <x:c r="A593" s="187" t="n">
        <x:v>43199</x:v>
      </x:c>
      <x:c r="B593" s="197" t="n">
        <x:v>107.5316</x:v>
      </x:c>
    </x:row>
    <x:row r="594">
      <x:c r="A594" s="187" t="n">
        <x:v>43200</x:v>
      </x:c>
      <x:c r="B594" s="197" t="n">
        <x:v>107.3659</x:v>
      </x:c>
    </x:row>
    <x:row r="595">
      <x:c r="A595" s="187" t="n">
        <x:v>43201</x:v>
      </x:c>
      <x:c r="B595" s="197" t="n">
        <x:v>107.1224</x:v>
      </x:c>
    </x:row>
    <x:row r="596">
      <x:c r="A596" s="187" t="n">
        <x:v>43202</x:v>
      </x:c>
      <x:c r="B596" s="197" t="n">
        <x:v>107.2905</x:v>
      </x:c>
    </x:row>
    <x:row r="597">
      <x:c r="A597" s="187" t="n">
        <x:v>43203</x:v>
      </x:c>
      <x:c r="B597" s="197" t="n">
        <x:v>107.2368</x:v>
      </x:c>
    </x:row>
    <x:row r="598">
      <x:c r="A598" s="187" t="n">
        <x:v>43206</x:v>
      </x:c>
      <x:c r="B598" s="197" t="n">
        <x:v>107.0595</x:v>
      </x:c>
    </x:row>
    <x:row r="599">
      <x:c r="A599" s="187" t="n">
        <x:v>43207</x:v>
      </x:c>
      <x:c r="B599" s="197" t="n">
        <x:v>107.0344</x:v>
      </x:c>
    </x:row>
    <x:row r="600">
      <x:c r="A600" s="187" t="n">
        <x:v>43208</x:v>
      </x:c>
      <x:c r="B600" s="197" t="n">
        <x:v>107.1096</x:v>
      </x:c>
    </x:row>
    <x:row r="601">
      <x:c r="A601" s="187" t="n">
        <x:v>43209</x:v>
      </x:c>
      <x:c r="B601" s="197" t="n">
        <x:v>107.5197</x:v>
      </x:c>
    </x:row>
    <x:row r="602">
      <x:c r="A602" s="187" t="n">
        <x:v>43210</x:v>
      </x:c>
      <x:c r="B602" s="197" t="n">
        <x:v>108.1787</x:v>
      </x:c>
    </x:row>
    <x:row r="603">
      <x:c r="A603" s="187" t="n">
        <x:v>43213</x:v>
      </x:c>
      <x:c r="B603" s="197" t="n">
        <x:v>108.9332</x:v>
      </x:c>
    </x:row>
    <x:row r="604">
      <x:c r="A604" s="187" t="n">
        <x:v>43214</x:v>
      </x:c>
      <x:c r="B604" s="197" t="n">
        <x:v>108.7906</x:v>
      </x:c>
    </x:row>
    <x:row r="605">
      <x:c r="A605" s="187" t="n">
        <x:v>43215</x:v>
      </x:c>
      <x:c r="B605" s="197" t="n">
        <x:v>109.3447</x:v>
      </x:c>
    </x:row>
    <x:row r="606">
      <x:c r="A606" s="187" t="n">
        <x:v>43216</x:v>
      </x:c>
      <x:c r="B606" s="197" t="n">
        <x:v>109.3646</x:v>
      </x:c>
    </x:row>
    <x:row r="607">
      <x:c r="A607" s="187" t="n">
        <x:v>43217</x:v>
      </x:c>
      <x:c r="B607" s="197" t="n">
        <x:v>109.1735</x:v>
      </x:c>
    </x:row>
    <x:row r="608">
      <x:c r="A608" s="187" t="n">
        <x:v>43220</x:v>
      </x:c>
      <x:c r="B608" s="197" t="n">
        <x:v>109.3363</x:v>
      </x:c>
    </x:row>
    <x:row r="609">
      <x:c r="A609" s="187" t="n">
        <x:v>43221</x:v>
      </x:c>
      <x:c r="B609" s="197" t="n">
        <x:v>109.7445</x:v>
      </x:c>
    </x:row>
    <x:row r="610">
      <x:c r="A610" s="187" t="n">
        <x:v>43222</x:v>
      </x:c>
      <x:c r="B610" s="197" t="n">
        <x:v>110.1625</x:v>
      </x:c>
    </x:row>
    <x:row r="611">
      <x:c r="A611" s="187" t="n">
        <x:v>43223</x:v>
      </x:c>
      <x:c r="B611" s="197" t="n">
        <x:v>110.1803</x:v>
      </x:c>
    </x:row>
    <x:row r="612">
      <x:c r="A612" s="187" t="n">
        <x:v>43224</x:v>
      </x:c>
      <x:c r="B612" s="197" t="n">
        <x:v>110.25</x:v>
      </x:c>
    </x:row>
    <x:row r="613">
      <x:c r="A613" s="187" t="n">
        <x:v>43227</x:v>
      </x:c>
      <x:c r="B613" s="197" t="n">
        <x:v>110.5721</x:v>
      </x:c>
    </x:row>
    <x:row r="614">
      <x:c r="A614" s="187" t="n">
        <x:v>43228</x:v>
      </x:c>
      <x:c r="B614" s="197" t="n">
        <x:v>111.063</x:v>
      </x:c>
    </x:row>
    <x:row r="615">
      <x:c r="A615" s="187" t="n">
        <x:v>43229</x:v>
      </x:c>
      <x:c r="B615" s="197" t="n">
        <x:v>110.8818</x:v>
      </x:c>
    </x:row>
    <x:row r="616">
      <x:c r="A616" s="187" t="n">
        <x:v>43230</x:v>
      </x:c>
      <x:c r="B616" s="197" t="n">
        <x:v>110.405</x:v>
      </x:c>
    </x:row>
    <x:row r="617">
      <x:c r="A617" s="187" t="n">
        <x:v>43231</x:v>
      </x:c>
      <x:c r="B617" s="197" t="n">
        <x:v>110.2847</x:v>
      </x:c>
    </x:row>
    <x:row r="618">
      <x:c r="A618" s="187" t="n">
        <x:v>43234</x:v>
      </x:c>
      <x:c r="B618" s="197" t="n">
        <x:v>110.408</x:v>
      </x:c>
    </x:row>
    <x:row r="619">
      <x:c r="A619" s="187" t="n">
        <x:v>43235</x:v>
      </x:c>
      <x:c r="B619" s="197" t="n">
        <x:v>111.2292</x:v>
      </x:c>
    </x:row>
    <x:row r="620">
      <x:c r="A620" s="187" t="n">
        <x:v>43236</x:v>
      </x:c>
      <x:c r="B620" s="197" t="n">
        <x:v>111.3068</x:v>
      </x:c>
    </x:row>
    <x:row r="621">
      <x:c r="A621" s="187" t="n">
        <x:v>43237</x:v>
      </x:c>
      <x:c r="B621" s="197" t="n">
        <x:v>111.3547</x:v>
      </x:c>
    </x:row>
    <x:row r="622">
      <x:c r="A622" s="187" t="n">
        <x:v>43238</x:v>
      </x:c>
      <x:c r="B622" s="197" t="n">
        <x:v>111.7171</x:v>
      </x:c>
    </x:row>
    <x:row r="623">
      <x:c r="A623" s="187" t="n">
        <x:v>43241</x:v>
      </x:c>
      <x:c r="B623" s="197" t="n">
        <x:v>111.6394</x:v>
      </x:c>
    </x:row>
    <x:row r="624">
      <x:c r="A624" s="187" t="n">
        <x:v>43242</x:v>
      </x:c>
      <x:c r="B624" s="197" t="n">
        <x:v>111.1945</x:v>
      </x:c>
    </x:row>
    <x:row r="625">
      <x:c r="A625" s="187" t="n">
        <x:v>43243</x:v>
      </x:c>
      <x:c r="B625" s="197" t="n">
        <x:v>111.6933</x:v>
      </x:c>
    </x:row>
    <x:row r="626">
      <x:c r="A626" s="187" t="n">
        <x:v>43244</x:v>
      </x:c>
      <x:c r="B626" s="197" t="n">
        <x:v>111.4885</x:v>
      </x:c>
    </x:row>
    <x:row r="627">
      <x:c r="A627" s="187" t="n">
        <x:v>43245</x:v>
      </x:c>
      <x:c r="B627" s="197" t="n">
        <x:v>111.5843</x:v>
      </x:c>
    </x:row>
    <x:row r="628">
      <x:c r="A628" s="187" t="n">
        <x:v>43248</x:v>
      </x:c>
      <x:c r="B628" s="197"/>
    </x:row>
    <x:row r="629">
      <x:c r="A629" s="187" t="n">
        <x:v>43249</x:v>
      </x:c>
      <x:c r="B629" s="197" t="n">
        <x:v>112.2127</x:v>
      </x:c>
    </x:row>
    <x:row r="630">
      <x:c r="A630" s="187" t="n">
        <x:v>43250</x:v>
      </x:c>
      <x:c r="B630" s="197" t="n">
        <x:v>111.6731</x:v>
      </x:c>
    </x:row>
    <x:row r="631">
      <x:c r="A631" s="187" t="n">
        <x:v>43251</x:v>
      </x:c>
      <x:c r="B631" s="197" t="n">
        <x:v>111.9894</x:v>
      </x:c>
    </x:row>
    <x:row r="632">
      <x:c r="A632" s="187" t="n">
        <x:v>43252</x:v>
      </x:c>
      <x:c r="B632" s="197" t="n">
        <x:v>111.8265</x:v>
      </x:c>
    </x:row>
    <x:row r="633">
      <x:c r="A633" s="187" t="n">
        <x:v>43255</x:v>
      </x:c>
      <x:c r="B633" s="197" t="n">
        <x:v>111.8247</x:v>
      </x:c>
    </x:row>
    <x:row r="634">
      <x:c r="A634" s="187" t="n">
        <x:v>43256</x:v>
      </x:c>
      <x:c r="B634" s="197" t="n">
        <x:v>112.264</x:v>
      </x:c>
    </x:row>
    <x:row r="635">
      <x:c r="A635" s="187" t="n">
        <x:v>43257</x:v>
      </x:c>
      <x:c r="B635" s="197" t="n">
        <x:v>111.7525</x:v>
      </x:c>
    </x:row>
    <x:row r="636">
      <x:c r="A636" s="187" t="n">
        <x:v>43258</x:v>
      </x:c>
      <x:c r="B636" s="197" t="n">
        <x:v>112.0725</x:v>
      </x:c>
    </x:row>
    <x:row r="637">
      <x:c r="A637" s="187" t="n">
        <x:v>43259</x:v>
      </x:c>
      <x:c r="B637" s="197" t="n">
        <x:v>112.1066</x:v>
      </x:c>
    </x:row>
    <x:row r="638">
      <x:c r="A638" s="187" t="n">
        <x:v>43262</x:v>
      </x:c>
      <x:c r="B638" s="197" t="n">
        <x:v>112.1106</x:v>
      </x:c>
    </x:row>
    <x:row r="639">
      <x:c r="A639" s="187" t="n">
        <x:v>43263</x:v>
      </x:c>
      <x:c r="B639" s="197" t="n">
        <x:v>112.2138</x:v>
      </x:c>
    </x:row>
    <x:row r="640">
      <x:c r="A640" s="187" t="n">
        <x:v>43264</x:v>
      </x:c>
      <x:c r="B640" s="197" t="n">
        <x:v>112.2577</x:v>
      </x:c>
    </x:row>
    <x:row r="641">
      <x:c r="A641" s="187" t="n">
        <x:v>43265</x:v>
      </x:c>
      <x:c r="B641" s="197" t="n">
        <x:v>112.8593</x:v>
      </x:c>
    </x:row>
    <x:row r="642">
      <x:c r="A642" s="187" t="n">
        <x:v>43266</x:v>
      </x:c>
      <x:c r="B642" s="197" t="n">
        <x:v>113.3379</x:v>
      </x:c>
    </x:row>
    <x:row r="643">
      <x:c r="A643" s="187" t="n">
        <x:v>43269</x:v>
      </x:c>
      <x:c r="B643" s="197" t="n">
        <x:v>113.4899</x:v>
      </x:c>
    </x:row>
    <x:row r="644">
      <x:c r="A644" s="187" t="n">
        <x:v>43270</x:v>
      </x:c>
      <x:c r="B644" s="197" t="n">
        <x:v>113.639</x:v>
      </x:c>
    </x:row>
    <x:row r="645">
      <x:c r="A645" s="187" t="n">
        <x:v>43271</x:v>
      </x:c>
      <x:c r="B645" s="197" t="n">
        <x:v>113.4784</x:v>
      </x:c>
    </x:row>
    <x:row r="646">
      <x:c r="A646" s="187" t="n">
        <x:v>43272</x:v>
      </x:c>
      <x:c r="B646" s="197" t="n">
        <x:v>113.6109</x:v>
      </x:c>
    </x:row>
    <x:row r="647">
      <x:c r="A647" s="187" t="n">
        <x:v>43273</x:v>
      </x:c>
      <x:c r="B647" s="197" t="n">
        <x:v>113.3047</x:v>
      </x:c>
    </x:row>
    <x:row r="648">
      <x:c r="A648" s="187" t="n">
        <x:v>43276</x:v>
      </x:c>
      <x:c r="B648" s="197" t="n">
        <x:v>113.286</x:v>
      </x:c>
    </x:row>
    <x:row r="649">
      <x:c r="A649" s="187" t="n">
        <x:v>43277</x:v>
      </x:c>
      <x:c r="B649" s="197" t="n">
        <x:v>113.3016</x:v>
      </x:c>
    </x:row>
    <x:row r="650">
      <x:c r="A650" s="187" t="n">
        <x:v>43278</x:v>
      </x:c>
      <x:c r="B650" s="197" t="n">
        <x:v>113.8971</x:v>
      </x:c>
    </x:row>
    <x:row r="651">
      <x:c r="A651" s="187" t="n">
        <x:v>43279</x:v>
      </x:c>
      <x:c r="B651" s="197" t="n">
        <x:v>113.8405</x:v>
      </x:c>
    </x:row>
    <x:row r="652">
      <x:c r="A652" s="187" t="n">
        <x:v>43280</x:v>
      </x:c>
      <x:c r="B652" s="197" t="n">
        <x:v>113.2586</x:v>
      </x:c>
    </x:row>
    <x:row r="653">
      <x:c r="A653" s="187" t="n">
        <x:v>43283</x:v>
      </x:c>
      <x:c r="B653" s="197" t="n">
        <x:v>114.1673</x:v>
      </x:c>
    </x:row>
    <x:row r="654">
      <x:c r="A654" s="187" t="n">
        <x:v>43284</x:v>
      </x:c>
      <x:c r="B654" s="197" t="n">
        <x:v>113.3222</x:v>
      </x:c>
    </x:row>
    <x:row r="655">
      <x:c r="A655" s="187" t="n">
        <x:v>43285</x:v>
      </x:c>
      <x:c r="B655" s="197"/>
    </x:row>
    <x:row r="656">
      <x:c r="A656" s="187" t="n">
        <x:v>43286</x:v>
      </x:c>
      <x:c r="B656" s="197" t="n">
        <x:v>112.9759</x:v>
      </x:c>
    </x:row>
    <x:row r="657">
      <x:c r="A657" s="187" t="n">
        <x:v>43287</x:v>
      </x:c>
      <x:c r="B657" s="197" t="n">
        <x:v>112.6428</x:v>
      </x:c>
    </x:row>
    <x:row r="658">
      <x:c r="A658" s="187" t="n">
        <x:v>43290</x:v>
      </x:c>
      <x:c r="B658" s="197" t="n">
        <x:v>112.6425</x:v>
      </x:c>
    </x:row>
    <x:row r="659">
      <x:c r="A659" s="187" t="n">
        <x:v>43291</x:v>
      </x:c>
      <x:c r="B659" s="197" t="n">
        <x:v>112.5794</x:v>
      </x:c>
    </x:row>
    <x:row r="660">
      <x:c r="A660" s="187" t="n">
        <x:v>43292</x:v>
      </x:c>
      <x:c r="B660" s="197" t="n">
        <x:v>112.8582</x:v>
      </x:c>
    </x:row>
    <x:row r="661">
      <x:c r="A661" s="187" t="n">
        <x:v>43293</x:v>
      </x:c>
      <x:c r="B661" s="197" t="n">
        <x:v>112.779</x:v>
      </x:c>
    </x:row>
    <x:row r="662">
      <x:c r="A662" s="187" t="n">
        <x:v>43294</x:v>
      </x:c>
      <x:c r="B662" s="197" t="n">
        <x:v>113.0705</x:v>
      </x:c>
    </x:row>
    <x:row r="663">
      <x:c r="A663" s="187" t="n">
        <x:v>43297</x:v>
      </x:c>
      <x:c r="B663" s="197" t="n">
        <x:v>112.8437</x:v>
      </x:c>
    </x:row>
    <x:row r="664">
      <x:c r="A664" s="187" t="n">
        <x:v>43298</x:v>
      </x:c>
      <x:c r="B664" s="197" t="n">
        <x:v>113.1504</x:v>
      </x:c>
    </x:row>
    <x:row r="665">
      <x:c r="A665" s="187" t="n">
        <x:v>43299</x:v>
      </x:c>
      <x:c r="B665" s="197" t="n">
        <x:v>113.3348</x:v>
      </x:c>
    </x:row>
    <x:row r="666">
      <x:c r="A666" s="187" t="n">
        <x:v>43300</x:v>
      </x:c>
      <x:c r="B666" s="197" t="n">
        <x:v>113.9463</x:v>
      </x:c>
    </x:row>
    <x:row r="667">
      <x:c r="A667" s="187" t="n">
        <x:v>43301</x:v>
      </x:c>
      <x:c r="B667" s="197" t="n">
        <x:v>113.3213</x:v>
      </x:c>
    </x:row>
    <x:row r="668">
      <x:c r="A668" s="187" t="n">
        <x:v>43304</x:v>
      </x:c>
      <x:c r="B668" s="197" t="n">
        <x:v>113.4246</x:v>
      </x:c>
    </x:row>
    <x:row r="669">
      <x:c r="A669" s="187" t="n">
        <x:v>43305</x:v>
      </x:c>
      <x:c r="B669" s="197" t="n">
        <x:v>113.2045</x:v>
      </x:c>
    </x:row>
    <x:row r="670">
      <x:c r="A670" s="187" t="n">
        <x:v>43306</x:v>
      </x:c>
      <x:c r="B670" s="197" t="n">
        <x:v>112.9221</x:v>
      </x:c>
    </x:row>
    <x:row r="671">
      <x:c r="A671" s="187" t="n">
        <x:v>43307</x:v>
      </x:c>
      <x:c r="B671" s="197" t="n">
        <x:v>112.9179</x:v>
      </x:c>
    </x:row>
    <x:row r="672">
      <x:c r="A672" s="187" t="n">
        <x:v>43308</x:v>
      </x:c>
      <x:c r="B672" s="197" t="n">
        <x:v>112.8125</x:v>
      </x:c>
    </x:row>
    <x:row r="673">
      <x:c r="A673" s="187" t="n">
        <x:v>43311</x:v>
      </x:c>
      <x:c r="B673" s="197" t="n">
        <x:v>112.6044</x:v>
      </x:c>
    </x:row>
    <x:row r="674">
      <x:c r="A674" s="187" t="n">
        <x:v>43312</x:v>
      </x:c>
      <x:c r="B674" s="197" t="n">
        <x:v>112.7299</x:v>
      </x:c>
    </x:row>
    <x:row r="675">
      <x:c r="A675" s="187" t="n">
        <x:v>43313</x:v>
      </x:c>
      <x:c r="B675" s="197" t="n">
        <x:v>112.8899</x:v>
      </x:c>
    </x:row>
    <x:row r="676">
      <x:c r="A676" s="187" t="n">
        <x:v>43314</x:v>
      </x:c>
      <x:c r="B676" s="197" t="n">
        <x:v>113.1679</x:v>
      </x:c>
    </x:row>
    <x:row r="677">
      <x:c r="A677" s="187" t="n">
        <x:v>43315</x:v>
      </x:c>
      <x:c r="B677" s="197" t="n">
        <x:v>113.012</x:v>
      </x:c>
    </x:row>
    <x:row r="678">
      <x:c r="A678" s="187" t="n">
        <x:v>43318</x:v>
      </x:c>
      <x:c r="B678" s="197" t="n">
        <x:v>113.229</x:v>
      </x:c>
    </x:row>
    <x:row r="679">
      <x:c r="A679" s="187" t="n">
        <x:v>43319</x:v>
      </x:c>
      <x:c r="B679" s="197" t="n">
        <x:v>112.9759</x:v>
      </x:c>
    </x:row>
    <x:row r="680">
      <x:c r="A680" s="187" t="n">
        <x:v>43320</x:v>
      </x:c>
      <x:c r="B680" s="197" t="n">
        <x:v>113.1411</x:v>
      </x:c>
    </x:row>
    <x:row r="681">
      <x:c r="A681" s="187" t="n">
        <x:v>43321</x:v>
      </x:c>
      <x:c r="B681" s="197" t="n">
        <x:v>113.3806</x:v>
      </x:c>
    </x:row>
    <x:row r="682">
      <x:c r="A682" s="187" t="n">
        <x:v>43322</x:v>
      </x:c>
      <x:c r="B682" s="197" t="n">
        <x:v>114.3005</x:v>
      </x:c>
    </x:row>
    <x:row r="683">
      <x:c r="A683" s="187" t="n">
        <x:v>43325</x:v>
      </x:c>
      <x:c r="B683" s="197" t="n">
        <x:v>114.851</x:v>
      </x:c>
    </x:row>
    <x:row r="684">
      <x:c r="A684" s="187" t="n">
        <x:v>43326</x:v>
      </x:c>
      <x:c r="B684" s="197" t="n">
        <x:v>114.658</x:v>
      </x:c>
    </x:row>
    <x:row r="685">
      <x:c r="A685" s="187" t="n">
        <x:v>43327</x:v>
      </x:c>
      <x:c r="B685" s="197" t="n">
        <x:v>115.1526</x:v>
      </x:c>
    </x:row>
    <x:row r="686">
      <x:c r="A686" s="187" t="n">
        <x:v>43328</x:v>
      </x:c>
      <x:c r="B686" s="197" t="n">
        <x:v>114.6416</x:v>
      </x:c>
    </x:row>
    <x:row r="687">
      <x:c r="A687" s="187" t="n">
        <x:v>43329</x:v>
      </x:c>
      <x:c r="B687" s="197" t="n">
        <x:v>114.5339</x:v>
      </x:c>
    </x:row>
    <x:row r="688">
      <x:c r="A688" s="187" t="n">
        <x:v>43332</x:v>
      </x:c>
      <x:c r="B688" s="197" t="n">
        <x:v>114.3504</x:v>
      </x:c>
    </x:row>
    <x:row r="689">
      <x:c r="A689" s="187" t="n">
        <x:v>43333</x:v>
      </x:c>
      <x:c r="B689" s="197" t="n">
        <x:v>113.8604</x:v>
      </x:c>
    </x:row>
    <x:row r="690">
      <x:c r="A690" s="187" t="n">
        <x:v>43334</x:v>
      </x:c>
      <x:c r="B690" s="197" t="n">
        <x:v>113.663</x:v>
      </x:c>
    </x:row>
    <x:row r="691">
      <x:c r="A691" s="187" t="n">
        <x:v>43335</x:v>
      </x:c>
      <x:c r="B691" s="197" t="n">
        <x:v>114.0932</x:v>
      </x:c>
    </x:row>
    <x:row r="692">
      <x:c r="A692" s="187" t="n">
        <x:v>43336</x:v>
      </x:c>
      <x:c r="B692" s="197" t="n">
        <x:v>113.5985</x:v>
      </x:c>
    </x:row>
    <x:row r="693">
      <x:c r="A693" s="187" t="n">
        <x:v>43339</x:v>
      </x:c>
      <x:c r="B693" s="197" t="n">
        <x:v>113.2721</x:v>
      </x:c>
    </x:row>
    <x:row r="694">
      <x:c r="A694" s="187" t="n">
        <x:v>43340</x:v>
      </x:c>
      <x:c r="B694" s="197" t="n">
        <x:v>113.3444</x:v>
      </x:c>
    </x:row>
    <x:row r="695">
      <x:c r="A695" s="187" t="n">
        <x:v>43341</x:v>
      </x:c>
      <x:c r="B695" s="197" t="n">
        <x:v>113.6461</x:v>
      </x:c>
    </x:row>
    <x:row r="696">
      <x:c r="A696" s="187" t="n">
        <x:v>43342</x:v>
      </x:c>
      <x:c r="B696" s="197" t="n">
        <x:v>114.0899</x:v>
      </x:c>
    </x:row>
    <x:row r="697">
      <x:c r="A697" s="187" t="n">
        <x:v>43343</x:v>
      </x:c>
      <x:c r="B697" s="197" t="n">
        <x:v>114.2755</x:v>
      </x:c>
    </x:row>
    <x:row r="698">
      <x:c r="A698" s="187" t="n">
        <x:v>43346</x:v>
      </x:c>
      <x:c r="B698" s="197"/>
    </x:row>
    <x:row r="699">
      <x:c r="A699" s="187" t="n">
        <x:v>43347</x:v>
      </x:c>
      <x:c r="B699" s="197" t="n">
        <x:v>114.8584</x:v>
      </x:c>
    </x:row>
    <x:row r="700">
      <x:c r="A700" s="187" t="n">
        <x:v>43348</x:v>
      </x:c>
      <x:c r="B700" s="197" t="n">
        <x:v>114.7477</x:v>
      </x:c>
    </x:row>
    <x:row r="701">
      <x:c r="A701" s="187" t="n">
        <x:v>43349</x:v>
      </x:c>
      <x:c r="B701" s="197" t="n">
        <x:v>114.6479</x:v>
      </x:c>
    </x:row>
    <x:row r="702">
      <x:c r="A702" s="187" t="n">
        <x:v>43350</x:v>
      </x:c>
      <x:c r="B702" s="197" t="n">
        <x:v>114.5816</x:v>
      </x:c>
    </x:row>
    <x:row r="703">
      <x:c r="A703" s="187" t="n">
        <x:v>43353</x:v>
      </x:c>
      <x:c r="B703" s="197" t="n">
        <x:v>114.6802</x:v>
      </x:c>
    </x:row>
    <x:row r="704">
      <x:c r="A704" s="187" t="n">
        <x:v>43354</x:v>
      </x:c>
      <x:c r="B704" s="197" t="n">
        <x:v>114.7051</x:v>
      </x:c>
    </x:row>
    <x:row r="705">
      <x:c r="A705" s="187" t="n">
        <x:v>43355</x:v>
      </x:c>
      <x:c r="B705" s="197" t="n">
        <x:v>114.2192</x:v>
      </x:c>
    </x:row>
    <x:row r="706">
      <x:c r="A706" s="187" t="n">
        <x:v>43356</x:v>
      </x:c>
      <x:c r="B706" s="197" t="n">
        <x:v>113.9268</x:v>
      </x:c>
    </x:row>
    <x:row r="707">
      <x:c r="A707" s="187" t="n">
        <x:v>43357</x:v>
      </x:c>
      <x:c r="B707" s="197" t="n">
        <x:v>114.0657</x:v>
      </x:c>
    </x:row>
    <x:row r="708">
      <x:c r="A708" s="187" t="n">
        <x:v>43360</x:v>
      </x:c>
      <x:c r="B708" s="197" t="n">
        <x:v>113.9158</x:v>
      </x:c>
    </x:row>
    <x:row r="709">
      <x:c r="A709" s="187" t="n">
        <x:v>43361</x:v>
      </x:c>
      <x:c r="B709" s="197" t="n">
        <x:v>113.7739</x:v>
      </x:c>
    </x:row>
    <x:row r="710">
      <x:c r="A710" s="187" t="n">
        <x:v>43362</x:v>
      </x:c>
      <x:c r="B710" s="197" t="n">
        <x:v>113.6532</x:v>
      </x:c>
    </x:row>
    <x:row r="711">
      <x:c r="A711" s="187" t="n">
        <x:v>43363</x:v>
      </x:c>
      <x:c r="B711" s="197" t="n">
        <x:v>113.4989</x:v>
      </x:c>
    </x:row>
    <x:row r="712">
      <x:c r="A712" s="187" t="n">
        <x:v>43364</x:v>
      </x:c>
      <x:c r="B712" s="197" t="n">
        <x:v>113.5099</x:v>
      </x:c>
    </x:row>
    <x:row r="713">
      <x:c r="A713" s="187" t="n">
        <x:v>43367</x:v>
      </x:c>
      <x:c r="B713" s="197" t="n">
        <x:v>113.5301</x:v>
      </x:c>
    </x:row>
    <x:row r="714">
      <x:c r="A714" s="187" t="n">
        <x:v>43368</x:v>
      </x:c>
      <x:c r="B714" s="197" t="n">
        <x:v>113.7202</x:v>
      </x:c>
    </x:row>
    <x:row r="715">
      <x:c r="A715" s="187" t="n">
        <x:v>43369</x:v>
      </x:c>
      <x:c r="B715" s="197" t="n">
        <x:v>113.6739</x:v>
      </x:c>
    </x:row>
    <x:row r="716">
      <x:c r="A716" s="187" t="n">
        <x:v>43370</x:v>
      </x:c>
      <x:c r="B716" s="197" t="n">
        <x:v>113.9784</x:v>
      </x:c>
    </x:row>
    <x:row r="717">
      <x:c r="A717" s="187" t="n">
        <x:v>43371</x:v>
      </x:c>
      <x:c r="B717" s="197" t="n">
        <x:v>113.8077</x:v>
      </x:c>
    </x:row>
    <x:row r="718">
      <x:c r="A718" s="187" t="n">
        <x:v>43374</x:v>
      </x:c>
      <x:c r="B718" s="197" t="n">
        <x:v>113.8235</x:v>
      </x:c>
    </x:row>
    <x:row r="719">
      <x:c r="A719" s="187" t="n">
        <x:v>43375</x:v>
      </x:c>
      <x:c r="B719" s="197" t="n">
        <x:v>113.8954</x:v>
      </x:c>
    </x:row>
    <x:row r="720">
      <x:c r="A720" s="187" t="n">
        <x:v>43376</x:v>
      </x:c>
      <x:c r="B720" s="197" t="n">
        <x:v>114.1569</x:v>
      </x:c>
    </x:row>
    <x:row r="721">
      <x:c r="A721" s="187" t="n">
        <x:v>43377</x:v>
      </x:c>
      <x:c r="B721" s="197" t="n">
        <x:v>114.6867</x:v>
      </x:c>
    </x:row>
    <x:row r="722">
      <x:c r="A722" s="187" t="n">
        <x:v>43378</x:v>
      </x:c>
      <x:c r="B722" s="197" t="n">
        <x:v>114.561</x:v>
      </x:c>
    </x:row>
    <x:row r="723">
      <x:c r="A723" s="187" t="n">
        <x:v>43381</x:v>
      </x:c>
      <x:c r="B723" s="197"/>
    </x:row>
    <x:row r="724">
      <x:c r="A724" s="187" t="n">
        <x:v>43382</x:v>
      </x:c>
      <x:c r="B724" s="197" t="n">
        <x:v>114.6583</x:v>
      </x:c>
    </x:row>
    <x:row r="725">
      <x:c r="A725" s="187" t="n">
        <x:v>43383</x:v>
      </x:c>
      <x:c r="B725" s="197" t="n">
        <x:v>114.6072</x:v>
      </x:c>
    </x:row>
    <x:row r="726">
      <x:c r="A726" s="187" t="n">
        <x:v>43384</x:v>
      </x:c>
      <x:c r="B726" s="197" t="n">
        <x:v>114.4074</x:v>
      </x:c>
    </x:row>
    <x:row r="727">
      <x:c r="A727" s="187" t="n">
        <x:v>43385</x:v>
      </x:c>
      <x:c r="B727" s="197" t="n">
        <x:v>114.3691</x:v>
      </x:c>
    </x:row>
    <x:row r="728">
      <x:c r="A728" s="187" t="n">
        <x:v>43388</x:v>
      </x:c>
      <x:c r="B728" s="197" t="n">
        <x:v>114.045</x:v>
      </x:c>
    </x:row>
    <x:row r="729">
      <x:c r="A729" s="187" t="n">
        <x:v>43389</x:v>
      </x:c>
      <x:c r="B729" s="197" t="n">
        <x:v>113.8963</x:v>
      </x:c>
    </x:row>
    <x:row r="730">
      <x:c r="A730" s="187" t="n">
        <x:v>43390</x:v>
      </x:c>
      <x:c r="B730" s="197" t="n">
        <x:v>114.1755</x:v>
      </x:c>
    </x:row>
    <x:row r="731">
      <x:c r="A731" s="187" t="n">
        <x:v>43391</x:v>
      </x:c>
      <x:c r="B731" s="197" t="n">
        <x:v>114.8164</x:v>
      </x:c>
    </x:row>
    <x:row r="732">
      <x:c r="A732" s="187" t="n">
        <x:v>43392</x:v>
      </x:c>
      <x:c r="B732" s="197" t="n">
        <x:v>114.8567</x:v>
      </x:c>
    </x:row>
    <x:row r="733">
      <x:c r="A733" s="187" t="n">
        <x:v>43395</x:v>
      </x:c>
      <x:c r="B733" s="197" t="n">
        <x:v>115.1782</x:v>
      </x:c>
    </x:row>
    <x:row r="734">
      <x:c r="A734" s="187" t="n">
        <x:v>43396</x:v>
      </x:c>
      <x:c r="B734" s="197" t="n">
        <x:v>115.1651</x:v>
      </x:c>
    </x:row>
    <x:row r="735">
      <x:c r="A735" s="187" t="n">
        <x:v>43397</x:v>
      </x:c>
      <x:c r="B735" s="197" t="n">
        <x:v>115.3755</x:v>
      </x:c>
    </x:row>
    <x:row r="736">
      <x:c r="A736" s="187" t="n">
        <x:v>43398</x:v>
      </x:c>
      <x:c r="B736" s="197" t="n">
        <x:v>115.4831</x:v>
      </x:c>
    </x:row>
    <x:row r="737">
      <x:c r="A737" s="187" t="n">
        <x:v>43399</x:v>
      </x:c>
      <x:c r="B737" s="197" t="n">
        <x:v>115.473</x:v>
      </x:c>
    </x:row>
    <x:row r="738">
      <x:c r="A738" s="187" t="n">
        <x:v>43402</x:v>
      </x:c>
      <x:c r="B738" s="197" t="n">
        <x:v>115.8936</x:v>
      </x:c>
    </x:row>
    <x:row r="739">
      <x:c r="A739" s="187" t="n">
        <x:v>43403</x:v>
      </x:c>
      <x:c r="B739" s="197" t="n">
        <x:v>116.2357</x:v>
      </x:c>
    </x:row>
    <x:row r="740">
      <x:c r="A740" s="187" t="n">
        <x:v>43404</x:v>
      </x:c>
      <x:c r="B740" s="197" t="n">
        <x:v>116.5281</x:v>
      </x:c>
    </x:row>
    <x:row r="741">
      <x:c r="A741" s="187" t="n">
        <x:v>43405</x:v>
      </x:c>
      <x:c r="B741" s="197" t="n">
        <x:v>115.8657</x:v>
      </x:c>
    </x:row>
    <x:row r="742">
      <x:c r="A742" s="187" t="n">
        <x:v>43406</x:v>
      </x:c>
      <x:c r="B742" s="197" t="n">
        <x:v>115.643</x:v>
      </x:c>
    </x:row>
    <x:row r="743">
      <x:c r="A743" s="187" t="n">
        <x:v>43409</x:v>
      </x:c>
      <x:c r="B743" s="197" t="n">
        <x:v>115.703</x:v>
      </x:c>
    </x:row>
    <x:row r="744">
      <x:c r="A744" s="187" t="n">
        <x:v>43410</x:v>
      </x:c>
      <x:c r="B744" s="197" t="n">
        <x:v>115.5622</x:v>
      </x:c>
    </x:row>
    <x:row r="745">
      <x:c r="A745" s="187" t="n">
        <x:v>43411</x:v>
      </x:c>
      <x:c r="B745" s="197" t="n">
        <x:v>115.2519</x:v>
      </x:c>
    </x:row>
    <x:row r="746">
      <x:c r="A746" s="187" t="n">
        <x:v>43412</x:v>
      </x:c>
      <x:c r="B746" s="197" t="n">
        <x:v>115.6478</x:v>
      </x:c>
    </x:row>
    <x:row r="747">
      <x:c r="A747" s="187" t="n">
        <x:v>43413</x:v>
      </x:c>
      <x:c r="B747" s="197" t="n">
        <x:v>116.4778</x:v>
      </x:c>
    </x:row>
    <x:row r="748">
      <x:c r="A748" s="187" t="n">
        <x:v>43416</x:v>
      </x:c>
      <x:c r="B748" s="197"/>
    </x:row>
    <x:row r="749">
      <x:c r="A749" s="187" t="n">
        <x:v>43417</x:v>
      </x:c>
      <x:c r="B749" s="197" t="n">
        <x:v>116.6694</x:v>
      </x:c>
    </x:row>
    <x:row r="750">
      <x:c r="A750" s="187" t="n">
        <x:v>43418</x:v>
      </x:c>
      <x:c r="B750" s="197" t="n">
        <x:v>116.498</x:v>
      </x:c>
    </x:row>
    <x:row r="751">
      <x:c r="A751" s="187" t="n">
        <x:v>43419</x:v>
      </x:c>
      <x:c r="B751" s="197" t="n">
        <x:v>116.3861</x:v>
      </x:c>
    </x:row>
    <x:row r="752">
      <x:c r="A752" s="187" t="n">
        <x:v>43420</x:v>
      </x:c>
      <x:c r="B752" s="197" t="n">
        <x:v>115.9258</x:v>
      </x:c>
    </x:row>
    <x:row r="753">
      <x:c r="A753" s="187" t="n">
        <x:v>43423</x:v>
      </x:c>
      <x:c r="B753" s="197" t="n">
        <x:v>115.9859</x:v>
      </x:c>
    </x:row>
    <x:row r="754">
      <x:c r="A754" s="187" t="n">
        <x:v>43424</x:v>
      </x:c>
      <x:c r="B754" s="197" t="n">
        <x:v>116.2367</x:v>
      </x:c>
    </x:row>
    <x:row r="755">
      <x:c r="A755" s="187" t="n">
        <x:v>43425</x:v>
      </x:c>
      <x:c r="B755" s="197" t="n">
        <x:v>116.092</x:v>
      </x:c>
    </x:row>
    <x:row r="756">
      <x:c r="A756" s="187" t="n">
        <x:v>43426</x:v>
      </x:c>
      <x:c r="B756" s="197"/>
    </x:row>
    <x:row r="757">
      <x:c r="A757" s="187" t="n">
        <x:v>43427</x:v>
      </x:c>
      <x:c r="B757" s="197" t="n">
        <x:v>116.4713</x:v>
      </x:c>
    </x:row>
    <x:row r="758">
      <x:c r="A758" s="187" t="n">
        <x:v>43430</x:v>
      </x:c>
      <x:c r="B758" s="197" t="n">
        <x:v>116.6208</x:v>
      </x:c>
    </x:row>
    <x:row r="759">
      <x:c r="A759" s="187" t="n">
        <x:v>43431</x:v>
      </x:c>
      <x:c r="B759" s="197" t="n">
        <x:v>116.9001</x:v>
      </x:c>
    </x:row>
    <x:row r="760">
      <x:c r="A760" s="187" t="n">
        <x:v>43432</x:v>
      </x:c>
      <x:c r="B760" s="197" t="n">
        <x:v>116.8343</x:v>
      </x:c>
    </x:row>
    <x:row r="761">
      <x:c r="A761" s="187" t="n">
        <x:v>43433</x:v>
      </x:c>
      <x:c r="B761" s="197" t="n">
        <x:v>116.1961</x:v>
      </x:c>
    </x:row>
    <x:row r="762">
      <x:c r="A762" s="187" t="n">
        <x:v>43434</x:v>
      </x:c>
      <x:c r="B762" s="197" t="n">
        <x:v>116.413</x:v>
      </x:c>
    </x:row>
    <x:row r="763">
      <x:c r="A763" s="187" t="n">
        <x:v>43437</x:v>
      </x:c>
      <x:c r="B763" s="197" t="n">
        <x:v>115.9057</x:v>
      </x:c>
    </x:row>
    <x:row r="764">
      <x:c r="A764" s="187" t="n">
        <x:v>43438</x:v>
      </x:c>
      <x:c r="B764" s="197" t="n">
        <x:v>116.0028</x:v>
      </x:c>
    </x:row>
    <x:row r="765">
      <x:c r="A765" s="187" t="n">
        <x:v>43439</x:v>
      </x:c>
      <x:c r="B765" s="197"/>
    </x:row>
    <x:row r="766">
      <x:c r="A766" s="187" t="n">
        <x:v>43440</x:v>
      </x:c>
      <x:c r="B766" s="197" t="n">
        <x:v>116.3991</x:v>
      </x:c>
    </x:row>
    <x:row r="767">
      <x:c r="A767" s="187" t="n">
        <x:v>43441</x:v>
      </x:c>
      <x:c r="B767" s="197" t="n">
        <x:v>116.0847</x:v>
      </x:c>
    </x:row>
    <x:row r="768">
      <x:c r="A768" s="187" t="n">
        <x:v>43444</x:v>
      </x:c>
      <x:c r="B768" s="197" t="n">
        <x:v>116.6746</x:v>
      </x:c>
    </x:row>
    <x:row r="769">
      <x:c r="A769" s="187" t="n">
        <x:v>43445</x:v>
      </x:c>
      <x:c r="B769" s="197" t="n">
        <x:v>116.7564</x:v>
      </x:c>
    </x:row>
    <x:row r="770">
      <x:c r="A770" s="187" t="n">
        <x:v>43446</x:v>
      </x:c>
      <x:c r="B770" s="197" t="n">
        <x:v>116.2214</x:v>
      </x:c>
    </x:row>
    <x:row r="771">
      <x:c r="A771" s="187" t="n">
        <x:v>43447</x:v>
      </x:c>
      <x:c r="B771" s="197" t="n">
        <x:v>116.3974</x:v>
      </x:c>
    </x:row>
    <x:row r="772">
      <x:c r="A772" s="187" t="n">
        <x:v>43448</x:v>
      </x:c>
      <x:c r="B772" s="197" t="n">
        <x:v>116.79</x:v>
      </x:c>
    </x:row>
    <x:row r="773">
      <x:c r="A773" s="187" t="n">
        <x:v>43451</x:v>
      </x:c>
      <x:c r="B773" s="197" t="n">
        <x:v>116.4532</x:v>
      </x:c>
    </x:row>
    <x:row r="774">
      <x:c r="A774" s="187" t="n">
        <x:v>43452</x:v>
      </x:c>
      <x:c r="B774" s="197" t="n">
        <x:v>116.4127</x:v>
      </x:c>
    </x:row>
    <x:row r="775">
      <x:c r="A775" s="187" t="n">
        <x:v>43453</x:v>
      </x:c>
      <x:c r="B775" s="197" t="n">
        <x:v>116.0676</x:v>
      </x:c>
    </x:row>
    <x:row r="776">
      <x:c r="A776" s="187" t="n">
        <x:v>43454</x:v>
      </x:c>
      <x:c r="B776" s="197" t="n">
        <x:v>116.0183</x:v>
      </x:c>
    </x:row>
    <x:row r="777">
      <x:c r="A777" s="187" t="n">
        <x:v>43455</x:v>
      </x:c>
      <x:c r="B777" s="197" t="n">
        <x:v>116.2227</x:v>
      </x:c>
    </x:row>
    <x:row r="778">
      <x:c r="A778" s="187" t="n">
        <x:v>43458</x:v>
      </x:c>
      <x:c r="B778" s="197" t="n">
        <x:v>116.2182</x:v>
      </x:c>
    </x:row>
    <x:row r="779">
      <x:c r="A779" s="187" t="n">
        <x:v>43459</x:v>
      </x:c>
      <x:c r="B779" s="197"/>
    </x:row>
    <x:row r="780">
      <x:c r="A780" s="187" t="n">
        <x:v>43460</x:v>
      </x:c>
      <x:c r="B780" s="197" t="n">
        <x:v>116.1162</x:v>
      </x:c>
    </x:row>
    <x:row r="781">
      <x:c r="A781" s="187" t="n">
        <x:v>43461</x:v>
      </x:c>
      <x:c r="B781" s="197" t="n">
        <x:v>115.9927</x:v>
      </x:c>
    </x:row>
    <x:row r="782">
      <x:c r="A782" s="187" t="n">
        <x:v>43462</x:v>
      </x:c>
      <x:c r="B782" s="197" t="n">
        <x:v>115.7232</x:v>
      </x:c>
    </x:row>
    <x:row r="783">
      <x:c r="A783" s="187" t="n">
        <x:v>43465</x:v>
      </x:c>
      <x:c r="B783" s="197" t="n">
        <x:v>115.5674</x:v>
      </x:c>
    </x:row>
    <x:row r="784">
      <x:c r="A784" s="187" t="n">
        <x:v>43466</x:v>
      </x:c>
      <x:c r="B784" s="197"/>
    </x:row>
    <x:row r="785">
      <x:c r="A785" s="187" t="n">
        <x:v>43467</x:v>
      </x:c>
      <x:c r="B785" s="197" t="n">
        <x:v>115.7689</x:v>
      </x:c>
    </x:row>
    <x:row r="786">
      <x:c r="A786" s="187" t="n">
        <x:v>43468</x:v>
      </x:c>
      <x:c r="B786" s="197" t="n">
        <x:v>115.4622</x:v>
      </x:c>
    </x:row>
    <x:row r="787">
      <x:c r="A787" s="187" t="n">
        <x:v>43469</x:v>
      </x:c>
      <x:c r="B787" s="197" t="n">
        <x:v>114.9821</x:v>
      </x:c>
    </x:row>
    <x:row r="788">
      <x:c r="A788" s="187" t="n">
        <x:v>43472</x:v>
      </x:c>
      <x:c r="B788" s="197" t="n">
        <x:v>114.5628</x:v>
      </x:c>
    </x:row>
    <x:row r="789">
      <x:c r="A789" s="187" t="n">
        <x:v>43473</x:v>
      </x:c>
      <x:c r="B789" s="197" t="n">
        <x:v>114.7281</x:v>
      </x:c>
    </x:row>
    <x:row r="790">
      <x:c r="A790" s="187" t="n">
        <x:v>43474</x:v>
      </x:c>
      <x:c r="B790" s="197" t="n">
        <x:v>114.1406</x:v>
      </x:c>
    </x:row>
    <x:row r="791">
      <x:c r="A791" s="187" t="n">
        <x:v>43475</x:v>
      </x:c>
      <x:c r="B791" s="197" t="n">
        <x:v>114.0496</x:v>
      </x:c>
    </x:row>
    <x:row r="792">
      <x:c r="A792" s="187" t="n">
        <x:v>43476</x:v>
      </x:c>
      <x:c r="B792" s="197" t="n">
        <x:v>114.0404</x:v>
      </x:c>
    </x:row>
    <x:row r="793">
      <x:c r="A793" s="187" t="n">
        <x:v>43479</x:v>
      </x:c>
      <x:c r="B793" s="197"/>
    </x:row>
    <x:row r="794">
      <x:c r="A794" s="187" t="n">
        <x:v>43480</x:v>
      </x:c>
      <x:c r="B794" s="197" t="n">
        <x:v>114.3402</x:v>
      </x:c>
    </x:row>
    <x:row r="795">
      <x:c r="A795" s="187" t="n">
        <x:v>43481</x:v>
      </x:c>
      <x:c r="B795" s="197" t="n">
        <x:v>114.137</x:v>
      </x:c>
    </x:row>
    <x:row r="796">
      <x:c r="A796" s="187" t="n">
        <x:v>43482</x:v>
      </x:c>
      <x:c r="B796" s="197" t="n">
        <x:v>114.4115</x:v>
      </x:c>
    </x:row>
    <x:row r="797">
      <x:c r="A797" s="187" t="n">
        <x:v>43483</x:v>
      </x:c>
      <x:c r="B797" s="197" t="n">
        <x:v>114.558</x:v>
      </x:c>
    </x:row>
    <x:row r="798">
      <x:c r="A798" s="187" t="n">
        <x:v>43486</x:v>
      </x:c>
      <x:c r="B798" s="197"/>
    </x:row>
    <x:row r="799">
      <x:c r="A799" s="187" t="n">
        <x:v>43487</x:v>
      </x:c>
      <x:c r="B799" s="197" t="n">
        <x:v>114.7541</x:v>
      </x:c>
    </x:row>
    <x:row r="800">
      <x:c r="A800" s="187" t="n">
        <x:v>43488</x:v>
      </x:c>
      <x:c r="B800" s="197" t="n">
        <x:v>114.5759</x:v>
      </x:c>
    </x:row>
    <x:row r="801">
      <x:c r="A801" s="187" t="n">
        <x:v>43489</x:v>
      </x:c>
      <x:c r="B801" s="197" t="n">
        <x:v>114.617</x:v>
      </x:c>
    </x:row>
    <x:row r="802">
      <x:c r="A802" s="187" t="n">
        <x:v>43490</x:v>
      </x:c>
      <x:c r="B802" s="197" t="n">
        <x:v>114.0197</x:v>
      </x:c>
    </x:row>
    <x:row r="803">
      <x:c r="A803" s="187" t="n">
        <x:v>43493</x:v>
      </x:c>
      <x:c r="B803" s="197" t="n">
        <x:v>114.0522</x:v>
      </x:c>
    </x:row>
    <x:row r="804">
      <x:c r="A804" s="187" t="n">
        <x:v>43494</x:v>
      </x:c>
      <x:c r="B804" s="197" t="n">
        <x:v>114.026</x:v>
      </x:c>
    </x:row>
    <x:row r="805">
      <x:c r="A805" s="187" t="n">
        <x:v>43495</x:v>
      </x:c>
      <x:c r="B805" s="197" t="n">
        <x:v>114.0731</x:v>
      </x:c>
    </x:row>
    <x:row r="806">
      <x:c r="A806" s="187" t="n">
        <x:v>43496</x:v>
      </x:c>
      <x:c r="B806" s="197" t="n">
        <x:v>113.5504</x:v>
      </x:c>
    </x:row>
    <x:row r="807">
      <x:c r="A807" s="187" t="n">
        <x:v>43497</x:v>
      </x:c>
      <x:c r="B807" s="197" t="n">
        <x:v>113.7548</x:v>
      </x:c>
    </x:row>
    <x:row r="808">
      <x:c r="A808" s="187" t="n">
        <x:v>43500</x:v>
      </x:c>
      <x:c r="B808" s="197" t="n">
        <x:v>113.8766</x:v>
      </x:c>
    </x:row>
    <x:row r="809">
      <x:c r="A809" s="187" t="n">
        <x:v>43501</x:v>
      </x:c>
      <x:c r="B809" s="197" t="n">
        <x:v>114.0431</x:v>
      </x:c>
    </x:row>
    <x:row r="810">
      <x:c r="A810" s="187" t="n">
        <x:v>43502</x:v>
      </x:c>
      <x:c r="B810" s="197" t="n">
        <x:v>114.2305</x:v>
      </x:c>
    </x:row>
    <x:row r="811">
      <x:c r="A811" s="187" t="n">
        <x:v>43503</x:v>
      </x:c>
      <x:c r="B811" s="197" t="n">
        <x:v>114.4339</x:v>
      </x:c>
    </x:row>
    <x:row r="812">
      <x:c r="A812" s="187" t="n">
        <x:v>43504</x:v>
      </x:c>
      <x:c r="B812" s="197" t="n">
        <x:v>114.5003</x:v>
      </x:c>
    </x:row>
    <x:row r="813">
      <x:c r="A813" s="187" t="n">
        <x:v>43507</x:v>
      </x:c>
      <x:c r="B813" s="197" t="n">
        <x:v>115.031</x:v>
      </x:c>
    </x:row>
    <x:row r="814">
      <x:c r="A814" s="187" t="n">
        <x:v>43508</x:v>
      </x:c>
      <x:c r="B814" s="197" t="n">
        <x:v>114.7297</x:v>
      </x:c>
    </x:row>
    <x:row r="815">
      <x:c r="A815" s="187" t="n">
        <x:v>43509</x:v>
      </x:c>
      <x:c r="B815" s="197" t="n">
        <x:v>114.9407</x:v>
      </x:c>
    </x:row>
    <x:row r="816">
      <x:c r="A816" s="187" t="n">
        <x:v>43510</x:v>
      </x:c>
      <x:c r="B816" s="197" t="n">
        <x:v>115.1007</x:v>
      </x:c>
    </x:row>
    <x:row r="817">
      <x:c r="A817" s="187" t="n">
        <x:v>43511</x:v>
      </x:c>
      <x:c r="B817" s="197" t="n">
        <x:v>114.9923</x:v>
      </x:c>
    </x:row>
    <x:row r="818">
      <x:c r="A818" s="187" t="n">
        <x:v>43514</x:v>
      </x:c>
      <x:c r="B818" s="197"/>
    </x:row>
    <x:row r="819">
      <x:c r="A819" s="187" t="n">
        <x:v>43515</x:v>
      </x:c>
      <x:c r="B819" s="197" t="n">
        <x:v>114.57</x:v>
      </x:c>
    </x:row>
    <x:row r="820">
      <x:c r="A820" s="187" t="n">
        <x:v>43516</x:v>
      </x:c>
      <x:c r="B820" s="197"/>
    </x:row>
    <x:row r="821">
      <x:c r="A821" s="187" t="n">
        <x:v>43517</x:v>
      </x:c>
      <x:c r="B821" s="197" t="n">
        <x:v>114.5091</x:v>
      </x:c>
    </x:row>
    <x:row r="822">
      <x:c r="A822" s="187" t="n">
        <x:v>43518</x:v>
      </x:c>
      <x:c r="B822" s="197" t="n">
        <x:v>114.2716</x:v>
      </x:c>
    </x:row>
    <x:row r="823">
      <x:c r="A823" s="187" t="n">
        <x:v>43521</x:v>
      </x:c>
      <x:c r="B823" s="197" t="n">
        <x:v>114.1457</x:v>
      </x:c>
    </x:row>
    <x:row r="824">
      <x:c r="A824" s="187" t="n">
        <x:v>43522</x:v>
      </x:c>
      <x:c r="B824" s="197" t="n">
        <x:v>114.0687</x:v>
      </x:c>
    </x:row>
    <x:row r="825">
      <x:c r="A825" s="187" t="n">
        <x:v>43523</x:v>
      </x:c>
      <x:c r="B825" s="197" t="n">
        <x:v>114.0363</x:v>
      </x:c>
    </x:row>
    <x:row r="826">
      <x:c r="A826" s="187" t="n">
        <x:v>43524</x:v>
      </x:c>
      <x:c r="B826" s="197" t="n">
        <x:v>114.1991</x:v>
      </x:c>
    </x:row>
    <x:row r="827">
      <x:c r="A827" s="187" t="n">
        <x:v>43525</x:v>
      </x:c>
      <x:c r="B827" s="197" t="n">
        <x:v>114.537</x:v>
      </x:c>
    </x:row>
    <x:row r="828">
      <x:c r="A828" s="187" t="n">
        <x:v>43528</x:v>
      </x:c>
      <x:c r="B828" s="197" t="n">
        <x:v>114.6925</x:v>
      </x:c>
    </x:row>
    <x:row r="829">
      <x:c r="A829" s="187" t="n">
        <x:v>43529</x:v>
      </x:c>
      <x:c r="B829" s="197" t="n">
        <x:v>114.804</x:v>
      </x:c>
    </x:row>
    <x:row r="830">
      <x:c r="A830" s="187" t="n">
        <x:v>43530</x:v>
      </x:c>
      <x:c r="B830" s="197" t="n">
        <x:v>114.9714</x:v>
      </x:c>
    </x:row>
    <x:row r="831">
      <x:c r="A831" s="187" t="n">
        <x:v>43531</x:v>
      </x:c>
      <x:c r="B831" s="197" t="n">
        <x:v>115.4919</x:v>
      </x:c>
    </x:row>
    <x:row r="832">
      <x:c r="A832" s="187" t="n">
        <x:v>43532</x:v>
      </x:c>
      <x:c r="B832" s="197" t="n">
        <x:v>115.3599</x:v>
      </x:c>
    </x:row>
    <x:row r="833">
      <x:c r="A833" s="187" t="n">
        <x:v>43535</x:v>
      </x:c>
      <x:c r="B833" s="197" t="n">
        <x:v>115.2967</x:v>
      </x:c>
    </x:row>
    <x:row r="834">
      <x:c r="A834" s="187" t="n">
        <x:v>43536</x:v>
      </x:c>
      <x:c r="B834" s="197" t="n">
        <x:v>114.939</x:v>
      </x:c>
    </x:row>
    <x:row r="835">
      <x:c r="A835" s="187" t="n">
        <x:v>43537</x:v>
      </x:c>
      <x:c r="B835" s="197" t="n">
        <x:v>114.7372</x:v>
      </x:c>
    </x:row>
    <x:row r="836">
      <x:c r="A836" s="187" t="n">
        <x:v>43538</x:v>
      </x:c>
      <x:c r="B836" s="197" t="n">
        <x:v>114.79</x:v>
      </x:c>
    </x:row>
    <x:row r="837">
      <x:c r="A837" s="187" t="n">
        <x:v>43539</x:v>
      </x:c>
      <x:c r="B837" s="197" t="n">
        <x:v>114.5815</x:v>
      </x:c>
    </x:row>
    <x:row r="838">
      <x:c r="A838" s="187" t="n">
        <x:v>43542</x:v>
      </x:c>
      <x:c r="B838" s="197" t="n">
        <x:v>114.4375</x:v>
      </x:c>
    </x:row>
    <x:row r="839">
      <x:c r="A839" s="187" t="n">
        <x:v>43543</x:v>
      </x:c>
      <x:c r="B839" s="197" t="n">
        <x:v>114.2324</x:v>
      </x:c>
    </x:row>
    <x:row r="840">
      <x:c r="A840" s="187" t="n">
        <x:v>43544</x:v>
      </x:c>
      <x:c r="B840" s="197" t="n">
        <x:v>114.1509</x:v>
      </x:c>
    </x:row>
    <x:row r="841">
      <x:c r="A841" s="187" t="n">
        <x:v>43545</x:v>
      </x:c>
      <x:c r="B841" s="197" t="n">
        <x:v>114.1684</x:v>
      </x:c>
    </x:row>
    <x:row r="842">
      <x:c r="A842" s="187" t="n">
        <x:v>43546</x:v>
      </x:c>
      <x:c r="B842" s="197" t="n">
        <x:v>114.6856</x:v>
      </x:c>
    </x:row>
    <x:row r="843">
      <x:c r="A843" s="187" t="n">
        <x:v>43549</x:v>
      </x:c>
      <x:c r="B843" s="197" t="n">
        <x:v>114.4171</x:v>
      </x:c>
    </x:row>
    <x:row r="844">
      <x:c r="A844" s="187" t="n">
        <x:v>43550</x:v>
      </x:c>
      <x:c r="B844" s="197" t="n">
        <x:v>114.6414</x:v>
      </x:c>
    </x:row>
    <x:row r="845">
      <x:c r="A845" s="187" t="n">
        <x:v>43551</x:v>
      </x:c>
      <x:c r="B845" s="197" t="n">
        <x:v>115.1243</x:v>
      </x:c>
    </x:row>
    <x:row r="846">
      <x:c r="A846" s="187" t="n">
        <x:v>43552</x:v>
      </x:c>
      <x:c r="B846" s="197" t="n">
        <x:v>115.2581</x:v>
      </x:c>
    </x:row>
    <x:row r="847">
      <x:c r="A847" s="187" t="n">
        <x:v>43553</x:v>
      </x:c>
      <x:c r="B847" s="197" t="n">
        <x:v>115.1371</x:v>
      </x:c>
    </x:row>
    <x:row r="848">
      <x:c r="A848" s="187" t="n">
        <x:v>43556</x:v>
      </x:c>
      <x:c r="B848" s="197" t="n">
        <x:v>114.9362</x:v>
      </x:c>
    </x:row>
    <x:row r="849">
      <x:c r="A849" s="187" t="n">
        <x:v>43557</x:v>
      </x:c>
      <x:c r="B849" s="197" t="n">
        <x:v>115.1173</x:v>
      </x:c>
    </x:row>
    <x:row r="850">
      <x:c r="A850" s="187" t="n">
        <x:v>43558</x:v>
      </x:c>
      <x:c r="B850" s="197" t="n">
        <x:v>114.7211</x:v>
      </x:c>
    </x:row>
    <x:row r="851">
      <x:c r="A851" s="187" t="n">
        <x:v>43559</x:v>
      </x:c>
      <x:c r="B851" s="197" t="n">
        <x:v>114.9697</x:v>
      </x:c>
    </x:row>
    <x:row r="852">
      <x:c r="A852" s="187" t="n">
        <x:v>43560</x:v>
      </x:c>
      <x:c r="B852" s="197" t="n">
        <x:v>114.9726</x:v>
      </x:c>
    </x:row>
    <x:row r="853">
      <x:c r="A853" s="187" t="n">
        <x:v>43563</x:v>
      </x:c>
      <x:c r="B853" s="197" t="n">
        <x:v>114.6893</x:v>
      </x:c>
    </x:row>
    <x:row r="854">
      <x:c r="A854" s="187" t="n">
        <x:v>43564</x:v>
      </x:c>
      <x:c r="B854" s="197" t="n">
        <x:v>114.5321</x:v>
      </x:c>
    </x:row>
    <x:row r="855">
      <x:c r="A855" s="187" t="n">
        <x:v>43565</x:v>
      </x:c>
      <x:c r="B855" s="197" t="n">
        <x:v>114.4269</x:v>
      </x:c>
    </x:row>
    <x:row r="856">
      <x:c r="A856" s="187" t="n">
        <x:v>43566</x:v>
      </x:c>
      <x:c r="B856" s="197" t="n">
        <x:v>114.6303</x:v>
      </x:c>
    </x:row>
    <x:row r="857">
      <x:c r="A857" s="187" t="n">
        <x:v>43567</x:v>
      </x:c>
      <x:c r="B857" s="197" t="n">
        <x:v>114.3531</x:v>
      </x:c>
    </x:row>
    <x:row r="858">
      <x:c r="A858" s="187" t="n">
        <x:v>43570</x:v>
      </x:c>
      <x:c r="B858" s="197" t="n">
        <x:v>114.495</x:v>
      </x:c>
    </x:row>
    <x:row r="859">
      <x:c r="A859" s="187" t="n">
        <x:v>43571</x:v>
      </x:c>
      <x:c r="B859" s="197" t="n">
        <x:v>114.6756</x:v>
      </x:c>
    </x:row>
    <x:row r="860">
      <x:c r="A860" s="187" t="n">
        <x:v>43572</x:v>
      </x:c>
      <x:c r="B860" s="197" t="n">
        <x:v>114.5141</x:v>
      </x:c>
    </x:row>
    <x:row r="861">
      <x:c r="A861" s="187" t="n">
        <x:v>43573</x:v>
      </x:c>
      <x:c r="B861" s="197" t="n">
        <x:v>114.7073</x:v>
      </x:c>
    </x:row>
    <x:row r="862">
      <x:c r="A862" s="187" t="n">
        <x:v>43574</x:v>
      </x:c>
      <x:c r="B862" s="197" t="n">
        <x:v>114.6977</x:v>
      </x:c>
    </x:row>
    <x:row r="863">
      <x:c r="A863" s="187" t="n">
        <x:v>43577</x:v>
      </x:c>
      <x:c r="B863" s="197" t="n">
        <x:v>114.7694</x:v>
      </x:c>
    </x:row>
    <x:row r="864">
      <x:c r="A864" s="187" t="n">
        <x:v>43578</x:v>
      </x:c>
      <x:c r="B864" s="197" t="n">
        <x:v>115.1578</x:v>
      </x:c>
    </x:row>
    <x:row r="865">
      <x:c r="A865" s="187" t="n">
        <x:v>43579</x:v>
      </x:c>
      <x:c r="B865" s="197" t="n">
        <x:v>115.4187</x:v>
      </x:c>
    </x:row>
    <x:row r="866">
      <x:c r="A866" s="187" t="n">
        <x:v>43580</x:v>
      </x:c>
      <x:c r="B866" s="197" t="n">
        <x:v>115.7709</x:v>
      </x:c>
    </x:row>
    <x:row r="867">
      <x:c r="A867" s="187" t="n">
        <x:v>43581</x:v>
      </x:c>
      <x:c r="B867" s="197" t="n">
        <x:v>115.4767</x:v>
      </x:c>
    </x:row>
    <x:row r="868">
      <x:c r="A868" s="187" t="n">
        <x:v>43584</x:v>
      </x:c>
      <x:c r="B868" s="197" t="n">
        <x:v>115.5227</x:v>
      </x:c>
    </x:row>
    <x:row r="869">
      <x:c r="A869" s="187" t="n">
        <x:v>43585</x:v>
      </x:c>
      <x:c r="B869" s="197" t="n">
        <x:v>115.3281</x:v>
      </x:c>
    </x:row>
    <x:row r="870">
      <x:c r="A870" s="187" t="n">
        <x:v>43586</x:v>
      </x:c>
      <x:c r="B870" s="197" t="n">
        <x:v>115.0022</x:v>
      </x:c>
    </x:row>
    <x:row r="871">
      <x:c r="A871" s="187" t="n">
        <x:v>43587</x:v>
      </x:c>
      <x:c r="B871" s="197" t="n">
        <x:v>115.5617</x:v>
      </x:c>
    </x:row>
    <x:row r="872">
      <x:c r="A872" s="187" t="n">
        <x:v>43588</x:v>
      </x:c>
      <x:c r="B872" s="197" t="n">
        <x:v>115.2646</x:v>
      </x:c>
    </x:row>
    <x:row r="873">
      <x:c r="A873" s="187" t="n">
        <x:v>43591</x:v>
      </x:c>
      <x:c r="B873" s="197" t="n">
        <x:v>115.3811</x:v>
      </x:c>
    </x:row>
    <x:row r="874">
      <x:c r="A874" s="187" t="n">
        <x:v>43592</x:v>
      </x:c>
      <x:c r="B874" s="197" t="n">
        <x:v>115.6116</x:v>
      </x:c>
    </x:row>
    <x:row r="875">
      <x:c r="A875" s="187" t="n">
        <x:v>43593</x:v>
      </x:c>
      <x:c r="B875" s="197" t="n">
        <x:v>115.5171</x:v>
      </x:c>
    </x:row>
    <x:row r="876">
      <x:c r="A876" s="187" t="n">
        <x:v>43594</x:v>
      </x:c>
      <x:c r="B876" s="197" t="n">
        <x:v>115.8421</x:v>
      </x:c>
    </x:row>
    <x:row r="877">
      <x:c r="A877" s="187" t="n">
        <x:v>43595</x:v>
      </x:c>
      <x:c r="B877" s="197" t="n">
        <x:v>115.5334</x:v>
      </x:c>
    </x:row>
    <x:row r="878">
      <x:c r="A878" s="187" t="n">
        <x:v>43598</x:v>
      </x:c>
      <x:c r="B878" s="197" t="n">
        <x:v>115.915</x:v>
      </x:c>
    </x:row>
    <x:row r="879">
      <x:c r="A879" s="187" t="n">
        <x:v>43599</x:v>
      </x:c>
      <x:c r="B879" s="197" t="n">
        <x:v>115.9425</x:v>
      </x:c>
    </x:row>
    <x:row r="880">
      <x:c r="A880" s="187" t="n">
        <x:v>43600</x:v>
      </x:c>
      <x:c r="B880" s="197" t="n">
        <x:v>115.8565</x:v>
      </x:c>
    </x:row>
    <x:row r="881">
      <x:c r="A881" s="187" t="n">
        <x:v>43601</x:v>
      </x:c>
      <x:c r="B881" s="197" t="n">
        <x:v>116.0346</x:v>
      </x:c>
    </x:row>
    <x:row r="882">
      <x:c r="A882" s="187" t="n">
        <x:v>43602</x:v>
      </x:c>
      <x:c r="B882" s="197" t="n">
        <x:v>116.448</x:v>
      </x:c>
    </x:row>
    <x:row r="883">
      <x:c r="A883" s="187" t="n">
        <x:v>43605</x:v>
      </x:c>
      <x:c r="B883" s="197" t="n">
        <x:v>116.3119</x:v>
      </x:c>
    </x:row>
    <x:row r="884">
      <x:c r="A884" s="187" t="n">
        <x:v>43606</x:v>
      </x:c>
      <x:c r="B884" s="197" t="n">
        <x:v>116.2844</x:v>
      </x:c>
    </x:row>
    <x:row r="885">
      <x:c r="A885" s="187" t="n">
        <x:v>43607</x:v>
      </x:c>
      <x:c r="B885" s="197" t="n">
        <x:v>116.2412</x:v>
      </x:c>
    </x:row>
    <x:row r="886">
      <x:c r="A886" s="187" t="n">
        <x:v>43608</x:v>
      </x:c>
      <x:c r="B886" s="197" t="n">
        <x:v>116.2368</x:v>
      </x:c>
    </x:row>
    <x:row r="887">
      <x:c r="A887" s="187" t="n">
        <x:v>43609</x:v>
      </x:c>
      <x:c r="B887" s="197" t="n">
        <x:v>116.0806</x:v>
      </x:c>
    </x:row>
    <x:row r="888">
      <x:c r="A888" s="187" t="n">
        <x:v>43612</x:v>
      </x:c>
      <x:c r="B888" s="197"/>
    </x:row>
    <x:row r="889">
      <x:c r="A889" s="187" t="n">
        <x:v>43613</x:v>
      </x:c>
      <x:c r="B889" s="197" t="n">
        <x:v>116.3174</x:v>
      </x:c>
    </x:row>
    <x:row r="890">
      <x:c r="A890" s="187" t="n">
        <x:v>43614</x:v>
      </x:c>
      <x:c r="B890" s="197" t="n">
        <x:v>116.5535</x:v>
      </x:c>
    </x:row>
    <x:row r="891">
      <x:c r="A891" s="187" t="n">
        <x:v>43615</x:v>
      </x:c>
      <x:c r="B891" s="197" t="n">
        <x:v>116.3989</x:v>
      </x:c>
    </x:row>
    <x:row r="892">
      <x:c r="A892" s="187" t="n">
        <x:v>43616</x:v>
      </x:c>
      <x:c r="B892" s="197" t="n">
        <x:v>116.7273</x:v>
      </x:c>
    </x:row>
    <x:row r="893">
      <x:c r="A893" s="187" t="n">
        <x:v>43619</x:v>
      </x:c>
      <x:c r="B893" s="197" t="n">
        <x:v>116.4764</x:v>
      </x:c>
    </x:row>
    <x:row r="894">
      <x:c r="A894" s="187" t="n">
        <x:v>43620</x:v>
      </x:c>
      <x:c r="B894" s="197" t="n">
        <x:v>116.091</x:v>
      </x:c>
    </x:row>
    <x:row r="895">
      <x:c r="A895" s="187" t="n">
        <x:v>43621</x:v>
      </x:c>
      <x:c r="B895" s="197" t="n">
        <x:v>116.03</x:v>
      </x:c>
    </x:row>
    <x:row r="896">
      <x:c r="A896" s="187" t="n">
        <x:v>43622</x:v>
      </x:c>
      <x:c r="B896" s="197" t="n">
        <x:v>115.9771</x:v>
      </x:c>
    </x:row>
    <x:row r="897">
      <x:c r="A897" s="187" t="n">
        <x:v>43623</x:v>
      </x:c>
      <x:c r="B897" s="197" t="n">
        <x:v>115.7368</x:v>
      </x:c>
    </x:row>
    <x:row r="898">
      <x:c r="A898" s="187" t="n">
        <x:v>43626</x:v>
      </x:c>
      <x:c r="B898" s="197" t="n">
        <x:v>115.5001</x:v>
      </x:c>
    </x:row>
    <x:row r="899">
      <x:c r="A899" s="187" t="n">
        <x:v>43627</x:v>
      </x:c>
      <x:c r="B899" s="197" t="n">
        <x:v>115.3794</x:v>
      </x:c>
    </x:row>
    <x:row r="900">
      <x:c r="A900" s="187" t="n">
        <x:v>43628</x:v>
      </x:c>
      <x:c r="B900" s="197" t="n">
        <x:v>115.438</x:v>
      </x:c>
    </x:row>
    <x:row r="901">
      <x:c r="A901" s="187" t="n">
        <x:v>43629</x:v>
      </x:c>
      <x:c r="B901" s="197" t="n">
        <x:v>115.6275</x:v>
      </x:c>
    </x:row>
    <x:row r="902">
      <x:c r="A902" s="187" t="n">
        <x:v>43630</x:v>
      </x:c>
      <x:c r="B902" s="197" t="n">
        <x:v>115.9057</x:v>
      </x:c>
    </x:row>
    <x:row r="903">
      <x:c r="A903" s="187" t="n">
        <x:v>43633</x:v>
      </x:c>
      <x:c r="B903" s="197" t="n">
        <x:v>115.9684</x:v>
      </x:c>
    </x:row>
    <x:row r="904">
      <x:c r="A904" s="187" t="n">
        <x:v>43634</x:v>
      </x:c>
      <x:c r="B904" s="197" t="n">
        <x:v>115.8797</x:v>
      </x:c>
    </x:row>
    <x:row r="905">
      <x:c r="A905" s="187" t="n">
        <x:v>43635</x:v>
      </x:c>
      <x:c r="B905" s="197" t="n">
        <x:v>115.7889</x:v>
      </x:c>
    </x:row>
    <x:row r="906">
      <x:c r="A906" s="187" t="n">
        <x:v>43636</x:v>
      </x:c>
      <x:c r="B906" s="197" t="n">
        <x:v>114.8046</x:v>
      </x:c>
    </x:row>
    <x:row r="907">
      <x:c r="A907" s="187" t="n">
        <x:v>43637</x:v>
      </x:c>
      <x:c r="B907" s="197" t="n">
        <x:v>114.8377</x:v>
      </x:c>
    </x:row>
    <x:row r="908">
      <x:c r="A908" s="187" t="n">
        <x:v>43640</x:v>
      </x:c>
      <x:c r="B908" s="197" t="n">
        <x:v>114.6559</x:v>
      </x:c>
    </x:row>
    <x:row r="909">
      <x:c r="A909" s="187" t="n">
        <x:v>43641</x:v>
      </x:c>
      <x:c r="B909" s="197" t="n">
        <x:v>114.6363</x:v>
      </x:c>
    </x:row>
    <x:row r="910">
      <x:c r="A910" s="187" t="n">
        <x:v>43642</x:v>
      </x:c>
      <x:c r="B910" s="197" t="n">
        <x:v>114.5608</x:v>
      </x:c>
    </x:row>
    <x:row r="911">
      <x:c r="A911" s="187" t="n">
        <x:v>43643</x:v>
      </x:c>
      <x:c r="B911" s="197" t="n">
        <x:v>114.665</x:v>
      </x:c>
    </x:row>
    <x:row r="912">
      <x:c r="A912" s="187" t="n">
        <x:v>43644</x:v>
      </x:c>
      <x:c r="B912" s="197" t="n">
        <x:v>114.5821</x:v>
      </x:c>
    </x:row>
    <x:row r="913">
      <x:c r="A913" s="187" t="n">
        <x:v>43647</x:v>
      </x:c>
      <x:c r="B913" s="197" t="n">
        <x:v>114.7239</x:v>
      </x:c>
    </x:row>
    <x:row r="914">
      <x:c r="A914" s="187" t="n">
        <x:v>43648</x:v>
      </x:c>
      <x:c r="B914" s="197" t="n">
        <x:v>114.8258</x:v>
      </x:c>
    </x:row>
    <x:row r="915">
      <x:c r="A915" s="187" t="n">
        <x:v>43649</x:v>
      </x:c>
      <x:c r="B915" s="197" t="n">
        <x:v>114.8135</x:v>
      </x:c>
    </x:row>
    <x:row r="916">
      <x:c r="A916" s="187" t="n">
        <x:v>43650</x:v>
      </x:c>
      <x:c r="B916" s="197"/>
    </x:row>
    <x:row r="917">
      <x:c r="A917" s="187" t="n">
        <x:v>43651</x:v>
      </x:c>
      <x:c r="B917" s="197" t="n">
        <x:v>115.1132</x:v>
      </x:c>
    </x:row>
    <x:row r="918">
      <x:c r="A918" s="187" t="n">
        <x:v>43654</x:v>
      </x:c>
      <x:c r="B918" s="197" t="n">
        <x:v>115.0254</x:v>
      </x:c>
    </x:row>
    <x:row r="919">
      <x:c r="A919" s="187" t="n">
        <x:v>43655</x:v>
      </x:c>
      <x:c r="B919" s="197" t="n">
        <x:v>115.1017</x:v>
      </x:c>
    </x:row>
    <x:row r="920">
      <x:c r="A920" s="187" t="n">
        <x:v>43656</x:v>
      </x:c>
      <x:c r="B920" s="197" t="n">
        <x:v>115.0879</x:v>
      </x:c>
    </x:row>
    <x:row r="921">
      <x:c r="A921" s="187" t="n">
        <x:v>43657</x:v>
      </x:c>
      <x:c r="B921" s="197" t="n">
        <x:v>114.8361</x:v>
      </x:c>
    </x:row>
    <x:row r="922">
      <x:c r="A922" s="187" t="n">
        <x:v>43658</x:v>
      </x:c>
      <x:c r="B922" s="197" t="n">
        <x:v>114.7685</x:v>
      </x:c>
    </x:row>
    <x:row r="923">
      <x:c r="A923" s="187" t="n">
        <x:v>43661</x:v>
      </x:c>
      <x:c r="B923" s="197" t="n">
        <x:v>114.6819</x:v>
      </x:c>
    </x:row>
    <x:row r="924">
      <x:c r="A924" s="187" t="n">
        <x:v>43662</x:v>
      </x:c>
      <x:c r="B924" s="197" t="n">
        <x:v>115.0111</x:v>
      </x:c>
    </x:row>
    <x:row r="925">
      <x:c r="A925" s="187" t="n">
        <x:v>43663</x:v>
      </x:c>
      <x:c r="B925" s="197" t="n">
        <x:v>114.8819</x:v>
      </x:c>
    </x:row>
    <x:row r="926">
      <x:c r="A926" s="187" t="n">
        <x:v>43664</x:v>
      </x:c>
      <x:c r="B926" s="197" t="n">
        <x:v>114.8744</x:v>
      </x:c>
    </x:row>
    <x:row r="927">
      <x:c r="A927" s="187" t="n">
        <x:v>43665</x:v>
      </x:c>
      <x:c r="B927" s="197" t="n">
        <x:v>114.8695</x:v>
      </x:c>
    </x:row>
    <x:row r="928">
      <x:c r="A928" s="187" t="n">
        <x:v>43668</x:v>
      </x:c>
      <x:c r="B928" s="197" t="n">
        <x:v>115.0018</x:v>
      </x:c>
    </x:row>
    <x:row r="929">
      <x:c r="A929" s="187" t="n">
        <x:v>43669</x:v>
      </x:c>
      <x:c r="B929" s="197" t="n">
        <x:v>115.2995</x:v>
      </x:c>
    </x:row>
    <x:row r="930">
      <x:c r="A930" s="187" t="n">
        <x:v>43670</x:v>
      </x:c>
      <x:c r="B930" s="197" t="n">
        <x:v>115.2436</x:v>
      </x:c>
    </x:row>
    <x:row r="931">
      <x:c r="A931" s="187" t="n">
        <x:v>43671</x:v>
      </x:c>
      <x:c r="B931" s="197" t="n">
        <x:v>115.2982</x:v>
      </x:c>
    </x:row>
    <x:row r="932">
      <x:c r="A932" s="187" t="n">
        <x:v>43672</x:v>
      </x:c>
      <x:c r="B932" s="197" t="n">
        <x:v>115.5449</x:v>
      </x:c>
    </x:row>
    <x:row r="933">
      <x:c r="A933" s="187" t="n">
        <x:v>43675</x:v>
      </x:c>
      <x:c r="B933" s="197" t="n">
        <x:v>115.5885</x:v>
      </x:c>
    </x:row>
    <x:row r="934">
      <x:c r="A934" s="187" t="n">
        <x:v>43676</x:v>
      </x:c>
      <x:c r="B934" s="197" t="n">
        <x:v>115.6211</x:v>
      </x:c>
    </x:row>
    <x:row r="935">
      <x:c r="A935" s="187" t="n">
        <x:v>43677</x:v>
      </x:c>
      <x:c r="B935" s="197" t="n">
        <x:v>115.4946</x:v>
      </x:c>
    </x:row>
    <x:row r="936">
      <x:c r="A936" s="187" t="n">
        <x:v>43678</x:v>
      </x:c>
      <x:c r="B936" s="197" t="n">
        <x:v>116.0499</x:v>
      </x:c>
    </x:row>
    <x:row r="937">
      <x:c r="A937" s="187" t="n">
        <x:v>43679</x:v>
      </x:c>
      <x:c r="B937" s="197" t="n">
        <x:v>116.1864</x:v>
      </x:c>
    </x:row>
    <x:row r="938">
      <x:c r="A938" s="187" t="n">
        <x:v>43682</x:v>
      </x:c>
      <x:c r="B938" s="197" t="n">
        <x:v>116.5851</x:v>
      </x:c>
    </x:row>
    <x:row r="939">
      <x:c r="A939" s="187" t="n">
        <x:v>43683</x:v>
      </x:c>
      <x:c r="B939" s="197" t="n">
        <x:v>116.6904</x:v>
      </x:c>
    </x:row>
    <x:row r="940">
      <x:c r="A940" s="187" t="n">
        <x:v>43684</x:v>
      </x:c>
      <x:c r="B940" s="197" t="n">
        <x:v>116.7987</x:v>
      </x:c>
    </x:row>
    <x:row r="941">
      <x:c r="A941" s="187" t="n">
        <x:v>43685</x:v>
      </x:c>
      <x:c r="B941" s="197" t="n">
        <x:v>116.474</x:v>
      </x:c>
    </x:row>
    <x:row r="942">
      <x:c r="A942" s="187" t="n">
        <x:v>43686</x:v>
      </x:c>
      <x:c r="B942" s="197" t="n">
        <x:v>116.4419</x:v>
      </x:c>
    </x:row>
    <x:row r="943">
      <x:c r="A943" s="187" t="n">
        <x:v>43689</x:v>
      </x:c>
      <x:c r="B943" s="197" t="n">
        <x:v>116.7548</x:v>
      </x:c>
    </x:row>
    <x:row r="944">
      <x:c r="A944" s="187" t="n">
        <x:v>43690</x:v>
      </x:c>
      <x:c r="B944" s="197" t="n">
        <x:v>116.7267</x:v>
      </x:c>
    </x:row>
    <x:row r="945">
      <x:c r="A945" s="187" t="n">
        <x:v>43691</x:v>
      </x:c>
      <x:c r="B945" s="197" t="n">
        <x:v>117.0913</x:v>
      </x:c>
    </x:row>
    <x:row r="946">
      <x:c r="A946" s="187" t="n">
        <x:v>43692</x:v>
      </x:c>
      <x:c r="B946" s="197" t="n">
        <x:v>117.2239</x:v>
      </x:c>
    </x:row>
    <x:row r="947">
      <x:c r="A947" s="187" t="n">
        <x:v>43693</x:v>
      </x:c>
      <x:c r="B947" s="197" t="n">
        <x:v>117.0786</x:v>
      </x:c>
    </x:row>
    <x:row r="948">
      <x:c r="A948" s="187" t="n">
        <x:v>43696</x:v>
      </x:c>
      <x:c r="B948" s="197" t="n">
        <x:v>117.3886</x:v>
      </x:c>
    </x:row>
    <x:row r="949">
      <x:c r="A949" s="187" t="n">
        <x:v>43697</x:v>
      </x:c>
      <x:c r="B949" s="197" t="n">
        <x:v>117.3726</x:v>
      </x:c>
    </x:row>
    <x:row r="950">
      <x:c r="A950" s="187" t="n">
        <x:v>43698</x:v>
      </x:c>
      <x:c r="B950" s="197" t="n">
        <x:v>117.1764</x:v>
      </x:c>
    </x:row>
    <x:row r="951">
      <x:c r="A951" s="187" t="n">
        <x:v>43699</x:v>
      </x:c>
      <x:c r="B951" s="197" t="n">
        <x:v>117.3558</x:v>
      </x:c>
    </x:row>
    <x:row r="952">
      <x:c r="A952" s="187" t="n">
        <x:v>43700</x:v>
      </x:c>
      <x:c r="B952" s="197" t="n">
        <x:v>117.3009</x:v>
      </x:c>
    </x:row>
    <x:row r="953">
      <x:c r="A953" s="187" t="n">
        <x:v>43703</x:v>
      </x:c>
      <x:c r="B953" s="197" t="n">
        <x:v>117.6658</x:v>
      </x:c>
    </x:row>
    <x:row r="954">
      <x:c r="A954" s="187" t="n">
        <x:v>43704</x:v>
      </x:c>
      <x:c r="B954" s="197" t="n">
        <x:v>117.75</x:v>
      </x:c>
    </x:row>
    <x:row r="955">
      <x:c r="A955" s="187" t="n">
        <x:v>43705</x:v>
      </x:c>
      <x:c r="B955" s="197" t="n">
        <x:v>117.8767</x:v>
      </x:c>
    </x:row>
    <x:row r="956">
      <x:c r="A956" s="187" t="n">
        <x:v>43706</x:v>
      </x:c>
      <x:c r="B956" s="197" t="n">
        <x:v>118.0625</x:v>
      </x:c>
    </x:row>
    <x:row r="957">
      <x:c r="A957" s="187" t="n">
        <x:v>43707</x:v>
      </x:c>
      <x:c r="B957" s="197" t="n">
        <x:v>118.1575</x:v>
      </x:c>
    </x:row>
    <x:row r="958">
      <x:c r="A958" s="187" t="n">
        <x:v>43710</x:v>
      </x:c>
      <x:c r="B958" s="197"/>
    </x:row>
    <x:row r="959">
      <x:c r="A959" s="187" t="n">
        <x:v>43711</x:v>
      </x:c>
      <x:c r="B959" s="197" t="n">
        <x:v>118.3113</x:v>
      </x:c>
    </x:row>
    <x:row r="960">
      <x:c r="A960" s="187" t="n">
        <x:v>43712</x:v>
      </x:c>
      <x:c r="B960" s="197" t="n">
        <x:v>117.6729</x:v>
      </x:c>
    </x:row>
    <x:row r="961">
      <x:c r="A961" s="187" t="n">
        <x:v>43713</x:v>
      </x:c>
      <x:c r="B961" s="197" t="n">
        <x:v>117.4776</x:v>
      </x:c>
    </x:row>
    <x:row r="962">
      <x:c r="A962" s="187" t="n">
        <x:v>43714</x:v>
      </x:c>
      <x:c r="B962" s="197" t="n">
        <x:v>117.1292</x:v>
      </x:c>
    </x:row>
    <x:row r="963">
      <x:c r="A963" s="187" t="n">
        <x:v>43717</x:v>
      </x:c>
      <x:c r="B963" s="197" t="n">
        <x:v>117.0601</x:v>
      </x:c>
    </x:row>
    <x:row r="964">
      <x:c r="A964" s="187" t="n">
        <x:v>43718</x:v>
      </x:c>
      <x:c r="B964" s="197" t="n">
        <x:v>117.0887</x:v>
      </x:c>
    </x:row>
    <x:row r="965">
      <x:c r="A965" s="187" t="n">
        <x:v>43719</x:v>
      </x:c>
      <x:c r="B965" s="197" t="n">
        <x:v>117.3125</x:v>
      </x:c>
    </x:row>
    <x:row r="966">
      <x:c r="A966" s="187" t="n">
        <x:v>43720</x:v>
      </x:c>
      <x:c r="B966" s="197" t="n">
        <x:v>116.8375</x:v>
      </x:c>
    </x:row>
    <x:row r="967">
      <x:c r="A967" s="187" t="n">
        <x:v>43721</x:v>
      </x:c>
      <x:c r="B967" s="197" t="n">
        <x:v>116.7677</x:v>
      </x:c>
    </x:row>
    <x:row r="968">
      <x:c r="A968" s="187" t="n">
        <x:v>43724</x:v>
      </x:c>
      <x:c r="B968" s="197" t="n">
        <x:v>117.0251</x:v>
      </x:c>
    </x:row>
    <x:row r="969">
      <x:c r="A969" s="187" t="n">
        <x:v>43725</x:v>
      </x:c>
      <x:c r="B969" s="197" t="n">
        <x:v>116.9826</x:v>
      </x:c>
    </x:row>
    <x:row r="970">
      <x:c r="A970" s="187" t="n">
        <x:v>43726</x:v>
      </x:c>
      <x:c r="B970" s="197" t="n">
        <x:v>116.9766</x:v>
      </x:c>
    </x:row>
    <x:row r="971">
      <x:c r="A971" s="187" t="n">
        <x:v>43727</x:v>
      </x:c>
      <x:c r="B971" s="197" t="n">
        <x:v>117.0861</x:v>
      </x:c>
    </x:row>
    <x:row r="972">
      <x:c r="A972" s="187" t="n">
        <x:v>43728</x:v>
      </x:c>
      <x:c r="B972" s="197" t="n">
        <x:v>117.1819</x:v>
      </x:c>
    </x:row>
    <x:row r="973">
      <x:c r="A973" s="187" t="n">
        <x:v>43731</x:v>
      </x:c>
      <x:c r="B973" s="197" t="n">
        <x:v>117.2986</x:v>
      </x:c>
    </x:row>
    <x:row r="974">
      <x:c r="A974" s="187" t="n">
        <x:v>43732</x:v>
      </x:c>
      <x:c r="B974" s="197" t="n">
        <x:v>117.2227</x:v>
      </x:c>
    </x:row>
    <x:row r="975">
      <x:c r="A975" s="187" t="n">
        <x:v>43733</x:v>
      </x:c>
      <x:c r="B975" s="197" t="n">
        <x:v>117.6527</x:v>
      </x:c>
    </x:row>
    <x:row r="976">
      <x:c r="A976" s="187" t="n">
        <x:v>43734</x:v>
      </x:c>
      <x:c r="B976" s="197" t="n">
        <x:v>117.7267</x:v>
      </x:c>
    </x:row>
    <x:row r="977">
      <x:c r="A977" s="187" t="n">
        <x:v>43735</x:v>
      </x:c>
      <x:c r="B977" s="197" t="n">
        <x:v>117.7218</x:v>
      </x:c>
    </x:row>
    <x:row r="978">
      <x:c r="A978" s="187" t="n">
        <x:v>43738</x:v>
      </x:c>
      <x:c r="B978" s="197" t="n">
        <x:v>117.9461</x:v>
      </x:c>
    </x:row>
    <x:row r="979">
      <x:c r="A979" s="187" t="n">
        <x:v>43739</x:v>
      </x:c>
      <x:c r="B979" s="197" t="n">
        <x:v>117.9595</x:v>
      </x:c>
    </x:row>
    <x:row r="980">
      <x:c r="A980" s="187" t="n">
        <x:v>43740</x:v>
      </x:c>
      <x:c r="B980" s="197" t="n">
        <x:v>117.9671</x:v>
      </x:c>
    </x:row>
    <x:row r="981">
      <x:c r="A981" s="187" t="n">
        <x:v>43741</x:v>
      </x:c>
      <x:c r="B981" s="197" t="n">
        <x:v>117.6608</x:v>
      </x:c>
    </x:row>
    <x:row r="982">
      <x:c r="A982" s="187" t="n">
        <x:v>43742</x:v>
      </x:c>
      <x:c r="B982" s="197" t="n">
        <x:v>117.5288</x:v>
      </x:c>
    </x:row>
    <x:row r="983">
      <x:c r="A983" s="187" t="n">
        <x:v>43745</x:v>
      </x:c>
      <x:c r="B983" s="197" t="n">
        <x:v>117.5533</x:v>
      </x:c>
    </x:row>
    <x:row r="984">
      <x:c r="A984" s="187" t="n">
        <x:v>43746</x:v>
      </x:c>
      <x:c r="B984" s="197" t="n">
        <x:v>117.7407</x:v>
      </x:c>
    </x:row>
    <x:row r="985">
      <x:c r="A985" s="187" t="n">
        <x:v>43747</x:v>
      </x:c>
      <x:c r="B985" s="197" t="n">
        <x:v>117.6835</x:v>
      </x:c>
    </x:row>
    <x:row r="986">
      <x:c r="A986" s="187" t="n">
        <x:v>43748</x:v>
      </x:c>
      <x:c r="B986" s="197" t="n">
        <x:v>117.2801</x:v>
      </x:c>
    </x:row>
    <x:row r="987">
      <x:c r="A987" s="187" t="n">
        <x:v>43749</x:v>
      </x:c>
      <x:c r="B987" s="197" t="n">
        <x:v>116.8239</x:v>
      </x:c>
    </x:row>
    <x:row r="988">
      <x:c r="A988" s="187" t="n">
        <x:v>43752</x:v>
      </x:c>
      <x:c r="B988" s="197"/>
    </x:row>
    <x:row r="989">
      <x:c r="A989" s="187" t="n">
        <x:v>43753</x:v>
      </x:c>
      <x:c r="B989" s="197" t="n">
        <x:v>116.8111</x:v>
      </x:c>
    </x:row>
    <x:row r="990">
      <x:c r="A990" s="187" t="n">
        <x:v>43754</x:v>
      </x:c>
      <x:c r="B990" s="197" t="n">
        <x:v>116.6425</x:v>
      </x:c>
    </x:row>
    <x:row r="991">
      <x:c r="A991" s="187" t="n">
        <x:v>43755</x:v>
      </x:c>
      <x:c r="B991" s="197" t="n">
        <x:v>116.2615</x:v>
      </x:c>
    </x:row>
    <x:row r="992">
      <x:c r="A992" s="187" t="n">
        <x:v>43756</x:v>
      </x:c>
      <x:c r="B992" s="197" t="n">
        <x:v>116.1344</x:v>
      </x:c>
    </x:row>
    <x:row r="993">
      <x:c r="A993" s="187" t="n">
        <x:v>43759</x:v>
      </x:c>
      <x:c r="B993" s="197" t="n">
        <x:v>116.0436</x:v>
      </x:c>
    </x:row>
    <x:row r="994">
      <x:c r="A994" s="187" t="n">
        <x:v>43760</x:v>
      </x:c>
      <x:c r="B994" s="197" t="n">
        <x:v>115.9851</x:v>
      </x:c>
    </x:row>
    <x:row r="995">
      <x:c r="A995" s="187" t="n">
        <x:v>43761</x:v>
      </x:c>
      <x:c r="B995" s="197" t="n">
        <x:v>116.0586</x:v>
      </x:c>
    </x:row>
    <x:row r="996">
      <x:c r="A996" s="187" t="n">
        <x:v>43762</x:v>
      </x:c>
      <x:c r="B996" s="197" t="n">
        <x:v>116.1278</x:v>
      </x:c>
    </x:row>
    <x:row r="997">
      <x:c r="A997" s="187" t="n">
        <x:v>43763</x:v>
      </x:c>
      <x:c r="B997" s="197" t="n">
        <x:v>116.0774</x:v>
      </x:c>
    </x:row>
    <x:row r="998">
      <x:c r="A998" s="187" t="n">
        <x:v>43766</x:v>
      </x:c>
      <x:c r="B998" s="197" t="n">
        <x:v>116.0222</x:v>
      </x:c>
    </x:row>
    <x:row r="999">
      <x:c r="A999" s="187" t="n">
        <x:v>43767</x:v>
      </x:c>
      <x:c r="B999" s="197" t="n">
        <x:v>115.9797</x:v>
      </x:c>
    </x:row>
    <x:row r="1000">
      <x:c r="A1000" s="187" t="n">
        <x:v>43768</x:v>
      </x:c>
      <x:c r="B1000" s="197" t="n">
        <x:v>116.1636</x:v>
      </x:c>
    </x:row>
    <x:row r="1001">
      <x:c r="A1001" s="187" t="n">
        <x:v>43769</x:v>
      </x:c>
      <x:c r="B1001" s="197" t="n">
        <x:v>115.9125</x:v>
      </x:c>
    </x:row>
    <x:row r="1002">
      <x:c r="A1002" s="187" t="n">
        <x:v>43770</x:v>
      </x:c>
      <x:c r="B1002" s="197" t="n">
        <x:v>115.7312</x:v>
      </x:c>
    </x:row>
    <x:row r="1003">
      <x:c r="A1003" s="187" t="n">
        <x:v>43773</x:v>
      </x:c>
      <x:c r="B1003" s="197" t="n">
        <x:v>115.8624</x:v>
      </x:c>
    </x:row>
    <x:row r="1004">
      <x:c r="A1004" s="187" t="n">
        <x:v>43774</x:v>
      </x:c>
      <x:c r="B1004" s="197" t="n">
        <x:v>116.1138</x:v>
      </x:c>
    </x:row>
    <x:row r="1005">
      <x:c r="A1005" s="187" t="n">
        <x:v>43775</x:v>
      </x:c>
      <x:c r="B1005" s="197" t="n">
        <x:v>116.1004</x:v>
      </x:c>
    </x:row>
    <x:row r="1006">
      <x:c r="A1006" s="187" t="n">
        <x:v>43776</x:v>
      </x:c>
      <x:c r="B1006" s="197" t="n">
        <x:v>116.1172</x:v>
      </x:c>
    </x:row>
    <x:row r="1007">
      <x:c r="A1007" s="187" t="n">
        <x:v>43777</x:v>
      </x:c>
      <x:c r="B1007" s="197" t="n">
        <x:v>116.3436</x:v>
      </x:c>
    </x:row>
    <x:row r="1008">
      <x:c r="A1008" s="187" t="n">
        <x:v>43780</x:v>
      </x:c>
      <x:c r="B1008" s="197"/>
    </x:row>
    <x:row r="1009">
      <x:c r="A1009" s="187" t="n">
        <x:v>43781</x:v>
      </x:c>
      <x:c r="B1009" s="197" t="n">
        <x:v>116.5837</x:v>
      </x:c>
    </x:row>
    <x:row r="1010">
      <x:c r="A1010" s="187" t="n">
        <x:v>43782</x:v>
      </x:c>
      <x:c r="B1010" s="197" t="n">
        <x:v>116.8397</x:v>
      </x:c>
    </x:row>
    <x:row r="1011">
      <x:c r="A1011" s="187" t="n">
        <x:v>43783</x:v>
      </x:c>
      <x:c r="B1011" s="197" t="n">
        <x:v>116.8022</x:v>
      </x:c>
    </x:row>
    <x:row r="1012">
      <x:c r="A1012" s="187" t="n">
        <x:v>43784</x:v>
      </x:c>
      <x:c r="B1012" s="197" t="n">
        <x:v>116.4401</x:v>
      </x:c>
    </x:row>
    <x:row r="1013">
      <x:c r="A1013" s="187" t="n">
        <x:v>43787</x:v>
      </x:c>
      <x:c r="B1013" s="197" t="n">
        <x:v>116.3625</x:v>
      </x:c>
    </x:row>
    <x:row r="1014">
      <x:c r="A1014" s="187" t="n">
        <x:v>43788</x:v>
      </x:c>
      <x:c r="B1014" s="197" t="n">
        <x:v>116.5391</x:v>
      </x:c>
    </x:row>
    <x:row r="1015">
      <x:c r="A1015" s="187" t="n">
        <x:v>43789</x:v>
      </x:c>
      <x:c r="B1015" s="197" t="n">
        <x:v>116.828</x:v>
      </x:c>
    </x:row>
    <x:row r="1016">
      <x:c r="A1016" s="187" t="n">
        <x:v>43790</x:v>
      </x:c>
      <x:c r="B1016" s="197" t="n">
        <x:v>116.7435</x:v>
      </x:c>
    </x:row>
    <x:row r="1017">
      <x:c r="A1017" s="187" t="n">
        <x:v>43791</x:v>
      </x:c>
      <x:c r="B1017" s="197" t="n">
        <x:v>116.9137</x:v>
      </x:c>
    </x:row>
    <x:row r="1018">
      <x:c r="A1018" s="187" t="n">
        <x:v>43794</x:v>
      </x:c>
      <x:c r="B1018" s="197" t="n">
        <x:v>117.0098</x:v>
      </x:c>
    </x:row>
    <x:row r="1019">
      <x:c r="A1019" s="187" t="n">
        <x:v>43795</x:v>
      </x:c>
      <x:c r="B1019" s="197" t="n">
        <x:v>117.0513</x:v>
      </x:c>
    </x:row>
    <x:row r="1020">
      <x:c r="A1020" s="187" t="n">
        <x:v>43796</x:v>
      </x:c>
      <x:c r="B1020" s="197" t="n">
        <x:v>117.1273</x:v>
      </x:c>
    </x:row>
    <x:row r="1021">
      <x:c r="A1021" s="187" t="n">
        <x:v>43797</x:v>
      </x:c>
      <x:c r="B1021" s="197"/>
    </x:row>
    <x:row r="1022">
      <x:c r="A1022" s="187" t="n">
        <x:v>43798</x:v>
      </x:c>
      <x:c r="B1022" s="197" t="n">
        <x:v>117.1204</x:v>
      </x:c>
    </x:row>
    <x:row r="1023">
      <x:c r="A1023" s="187" t="n">
        <x:v>43801</x:v>
      </x:c>
      <x:c r="B1023" s="197" t="n">
        <x:v>116.9647</x:v>
      </x:c>
    </x:row>
    <x:row r="1024">
      <x:c r="A1024" s="187" t="n">
        <x:v>43802</x:v>
      </x:c>
      <x:c r="B1024" s="197" t="n">
        <x:v>116.8898</x:v>
      </x:c>
    </x:row>
    <x:row r="1025">
      <x:c r="A1025" s="187" t="n">
        <x:v>43803</x:v>
      </x:c>
      <x:c r="B1025" s="197" t="n">
        <x:v>116.692</x:v>
      </x:c>
    </x:row>
    <x:row r="1026">
      <x:c r="A1026" s="187" t="n">
        <x:v>43804</x:v>
      </x:c>
      <x:c r="B1026" s="197" t="n">
        <x:v>116.3838</x:v>
      </x:c>
    </x:row>
    <x:row r="1027">
      <x:c r="A1027" s="187" t="n">
        <x:v>43805</x:v>
      </x:c>
      <x:c r="B1027" s="197" t="n">
        <x:v>116.5381</x:v>
      </x:c>
    </x:row>
    <x:row r="1028">
      <x:c r="A1028" s="187" t="n">
        <x:v>43808</x:v>
      </x:c>
      <x:c r="B1028" s="197" t="n">
        <x:v>116.3283</x:v>
      </x:c>
    </x:row>
    <x:row r="1029">
      <x:c r="A1029" s="187" t="n">
        <x:v>43809</x:v>
      </x:c>
      <x:c r="B1029" s="197" t="n">
        <x:v>116.2542</x:v>
      </x:c>
    </x:row>
    <x:row r="1030">
      <x:c r="A1030" s="187" t="n">
        <x:v>43810</x:v>
      </x:c>
      <x:c r="B1030" s="197" t="n">
        <x:v>116.1478</x:v>
      </x:c>
    </x:row>
    <x:row r="1031">
      <x:c r="A1031" s="187" t="n">
        <x:v>43811</x:v>
      </x:c>
      <x:c r="B1031" s="197" t="n">
        <x:v>115.8741</x:v>
      </x:c>
    </x:row>
    <x:row r="1032">
      <x:c r="A1032" s="187" t="n">
        <x:v>43812</x:v>
      </x:c>
      <x:c r="B1032" s="197" t="n">
        <x:v>115.6967</x:v>
      </x:c>
    </x:row>
    <x:row r="1033">
      <x:c r="A1033" s="187" t="n">
        <x:v>43815</x:v>
      </x:c>
      <x:c r="B1033" s="197" t="n">
        <x:v>115.555</x:v>
      </x:c>
    </x:row>
    <x:row r="1034">
      <x:c r="A1034" s="187" t="n">
        <x:v>43816</x:v>
      </x:c>
      <x:c r="B1034" s="197" t="n">
        <x:v>115.5553</x:v>
      </x:c>
    </x:row>
    <x:row r="1035">
      <x:c r="A1035" s="187" t="n">
        <x:v>43817</x:v>
      </x:c>
      <x:c r="B1035" s="197" t="n">
        <x:v>115.6618</x:v>
      </x:c>
    </x:row>
    <x:row r="1036">
      <x:c r="A1036" s="187" t="n">
        <x:v>43818</x:v>
      </x:c>
      <x:c r="B1036" s="197" t="n">
        <x:v>115.5988</x:v>
      </x:c>
    </x:row>
    <x:row r="1037">
      <x:c r="A1037" s="187" t="n">
        <x:v>43819</x:v>
      </x:c>
      <x:c r="B1037" s="197" t="n">
        <x:v>115.7598</x:v>
      </x:c>
    </x:row>
    <x:row r="1038">
      <x:c r="A1038" s="187" t="n">
        <x:v>43822</x:v>
      </x:c>
      <x:c r="B1038" s="197" t="n">
        <x:v>115.8059</x:v>
      </x:c>
    </x:row>
    <x:row r="1039">
      <x:c r="A1039" s="187" t="n">
        <x:v>43823</x:v>
      </x:c>
      <x:c r="B1039" s="197"/>
    </x:row>
    <x:row r="1040">
      <x:c r="A1040" s="187" t="n">
        <x:v>43824</x:v>
      </x:c>
      <x:c r="B1040" s="197"/>
    </x:row>
    <x:row r="1041">
      <x:c r="A1041" s="187" t="n">
        <x:v>43825</x:v>
      </x:c>
      <x:c r="B1041" s="197" t="n">
        <x:v>115.634</x:v>
      </x:c>
    </x:row>
    <x:row r="1042">
      <x:c r="A1042" s="187" t="n">
        <x:v>43826</x:v>
      </x:c>
      <x:c r="B1042" s="197" t="n">
        <x:v>115.22</x:v>
      </x:c>
    </x:row>
    <x:row r="1043">
      <x:c r="A1043" s="187" t="n">
        <x:v>43829</x:v>
      </x:c>
      <x:c r="B1043" s="197" t="n">
        <x:v>114.9631</x:v>
      </x:c>
    </x:row>
    <x:row r="1044">
      <x:c r="A1044" s="187" t="n">
        <x:v>43830</x:v>
      </x:c>
      <x:c r="B1044" s="197" t="n">
        <x:v>114.669</x:v>
      </x:c>
    </x:row>
    <x:row r="1045">
      <x:c r="A1045" s="187" t="n">
        <x:v>43831</x:v>
      </x:c>
      <x:c r="B1045" s="197"/>
    </x:row>
    <x:row r="1046">
      <x:c r="A1046" s="187" t="n">
        <x:v>43832</x:v>
      </x:c>
      <x:c r="B1046" s="197" t="n">
        <x:v>114.9745</x:v>
      </x:c>
    </x:row>
    <x:row r="1047">
      <x:c r="A1047" s="187" t="n">
        <x:v>43833</x:v>
      </x:c>
      <x:c r="B1047" s="197" t="n">
        <x:v>114.9867</x:v>
      </x:c>
    </x:row>
    <x:row r="1048">
      <x:c r="A1048" s="187" t="n">
        <x:v>43836</x:v>
      </x:c>
      <x:c r="B1048" s="197" t="n">
        <x:v>114.9557</x:v>
      </x:c>
    </x:row>
    <x:row r="1049">
      <x:c r="A1049" s="187" t="n">
        <x:v>43837</x:v>
      </x:c>
      <x:c r="B1049" s="197" t="n">
        <x:v>115.1477</x:v>
      </x:c>
    </x:row>
    <x:row r="1050">
      <x:c r="A1050" s="187" t="n">
        <x:v>43838</x:v>
      </x:c>
      <x:c r="B1050" s="197" t="n">
        <x:v>115.1328</x:v>
      </x:c>
    </x:row>
    <x:row r="1051">
      <x:c r="A1051" s="187" t="n">
        <x:v>43839</x:v>
      </x:c>
      <x:c r="B1051" s="197" t="n">
        <x:v>115.2331</x:v>
      </x:c>
    </x:row>
    <x:row r="1052">
      <x:c r="A1052" s="187" t="n">
        <x:v>43840</x:v>
      </x:c>
      <x:c r="B1052" s="197" t="n">
        <x:v>115.0677</x:v>
      </x:c>
    </x:row>
    <x:row r="1053">
      <x:c r="A1053" s="187" t="n">
        <x:v>43843</x:v>
      </x:c>
      <x:c r="B1053" s="197" t="n">
        <x:v>115.0342</x:v>
      </x:c>
    </x:row>
    <x:row r="1054">
      <x:c r="A1054" s="187" t="n">
        <x:v>43844</x:v>
      </x:c>
      <x:c r="B1054" s="197" t="n">
        <x:v>115.0239</x:v>
      </x:c>
    </x:row>
    <x:row r="1055">
      <x:c r="A1055" s="187" t="n">
        <x:v>43845</x:v>
      </x:c>
      <x:c r="B1055" s="197" t="n">
        <x:v>114.9528</x:v>
      </x:c>
    </x:row>
    <x:row r="1056">
      <x:c r="A1056" s="187" t="n">
        <x:v>43846</x:v>
      </x:c>
      <x:c r="B1056" s="197" t="n">
        <x:v>115.0006</x:v>
      </x:c>
    </x:row>
    <x:row r="1057">
      <x:c r="A1057" s="187" t="n">
        <x:v>43847</x:v>
      </x:c>
      <x:c r="B1057" s="197" t="n">
        <x:v>115.0656</x:v>
      </x:c>
    </x:row>
    <x:row r="1058">
      <x:c r="A1058" s="187" t="n">
        <x:v>43850</x:v>
      </x:c>
      <x:c r="B1058" s="197"/>
    </x:row>
    <x:row r="1059">
      <x:c r="A1059" s="187" t="n">
        <x:v>43851</x:v>
      </x:c>
      <x:c r="B1059" s="197" t="n">
        <x:v>115.1876</x:v>
      </x:c>
    </x:row>
    <x:row r="1060">
      <x:c r="A1060" s="187" t="n">
        <x:v>43852</x:v>
      </x:c>
      <x:c r="B1060" s="197" t="n">
        <x:v>115.2273</x:v>
      </x:c>
    </x:row>
    <x:row r="1061">
      <x:c r="A1061" s="187" t="n">
        <x:v>43853</x:v>
      </x:c>
      <x:c r="B1061" s="197" t="n">
        <x:v>115.5545</x:v>
      </x:c>
    </x:row>
    <x:row r="1062">
      <x:c r="A1062" s="187" t="n">
        <x:v>43854</x:v>
      </x:c>
      <x:c r="B1062" s="197" t="n">
        <x:v>115.5556</x:v>
      </x:c>
    </x:row>
    <x:row r="1063">
      <x:c r="A1063" s="187" t="n">
        <x:v>43857</x:v>
      </x:c>
      <x:c r="B1063" s="197" t="n">
        <x:v>115.8004</x:v>
      </x:c>
    </x:row>
    <x:row r="1064">
      <x:c r="A1064" s="187" t="n">
        <x:v>43858</x:v>
      </x:c>
      <x:c r="B1064" s="197" t="n">
        <x:v>115.7239</x:v>
      </x:c>
    </x:row>
    <x:row r="1065">
      <x:c r="A1065" s="187" t="n">
        <x:v>43859</x:v>
      </x:c>
      <x:c r="B1065" s="197" t="n">
        <x:v>115.7003</x:v>
      </x:c>
    </x:row>
    <x:row r="1066">
      <x:c r="A1066" s="187" t="n">
        <x:v>43860</x:v>
      </x:c>
      <x:c r="B1066" s="197" t="n">
        <x:v>115.8077</x:v>
      </x:c>
    </x:row>
    <x:row r="1067">
      <x:c r="A1067" s="187" t="n">
        <x:v>43861</x:v>
      </x:c>
      <x:c r="B1067" s="197" t="n">
        <x:v>115.7345</x:v>
      </x:c>
    </x:row>
    <x:row r="1068">
      <x:c r="A1068" s="187" t="n">
        <x:v>43864</x:v>
      </x:c>
      <x:c r="B1068" s="197" t="n">
        <x:v>116.1172</x:v>
      </x:c>
    </x:row>
    <x:row r="1069">
      <x:c r="A1069" s="187" t="n">
        <x:v>43865</x:v>
      </x:c>
      <x:c r="B1069" s="197" t="n">
        <x:v>115.9291</x:v>
      </x:c>
    </x:row>
    <x:row r="1070">
      <x:c r="A1070" s="187" t="n">
        <x:v>43866</x:v>
      </x:c>
      <x:c r="B1070" s="197" t="n">
        <x:v>116.009</x:v>
      </x:c>
    </x:row>
    <x:row r="1071">
      <x:c r="A1071" s="187" t="n">
        <x:v>43867</x:v>
      </x:c>
      <x:c r="B1071" s="197" t="n">
        <x:v>116.1518</x:v>
      </x:c>
    </x:row>
    <x:row r="1072">
      <x:c r="A1072" s="187" t="n">
        <x:v>43868</x:v>
      </x:c>
      <x:c r="B1072" s="197" t="n">
        <x:v>116.5086</x:v>
      </x:c>
    </x:row>
    <x:row r="1073">
      <x:c r="A1073" s="187" t="n">
        <x:v>43871</x:v>
      </x:c>
      <x:c r="B1073" s="197" t="n">
        <x:v>116.5711</x:v>
      </x:c>
    </x:row>
    <x:row r="1074">
      <x:c r="A1074" s="187" t="n">
        <x:v>43872</x:v>
      </x:c>
      <x:c r="B1074" s="197" t="n">
        <x:v>116.3585</x:v>
      </x:c>
    </x:row>
    <x:row r="1075">
      <x:c r="A1075" s="187" t="n">
        <x:v>43873</x:v>
      </x:c>
      <x:c r="B1075" s="197" t="n">
        <x:v>116.2794</x:v>
      </x:c>
    </x:row>
    <x:row r="1076">
      <x:c r="A1076" s="187" t="n">
        <x:v>43874</x:v>
      </x:c>
      <x:c r="B1076" s="197" t="n">
        <x:v>116.3999</x:v>
      </x:c>
    </x:row>
    <x:row r="1077">
      <x:c r="A1077" s="187" t="n">
        <x:v>43875</x:v>
      </x:c>
      <x:c r="B1077" s="197" t="n">
        <x:v>116.4223</x:v>
      </x:c>
    </x:row>
    <x:row r="1078">
      <x:c r="A1078" s="187" t="n">
        <x:v>43878</x:v>
      </x:c>
      <x:c r="B1078" s="197"/>
    </x:row>
    <x:row r="1079">
      <x:c r="A1079" s="187" t="n">
        <x:v>43879</x:v>
      </x:c>
      <x:c r="B1079" s="197" t="n">
        <x:v>116.6039</x:v>
      </x:c>
    </x:row>
    <x:row r="1080">
      <x:c r="A1080" s="187" t="n">
        <x:v>43880</x:v>
      </x:c>
      <x:c r="B1080" s="197" t="n">
        <x:v>116.7829</x:v>
      </x:c>
    </x:row>
    <x:row r="1081">
      <x:c r="A1081" s="187" t="n">
        <x:v>43881</x:v>
      </x:c>
      <x:c r="B1081" s="197" t="n">
        <x:v>117.2454</x:v>
      </x:c>
    </x:row>
    <x:row r="1082">
      <x:c r="A1082" s="187" t="n">
        <x:v>43882</x:v>
      </x:c>
      <x:c r="B1082" s="197" t="n">
        <x:v>117.0473</x:v>
      </x:c>
    </x:row>
    <x:row r="1083">
      <x:c r="A1083" s="187" t="n">
        <x:v>43885</x:v>
      </x:c>
      <x:c r="B1083" s="197" t="n">
        <x:v>117.4018</x:v>
      </x:c>
    </x:row>
    <x:row r="1084">
      <x:c r="A1084" s="187" t="n">
        <x:v>43886</x:v>
      </x:c>
      <x:c r="B1084" s="197" t="n">
        <x:v>117.2425</x:v>
      </x:c>
    </x:row>
    <x:row r="1085">
      <x:c r="A1085" s="187" t="n">
        <x:v>43887</x:v>
      </x:c>
      <x:c r="B1085" s="197" t="n">
        <x:v>117.405</x:v>
      </x:c>
    </x:row>
    <x:row r="1086">
      <x:c r="A1086" s="187" t="n">
        <x:v>43888</x:v>
      </x:c>
      <x:c r="B1086" s="197" t="n">
        <x:v>117.3678</x:v>
      </x:c>
    </x:row>
    <x:row r="1087">
      <x:c r="A1087" s="187" t="n">
        <x:v>43889</x:v>
      </x:c>
      <x:c r="B1087" s="197" t="n">
        <x:v>117.6568</x:v>
      </x:c>
    </x:row>
    <x:row r="1088">
      <x:c r="A1088" s="187" t="n">
        <x:v>43892</x:v>
      </x:c>
      <x:c r="B1088" s="197" t="n">
        <x:v>116.8144</x:v>
      </x:c>
    </x:row>
    <x:row r="1089">
      <x:c r="A1089" s="187" t="n">
        <x:v>43893</x:v>
      </x:c>
      <x:c r="B1089" s="197" t="n">
        <x:v>116.4958</x:v>
      </x:c>
    </x:row>
    <x:row r="1090">
      <x:c r="A1090" s="187" t="n">
        <x:v>43894</x:v>
      </x:c>
      <x:c r="B1090" s="197" t="n">
        <x:v>116.7802</x:v>
      </x:c>
    </x:row>
    <x:row r="1091">
      <x:c r="A1091" s="187" t="n">
        <x:v>43895</x:v>
      </x:c>
      <x:c r="B1091" s="197" t="n">
        <x:v>116.7901</x:v>
      </x:c>
    </x:row>
    <x:row r="1092">
      <x:c r="A1092" s="187" t="n">
        <x:v>43896</x:v>
      </x:c>
      <x:c r="B1092" s="197" t="n">
        <x:v>116.7106</x:v>
      </x:c>
    </x:row>
    <x:row r="1093">
      <x:c r="A1093" s="187" t="n">
        <x:v>43899</x:v>
      </x:c>
      <x:c r="B1093" s="197" t="n">
        <x:v>117.1871</x:v>
      </x:c>
    </x:row>
    <x:row r="1094">
      <x:c r="A1094" s="187" t="n">
        <x:v>43900</x:v>
      </x:c>
      <x:c r="B1094" s="197" t="n">
        <x:v>117.9027</x:v>
      </x:c>
    </x:row>
    <x:row r="1095">
      <x:c r="A1095" s="187" t="n">
        <x:v>43901</x:v>
      </x:c>
      <x:c r="B1095" s="197" t="n">
        <x:v>118.2505</x:v>
      </x:c>
    </x:row>
    <x:row r="1096">
      <x:c r="A1096" s="187" t="n">
        <x:v>43902</x:v>
      </x:c>
      <x:c r="B1096" s="197" t="n">
        <x:v>120.4883</x:v>
      </x:c>
    </x:row>
    <x:row r="1097">
      <x:c r="A1097" s="187" t="n">
        <x:v>43903</x:v>
      </x:c>
      <x:c r="B1097" s="197" t="n">
        <x:v>120.4388</x:v>
      </x:c>
    </x:row>
    <x:row r="1098">
      <x:c r="A1098" s="187" t="n">
        <x:v>43906</x:v>
      </x:c>
      <x:c r="B1098" s="197" t="n">
        <x:v>120.9352</x:v>
      </x:c>
    </x:row>
    <x:row r="1099">
      <x:c r="A1099" s="187" t="n">
        <x:v>43907</x:v>
      </x:c>
      <x:c r="B1099" s="197" t="n">
        <x:v>122.4816</x:v>
      </x:c>
    </x:row>
    <x:row r="1100">
      <x:c r="A1100" s="187" t="n">
        <x:v>43908</x:v>
      </x:c>
      <x:c r="B1100" s="197" t="n">
        <x:v>124.1623</x:v>
      </x:c>
    </x:row>
    <x:row r="1101">
      <x:c r="A1101" s="187" t="n">
        <x:v>43909</x:v>
      </x:c>
      <x:c r="B1101" s="197" t="n">
        <x:v>125.0587</x:v>
      </x:c>
    </x:row>
    <x:row r="1102">
      <x:c r="A1102" s="187" t="n">
        <x:v>43910</x:v>
      </x:c>
      <x:c r="B1102" s="197" t="n">
        <x:v>124.9362</x:v>
      </x:c>
    </x:row>
    <x:row r="1103">
      <x:c r="A1103" s="187" t="n">
        <x:v>43913</x:v>
      </x:c>
      <x:c r="B1103" s="197" t="n">
        <x:v>126.1262</x:v>
      </x:c>
    </x:row>
    <x:row r="1104">
      <x:c r="A1104" s="187" t="n">
        <x:v>43914</x:v>
      </x:c>
      <x:c r="B1104" s="197" t="n">
        <x:v>125.5001</x:v>
      </x:c>
    </x:row>
    <x:row r="1105">
      <x:c r="A1105" s="187" t="n">
        <x:v>43915</x:v>
      </x:c>
      <x:c r="B1105" s="197" t="n">
        <x:v>124.7916</x:v>
      </x:c>
    </x:row>
    <x:row r="1106">
      <x:c r="A1106" s="187" t="n">
        <x:v>43916</x:v>
      </x:c>
      <x:c r="B1106" s="197" t="n">
        <x:v>122.4308</x:v>
      </x:c>
    </x:row>
    <x:row r="1107">
      <x:c r="A1107" s="187" t="n">
        <x:v>43917</x:v>
      </x:c>
      <x:c r="B1107" s="197" t="n">
        <x:v>122.4007</x:v>
      </x:c>
    </x:row>
    <x:row r="1108">
      <x:c r="A1108" s="187" t="n">
        <x:v>43920</x:v>
      </x:c>
      <x:c r="B1108" s="197" t="n">
        <x:v>123.2883</x:v>
      </x:c>
    </x:row>
    <x:row r="1109">
      <x:c r="A1109" s="187" t="n">
        <x:v>43921</x:v>
      </x:c>
      <x:c r="B1109" s="197" t="n">
        <x:v>122.5301</x:v>
      </x:c>
    </x:row>
    <x:row r="1110">
      <x:c r="A1110" s="187" t="n">
        <x:v>43922</x:v>
      </x:c>
      <x:c r="B1110" s="197" t="n">
        <x:v>123.7933</x:v>
      </x:c>
    </x:row>
    <x:row r="1111">
      <x:c r="A1111" s="187" t="n">
        <x:v>43923</x:v>
      </x:c>
      <x:c r="B1111" s="197" t="n">
        <x:v>123.5916</x:v>
      </x:c>
    </x:row>
    <x:row r="1112">
      <x:c r="A1112" s="187" t="n">
        <x:v>43924</x:v>
      </x:c>
      <x:c r="B1112" s="197" t="n">
        <x:v>124.4152</x:v>
      </x:c>
    </x:row>
    <x:row r="1113">
      <x:c r="A1113" s="187" t="n">
        <x:v>43927</x:v>
      </x:c>
      <x:c r="B1113" s="197" t="n">
        <x:v>124.16</x:v>
      </x:c>
    </x:row>
    <x:row r="1114">
      <x:c r="A1114" s="187" t="n">
        <x:v>43928</x:v>
      </x:c>
      <x:c r="B1114" s="197" t="n">
        <x:v>123.0956</x:v>
      </x:c>
    </x:row>
    <x:row r="1115">
      <x:c r="A1115" s="187" t="n">
        <x:v>43929</x:v>
      </x:c>
      <x:c r="B1115" s="197" t="n">
        <x:v>123.2216</x:v>
      </x:c>
    </x:row>
    <x:row r="1116">
      <x:c r="A1116" s="187" t="n">
        <x:v>43930</x:v>
      </x:c>
      <x:c r="B1116" s="197" t="n">
        <x:v>122.476</x:v>
      </x:c>
    </x:row>
    <x:row r="1117">
      <x:c r="A1117" s="187" t="n">
        <x:v>43931</x:v>
      </x:c>
      <x:c r="B1117" s="197" t="n">
        <x:v>122.1592</x:v>
      </x:c>
    </x:row>
    <x:row r="1118">
      <x:c r="A1118" s="187" t="n">
        <x:v>43934</x:v>
      </x:c>
      <x:c r="B1118" s="197" t="n">
        <x:v>122.5203</x:v>
      </x:c>
    </x:row>
    <x:row r="1119">
      <x:c r="A1119" s="187" t="n">
        <x:v>43935</x:v>
      </x:c>
      <x:c r="B1119" s="197" t="n">
        <x:v>122.1121</x:v>
      </x:c>
    </x:row>
    <x:row r="1120">
      <x:c r="A1120" s="187" t="n">
        <x:v>43936</x:v>
      </x:c>
      <x:c r="B1120" s="197" t="n">
        <x:v>123.0752</x:v>
      </x:c>
    </x:row>
    <x:row r="1121">
      <x:c r="A1121" s="187" t="n">
        <x:v>43937</x:v>
      </x:c>
      <x:c r="B1121" s="197" t="n">
        <x:v>123.4615</x:v>
      </x:c>
    </x:row>
    <x:row r="1122">
      <x:c r="A1122" s="187" t="n">
        <x:v>43938</x:v>
      </x:c>
      <x:c r="B1122" s="197" t="n">
        <x:v>122.871</x:v>
      </x:c>
    </x:row>
    <x:row r="1123">
      <x:c r="A1123" s="187" t="n">
        <x:v>43941</x:v>
      </x:c>
      <x:c r="B1123" s="197" t="n">
        <x:v>123.1033</x:v>
      </x:c>
    </x:row>
    <x:row r="1124">
      <x:c r="A1124" s="187" t="n">
        <x:v>43942</x:v>
      </x:c>
      <x:c r="B1124" s="197" t="n">
        <x:v>123.9116</x:v>
      </x:c>
    </x:row>
    <x:row r="1125">
      <x:c r="A1125" s="187" t="n">
        <x:v>43943</x:v>
      </x:c>
      <x:c r="B1125" s="197" t="n">
        <x:v>123.9256</x:v>
      </x:c>
    </x:row>
    <x:row r="1126">
      <x:c r="A1126" s="187" t="n">
        <x:v>43944</x:v>
      </x:c>
      <x:c r="B1126" s="197" t="n">
        <x:v>123.7542</x:v>
      </x:c>
    </x:row>
    <x:row r="1127">
      <x:c r="A1127" s="187" t="n">
        <x:v>43945</x:v>
      </x:c>
      <x:c r="B1127" s="197" t="n">
        <x:v>124.1615</x:v>
      </x:c>
    </x:row>
    <x:row r="1128">
      <x:c r="A1128" s="187" t="n">
        <x:v>43948</x:v>
      </x:c>
      <x:c r="B1128" s="197" t="n">
        <x:v>123.8843</x:v>
      </x:c>
    </x:row>
    <x:row r="1129">
      <x:c r="A1129" s="187" t="n">
        <x:v>43949</x:v>
      </x:c>
      <x:c r="B1129" s="197" t="n">
        <x:v>123.3693</x:v>
      </x:c>
    </x:row>
    <x:row r="1130">
      <x:c r="A1130" s="187" t="n">
        <x:v>43950</x:v>
      </x:c>
      <x:c r="B1130" s="197" t="n">
        <x:v>122.7782</x:v>
      </x:c>
    </x:row>
    <x:row r="1131">
      <x:c r="A1131" s="187" t="n">
        <x:v>43951</x:v>
      </x:c>
      <x:c r="B1131" s="197" t="n">
        <x:v>122.327</x:v>
      </x:c>
    </x:row>
    <x:row r="1132">
      <x:c r="A1132" s="187" t="n">
        <x:v>43952</x:v>
      </x:c>
      <x:c r="B1132" s="197" t="n">
        <x:v>123.1492</x:v>
      </x:c>
    </x:row>
    <x:row r="1133">
      <x:c r="A1133" s="187" t="n">
        <x:v>43955</x:v>
      </x:c>
      <x:c r="B1133" s="197" t="n">
        <x:v>123.2117</x:v>
      </x:c>
    </x:row>
    <x:row r="1134">
      <x:c r="A1134" s="187" t="n">
        <x:v>43956</x:v>
      </x:c>
      <x:c r="B1134" s="197" t="n">
        <x:v>122.803</x:v>
      </x:c>
    </x:row>
    <x:row r="1135">
      <x:c r="A1135" s="187" t="n">
        <x:v>43957</x:v>
      </x:c>
      <x:c r="B1135" s="197" t="n">
        <x:v>123.609</x:v>
      </x:c>
    </x:row>
    <x:row r="1136">
      <x:c r="A1136" s="187" t="n">
        <x:v>43958</x:v>
      </x:c>
      <x:c r="B1136" s="197" t="n">
        <x:v>123.1249</x:v>
      </x:c>
    </x:row>
    <x:row r="1137">
      <x:c r="A1137" s="187" t="n">
        <x:v>43959</x:v>
      </x:c>
      <x:c r="B1137" s="197" t="n">
        <x:v>122.5379</x:v>
      </x:c>
    </x:row>
    <x:row r="1138">
      <x:c r="A1138" s="187" t="n">
        <x:v>43962</x:v>
      </x:c>
      <x:c r="B1138" s="197" t="n">
        <x:v>123.2333</x:v>
      </x:c>
    </x:row>
    <x:row r="1139">
      <x:c r="A1139" s="187" t="n">
        <x:v>43963</x:v>
      </x:c>
      <x:c r="B1139" s="197" t="n">
        <x:v>123.0592</x:v>
      </x:c>
    </x:row>
    <x:row r="1140">
      <x:c r="A1140" s="187" t="n">
        <x:v>43964</x:v>
      </x:c>
      <x:c r="B1140" s="197" t="n">
        <x:v>123.5408</x:v>
      </x:c>
    </x:row>
    <x:row r="1141">
      <x:c r="A1141" s="187" t="n">
        <x:v>43965</x:v>
      </x:c>
      <x:c r="B1141" s="197" t="n">
        <x:v>123.6429</x:v>
      </x:c>
    </x:row>
    <x:row r="1142">
      <x:c r="A1142" s="187" t="n">
        <x:v>43966</x:v>
      </x:c>
      <x:c r="B1142" s="197" t="n">
        <x:v>123.5991</x:v>
      </x:c>
    </x:row>
    <x:row r="1143">
      <x:c r="A1143" s="187" t="n">
        <x:v>43969</x:v>
      </x:c>
      <x:c r="B1143" s="197" t="n">
        <x:v>122.7968</x:v>
      </x:c>
    </x:row>
    <x:row r="1144">
      <x:c r="A1144" s="187" t="n">
        <x:v>43970</x:v>
      </x:c>
      <x:c r="B1144" s="197" t="n">
        <x:v>122.5655</x:v>
      </x:c>
    </x:row>
    <x:row r="1145">
      <x:c r="A1145" s="187" t="n">
        <x:v>43971</x:v>
      </x:c>
      <x:c r="B1145" s="197" t="n">
        <x:v>122.1007</x:v>
      </x:c>
    </x:row>
    <x:row r="1146">
      <x:c r="A1146" s="187" t="n">
        <x:v>43972</x:v>
      </x:c>
      <x:c r="B1146" s="197" t="n">
        <x:v>122.0914</x:v>
      </x:c>
    </x:row>
    <x:row r="1147">
      <x:c r="A1147" s="187" t="n">
        <x:v>43973</x:v>
      </x:c>
      <x:c r="B1147" s="197" t="n">
        <x:v>122.3211</x:v>
      </x:c>
    </x:row>
    <x:row r="1148">
      <x:c r="A1148" s="187" t="n">
        <x:v>43976</x:v>
      </x:c>
      <x:c r="B1148" s="197"/>
    </x:row>
    <x:row r="1149">
      <x:c r="A1149" s="187" t="n">
        <x:v>43977</x:v>
      </x:c>
      <x:c r="B1149" s="197" t="n">
        <x:v>121.3864</x:v>
      </x:c>
    </x:row>
    <x:row r="1150">
      <x:c r="A1150" s="187" t="n">
        <x:v>43978</x:v>
      </x:c>
      <x:c r="B1150" s="197" t="n">
        <x:v>121.5677</x:v>
      </x:c>
    </x:row>
    <x:row r="1151">
      <x:c r="A1151" s="187" t="n">
        <x:v>43979</x:v>
      </x:c>
      <x:c r="B1151" s="197" t="n">
        <x:v>121.0138</x:v>
      </x:c>
    </x:row>
    <x:row r="1152">
      <x:c r="A1152" s="187" t="n">
        <x:v>43980</x:v>
      </x:c>
      <x:c r="B1152" s="197" t="n">
        <x:v>120.9458</x:v>
      </x:c>
    </x:row>
    <x:row r="1153">
      <x:c r="A1153" s="187" t="n">
        <x:v>43983</x:v>
      </x:c>
      <x:c r="B1153" s="197" t="n">
        <x:v>120.2686</x:v>
      </x:c>
    </x:row>
    <x:row r="1154">
      <x:c r="A1154" s="187" t="n">
        <x:v>43984</x:v>
      </x:c>
      <x:c r="B1154" s="197" t="n">
        <x:v>119.6854</x:v>
      </x:c>
    </x:row>
    <x:row r="1155">
      <x:c r="A1155" s="187" t="n">
        <x:v>43985</x:v>
      </x:c>
      <x:c r="B1155" s="197" t="n">
        <x:v>119.2556</x:v>
      </x:c>
    </x:row>
    <x:row r="1156">
      <x:c r="A1156" s="187" t="n">
        <x:v>43986</x:v>
      </x:c>
      <x:c r="B1156" s="197" t="n">
        <x:v>119.3014</x:v>
      </x:c>
    </x:row>
    <x:row r="1157">
      <x:c r="A1157" s="187" t="n">
        <x:v>43987</x:v>
      </x:c>
      <x:c r="B1157" s="197" t="n">
        <x:v>118.8138</x:v>
      </x:c>
    </x:row>
    <x:row r="1158">
      <x:c r="A1158" s="187" t="n">
        <x:v>43990</x:v>
      </x:c>
      <x:c r="B1158" s="197" t="n">
        <x:v>118.6621</x:v>
      </x:c>
    </x:row>
    <x:row r="1159">
      <x:c r="A1159" s="187" t="n">
        <x:v>43991</x:v>
      </x:c>
      <x:c r="B1159" s="197" t="n">
        <x:v>118.5893</x:v>
      </x:c>
    </x:row>
    <x:row r="1160">
      <x:c r="A1160" s="187" t="n">
        <x:v>43992</x:v>
      </x:c>
      <x:c r="B1160" s="197" t="n">
        <x:v>118.5231</x:v>
      </x:c>
    </x:row>
    <x:row r="1161">
      <x:c r="A1161" s="187" t="n">
        <x:v>43993</x:v>
      </x:c>
      <x:c r="B1161" s="197" t="n">
        <x:v>119.2347</x:v>
      </x:c>
    </x:row>
    <x:row r="1162">
      <x:c r="A1162" s="187" t="n">
        <x:v>43994</x:v>
      </x:c>
      <x:c r="B1162" s="197" t="n">
        <x:v>119.6645</x:v>
      </x:c>
    </x:row>
    <x:row r="1163">
      <x:c r="A1163" s="187" t="n">
        <x:v>43997</x:v>
      </x:c>
      <x:c r="B1163" s="197" t="n">
        <x:v>119.9539</x:v>
      </x:c>
    </x:row>
    <x:row r="1164">
      <x:c r="A1164" s="187" t="n">
        <x:v>43998</x:v>
      </x:c>
      <x:c r="B1164" s="197" t="n">
        <x:v>119.567</x:v>
      </x:c>
    </x:row>
    <x:row r="1165">
      <x:c r="A1165" s="187" t="n">
        <x:v>43999</x:v>
      </x:c>
      <x:c r="B1165" s="197" t="n">
        <x:v>119.9105</x:v>
      </x:c>
    </x:row>
    <x:row r="1166">
      <x:c r="A1166" s="187" t="n">
        <x:v>44000</x:v>
      </x:c>
      <x:c r="B1166" s="197" t="n">
        <x:v>120.2173</x:v>
      </x:c>
    </x:row>
    <x:row r="1167">
      <x:c r="A1167" s="187" t="n">
        <x:v>44001</x:v>
      </x:c>
      <x:c r="B1167" s="197" t="n">
        <x:v>120.2186</x:v>
      </x:c>
    </x:row>
    <x:row r="1168">
      <x:c r="A1168" s="187" t="n">
        <x:v>44004</x:v>
      </x:c>
      <x:c r="B1168" s="197" t="n">
        <x:v>119.7532</x:v>
      </x:c>
    </x:row>
    <x:row r="1169">
      <x:c r="A1169" s="187" t="n">
        <x:v>44005</x:v>
      </x:c>
      <x:c r="B1169" s="197" t="n">
        <x:v>119.3285</x:v>
      </x:c>
    </x:row>
    <x:row r="1170">
      <x:c r="A1170" s="187" t="n">
        <x:v>44006</x:v>
      </x:c>
      <x:c r="B1170" s="197" t="n">
        <x:v>119.9744</x:v>
      </x:c>
    </x:row>
    <x:row r="1171">
      <x:c r="A1171" s="187" t="n">
        <x:v>44007</x:v>
      </x:c>
      <x:c r="B1171" s="197" t="n">
        <x:v>120.2997</x:v>
      </x:c>
    </x:row>
    <x:row r="1172">
      <x:c r="A1172" s="187" t="n">
        <x:v>44008</x:v>
      </x:c>
      <x:c r="B1172" s="197" t="n">
        <x:v>120.533</x:v>
      </x:c>
    </x:row>
    <x:row r="1173">
      <x:c r="A1173" s="187" t="n">
        <x:v>44011</x:v>
      </x:c>
      <x:c r="B1173" s="197" t="n">
        <x:v>120.6658</x:v>
      </x:c>
    </x:row>
    <x:row r="1174">
      <x:c r="A1174" s="187" t="n">
        <x:v>44012</x:v>
      </x:c>
      <x:c r="B1174" s="197" t="n">
        <x:v>120.4649</x:v>
      </x:c>
    </x:row>
    <x:row r="1175">
      <x:c r="A1175" s="187" t="n">
        <x:v>44013</x:v>
      </x:c>
      <x:c r="B1175" s="197" t="n">
        <x:v>120.0808</x:v>
      </x:c>
    </x:row>
    <x:row r="1176">
      <x:c r="A1176" s="187" t="n">
        <x:v>44014</x:v>
      </x:c>
      <x:c r="B1176" s="197" t="n">
        <x:v>119.8555</x:v>
      </x:c>
    </x:row>
    <x:row r="1177">
      <x:c r="A1177" s="187" t="n">
        <x:v>44015</x:v>
      </x:c>
      <x:c r="B1177" s="197"/>
    </x:row>
    <x:row r="1178">
      <x:c r="A1178" s="187" t="n">
        <x:v>44018</x:v>
      </x:c>
      <x:c r="B1178" s="197" t="n">
        <x:v>119.2852</x:v>
      </x:c>
    </x:row>
    <x:row r="1179">
      <x:c r="A1179" s="187" t="n">
        <x:v>44019</x:v>
      </x:c>
      <x:c r="B1179" s="197" t="n">
        <x:v>119.5717</x:v>
      </x:c>
    </x:row>
    <x:row r="1180">
      <x:c r="A1180" s="187" t="n">
        <x:v>44020</x:v>
      </x:c>
      <x:c r="B1180" s="197" t="n">
        <x:v>119.5525</x:v>
      </x:c>
    </x:row>
    <x:row r="1181">
      <x:c r="A1181" s="187" t="n">
        <x:v>44021</x:v>
      </x:c>
      <x:c r="B1181" s="197" t="n">
        <x:v>119.5129</x:v>
      </x:c>
    </x:row>
    <x:row r="1182">
      <x:c r="A1182" s="187" t="n">
        <x:v>44022</x:v>
      </x:c>
      <x:c r="B1182" s="197" t="n">
        <x:v>119.3509</x:v>
      </x:c>
    </x:row>
    <x:row r="1183">
      <x:c r="A1183" s="187" t="n">
        <x:v>44025</x:v>
      </x:c>
      <x:c r="B1183" s="197" t="n">
        <x:v>119.1891</x:v>
      </x:c>
    </x:row>
    <x:row r="1184">
      <x:c r="A1184" s="187" t="n">
        <x:v>44026</x:v>
      </x:c>
      <x:c r="B1184" s="197" t="n">
        <x:v>119.3901</x:v>
      </x:c>
    </x:row>
    <x:row r="1185">
      <x:c r="A1185" s="187" t="n">
        <x:v>44027</x:v>
      </x:c>
      <x:c r="B1185" s="197" t="n">
        <x:v>119.0331</x:v>
      </x:c>
    </x:row>
    <x:row r="1186">
      <x:c r="A1186" s="187" t="n">
        <x:v>44028</x:v>
      </x:c>
      <x:c r="B1186" s="197" t="n">
        <x:v>118.9275</x:v>
      </x:c>
    </x:row>
    <x:row r="1187">
      <x:c r="A1187" s="187" t="n">
        <x:v>44029</x:v>
      </x:c>
      <x:c r="B1187" s="197" t="n">
        <x:v>119.124</x:v>
      </x:c>
    </x:row>
    <x:row r="1188">
      <x:c r="A1188" s="187" t="n">
        <x:v>44032</x:v>
      </x:c>
      <x:c r="B1188" s="197" t="n">
        <x:v>119.0483</x:v>
      </x:c>
    </x:row>
    <x:row r="1189">
      <x:c r="A1189" s="187" t="n">
        <x:v>44033</x:v>
      </x:c>
      <x:c r="B1189" s="197" t="n">
        <x:v>118.4042</x:v>
      </x:c>
    </x:row>
    <x:row r="1190">
      <x:c r="A1190" s="187" t="n">
        <x:v>44034</x:v>
      </x:c>
      <x:c r="B1190" s="197" t="n">
        <x:v>118.1337</x:v>
      </x:c>
    </x:row>
    <x:row r="1191">
      <x:c r="A1191" s="187" t="n">
        <x:v>44035</x:v>
      </x:c>
      <x:c r="B1191" s="197" t="n">
        <x:v>118.0613</x:v>
      </x:c>
    </x:row>
    <x:row r="1192">
      <x:c r="A1192" s="187" t="n">
        <x:v>44036</x:v>
      </x:c>
      <x:c r="B1192" s="197" t="n">
        <x:v>118.1329</x:v>
      </x:c>
    </x:row>
    <x:row r="1193">
      <x:c r="A1193" s="187" t="n">
        <x:v>44039</x:v>
      </x:c>
      <x:c r="B1193" s="197" t="n">
        <x:v>117.3869</x:v>
      </x:c>
    </x:row>
    <x:row r="1194">
      <x:c r="A1194" s="187" t="n">
        <x:v>44040</x:v>
      </x:c>
      <x:c r="B1194" s="197" t="n">
        <x:v>117.3189</x:v>
      </x:c>
    </x:row>
    <x:row r="1195">
      <x:c r="A1195" s="187" t="n">
        <x:v>44041</x:v>
      </x:c>
      <x:c r="B1195" s="197" t="n">
        <x:v>117.2126</x:v>
      </x:c>
    </x:row>
    <x:row r="1196">
      <x:c r="A1196" s="187" t="n">
        <x:v>44042</x:v>
      </x:c>
      <x:c r="B1196" s="197" t="n">
        <x:v>117.4008</x:v>
      </x:c>
    </x:row>
    <x:row r="1197">
      <x:c r="A1197" s="187" t="n">
        <x:v>44043</x:v>
      </x:c>
      <x:c r="B1197" s="197" t="n">
        <x:v>117.2082</x:v>
      </x:c>
    </x:row>
    <x:row r="1198">
      <x:c r="A1198" s="187" t="n">
        <x:v>44046</x:v>
      </x:c>
      <x:c r="B1198" s="197" t="n">
        <x:v>117.8074</x:v>
      </x:c>
    </x:row>
    <x:row r="1199">
      <x:c r="A1199" s="187" t="n">
        <x:v>44047</x:v>
      </x:c>
      <x:c r="B1199" s="197" t="n">
        <x:v>117.7833</x:v>
      </x:c>
    </x:row>
    <x:row r="1200">
      <x:c r="A1200" s="187" t="n">
        <x:v>44048</x:v>
      </x:c>
      <x:c r="B1200" s="197" t="n">
        <x:v>116.8736</x:v>
      </x:c>
    </x:row>
    <x:row r="1201">
      <x:c r="A1201" s="187" t="n">
        <x:v>44049</x:v>
      </x:c>
      <x:c r="B1201" s="197" t="n">
        <x:v>117.0422</x:v>
      </x:c>
    </x:row>
    <x:row r="1202">
      <x:c r="A1202" s="187" t="n">
        <x:v>44050</x:v>
      </x:c>
      <x:c r="B1202" s="197" t="n">
        <x:v>117.6239</x:v>
      </x:c>
    </x:row>
    <x:row r="1203">
      <x:c r="A1203" s="187" t="n">
        <x:v>44053</x:v>
      </x:c>
      <x:c r="B1203" s="197" t="n">
        <x:v>117.5821</x:v>
      </x:c>
    </x:row>
    <x:row r="1204">
      <x:c r="A1204" s="187" t="n">
        <x:v>44054</x:v>
      </x:c>
      <x:c r="B1204" s="197" t="n">
        <x:v>117.3781</x:v>
      </x:c>
    </x:row>
    <x:row r="1205">
      <x:c r="A1205" s="187" t="n">
        <x:v>44055</x:v>
      </x:c>
      <x:c r="B1205" s="197" t="n">
        <x:v>117.2559</x:v>
      </x:c>
    </x:row>
    <x:row r="1206">
      <x:c r="A1206" s="187" t="n">
        <x:v>44056</x:v>
      </x:c>
      <x:c r="B1206" s="197" t="n">
        <x:v>117.1193</x:v>
      </x:c>
    </x:row>
    <x:row r="1207">
      <x:c r="A1207" s="187" t="n">
        <x:v>44057</x:v>
      </x:c>
      <x:c r="B1207" s="197" t="n">
        <x:v>116.9395</x:v>
      </x:c>
    </x:row>
    <x:row r="1208">
      <x:c r="A1208" s="187" t="n">
        <x:v>44060</x:v>
      </x:c>
      <x:c r="B1208" s="197" t="n">
        <x:v>116.749</x:v>
      </x:c>
    </x:row>
    <x:row r="1209">
      <x:c r="A1209" s="187" t="n">
        <x:v>44061</x:v>
      </x:c>
      <x:c r="B1209" s="197" t="n">
        <x:v>116.5593</x:v>
      </x:c>
    </x:row>
    <x:row r="1210">
      <x:c r="A1210" s="187" t="n">
        <x:v>44062</x:v>
      </x:c>
      <x:c r="B1210" s="197" t="n">
        <x:v>116.567</x:v>
      </x:c>
    </x:row>
    <x:row r="1211">
      <x:c r="A1211" s="187" t="n">
        <x:v>44063</x:v>
      </x:c>
      <x:c r="B1211" s="197" t="n">
        <x:v>116.8126</x:v>
      </x:c>
    </x:row>
    <x:row r="1212">
      <x:c r="A1212" s="187" t="n">
        <x:v>44064</x:v>
      </x:c>
      <x:c r="B1212" s="197" t="n">
        <x:v>117.0572</x:v>
      </x:c>
    </x:row>
    <x:row r="1213">
      <x:c r="A1213" s="187" t="n">
        <x:v>44067</x:v>
      </x:c>
      <x:c r="B1213" s="197" t="n">
        <x:v>116.912</x:v>
      </x:c>
    </x:row>
    <x:row r="1214">
      <x:c r="A1214" s="187" t="n">
        <x:v>44068</x:v>
      </x:c>
      <x:c r="B1214" s="197" t="n">
        <x:v>116.8206</x:v>
      </x:c>
    </x:row>
    <x:row r="1215">
      <x:c r="A1215" s="187" t="n">
        <x:v>44069</x:v>
      </x:c>
      <x:c r="B1215" s="197" t="n">
        <x:v>116.6243</x:v>
      </x:c>
    </x:row>
    <x:row r="1216">
      <x:c r="A1216" s="187" t="n">
        <x:v>44070</x:v>
      </x:c>
      <x:c r="B1216" s="197" t="n">
        <x:v>116.649</x:v>
      </x:c>
    </x:row>
    <x:row r="1217">
      <x:c r="A1217" s="187" t="n">
        <x:v>44071</x:v>
      </x:c>
      <x:c r="B1217" s="197" t="n">
        <x:v>115.9374</x:v>
      </x:c>
    </x:row>
    <x:row r="1218">
      <x:c r="A1218" s="187" t="n">
        <x:v>44074</x:v>
      </x:c>
      <x:c r="B1218" s="197" t="n">
        <x:v>115.7586</x:v>
      </x:c>
    </x:row>
    <x:row r="1219">
      <x:c r="A1219" s="187" t="n">
        <x:v>44075</x:v>
      </x:c>
      <x:c r="B1219" s="197" t="n">
        <x:v>115.5687</x:v>
      </x:c>
    </x:row>
    <x:row r="1220">
      <x:c r="A1220" s="187" t="n">
        <x:v>44076</x:v>
      </x:c>
      <x:c r="B1220" s="197" t="n">
        <x:v>116.0304</x:v>
      </x:c>
    </x:row>
    <x:row r="1221">
      <x:c r="A1221" s="187" t="n">
        <x:v>44077</x:v>
      </x:c>
      <x:c r="B1221" s="197" t="n">
        <x:v>116.0685</x:v>
      </x:c>
    </x:row>
    <x:row r="1222">
      <x:c r="A1222" s="187" t="n">
        <x:v>44078</x:v>
      </x:c>
      <x:c r="B1222" s="197" t="n">
        <x:v>116.0347</x:v>
      </x:c>
    </x:row>
    <x:row r="1223">
      <x:c r="A1223" s="187" t="n">
        <x:v>44081</x:v>
      </x:c>
      <x:c r="B1223" s="197"/>
    </x:row>
    <x:row r="1224">
      <x:c r="A1224" s="187" t="n">
        <x:v>44082</x:v>
      </x:c>
      <x:c r="B1224" s="197" t="n">
        <x:v>116.4618</x:v>
      </x:c>
    </x:row>
    <x:row r="1225">
      <x:c r="A1225" s="187" t="n">
        <x:v>44083</x:v>
      </x:c>
      <x:c r="B1225" s="197" t="n">
        <x:v>116.1291</x:v>
      </x:c>
    </x:row>
    <x:row r="1226">
      <x:c r="A1226" s="187" t="n">
        <x:v>44084</x:v>
      </x:c>
      <x:c r="B1226" s="197" t="n">
        <x:v>115.8806</x:v>
      </x:c>
    </x:row>
    <x:row r="1227">
      <x:c r="A1227" s="187" t="n">
        <x:v>44085</x:v>
      </x:c>
      <x:c r="B1227" s="197" t="n">
        <x:v>116.0866</x:v>
      </x:c>
    </x:row>
    <x:row r="1228">
      <x:c r="A1228" s="187" t="n">
        <x:v>44088</x:v>
      </x:c>
      <x:c r="B1228" s="197" t="n">
        <x:v>115.6428</x:v>
      </x:c>
    </x:row>
    <x:row r="1229">
      <x:c r="A1229" s="187" t="n">
        <x:v>44089</x:v>
      </x:c>
      <x:c r="B1229" s="197" t="n">
        <x:v>115.5908</x:v>
      </x:c>
    </x:row>
    <x:row r="1230">
      <x:c r="A1230" s="187" t="n">
        <x:v>44090</x:v>
      </x:c>
      <x:c r="B1230" s="197" t="n">
        <x:v>115.3537</x:v>
      </x:c>
    </x:row>
    <x:row r="1231">
      <x:c r="A1231" s="187" t="n">
        <x:v>44091</x:v>
      </x:c>
      <x:c r="B1231" s="197" t="n">
        <x:v>115.4392</x:v>
      </x:c>
    </x:row>
    <x:row r="1232">
      <x:c r="A1232" s="187" t="n">
        <x:v>44092</x:v>
      </x:c>
      <x:c r="B1232" s="197" t="n">
        <x:v>115.2395</x:v>
      </x:c>
    </x:row>
    <x:row r="1233">
      <x:c r="A1233" s="187" t="n">
        <x:v>44095</x:v>
      </x:c>
      <x:c r="B1233" s="197" t="n">
        <x:v>116.378</x:v>
      </x:c>
    </x:row>
    <x:row r="1234">
      <x:c r="A1234" s="187" t="n">
        <x:v>44096</x:v>
      </x:c>
      <x:c r="B1234" s="197" t="n">
        <x:v>116.5438</x:v>
      </x:c>
    </x:row>
    <x:row r="1235">
      <x:c r="A1235" s="187" t="n">
        <x:v>44097</x:v>
      </x:c>
      <x:c r="B1235" s="197" t="n">
        <x:v>117.2526</x:v>
      </x:c>
    </x:row>
    <x:row r="1236">
      <x:c r="A1236" s="187" t="n">
        <x:v>44098</x:v>
      </x:c>
      <x:c r="B1236" s="197" t="n">
        <x:v>117.5473</x:v>
      </x:c>
    </x:row>
    <x:row r="1237">
      <x:c r="A1237" s="187" t="n">
        <x:v>44099</x:v>
      </x:c>
      <x:c r="B1237" s="197" t="n">
        <x:v>117.8679</x:v>
      </x:c>
    </x:row>
    <x:row r="1238">
      <x:c r="A1238" s="187" t="n">
        <x:v>44102</x:v>
      </x:c>
      <x:c r="B1238" s="197" t="n">
        <x:v>117.6178</x:v>
      </x:c>
    </x:row>
    <x:row r="1239">
      <x:c r="A1239" s="187" t="n">
        <x:v>44103</x:v>
      </x:c>
      <x:c r="B1239" s="197" t="n">
        <x:v>117.526</x:v>
      </x:c>
    </x:row>
    <x:row r="1240">
      <x:c r="A1240" s="187" t="n">
        <x:v>44104</x:v>
      </x:c>
      <x:c r="B1240" s="197" t="n">
        <x:v>116.946</x:v>
      </x:c>
    </x:row>
    <x:row r="1241">
      <x:c r="A1241" s="187" t="n">
        <x:v>44105</x:v>
      </x:c>
      <x:c r="B1241" s="197" t="n">
        <x:v>116.7227</x:v>
      </x:c>
    </x:row>
    <x:row r="1242">
      <x:c r="A1242" s="187" t="n">
        <x:v>44106</x:v>
      </x:c>
      <x:c r="B1242" s="197" t="n">
        <x:v>116.7321</x:v>
      </x:c>
    </x:row>
    <x:row r="1243">
      <x:c r="A1243" s="187" t="n">
        <x:v>44109</x:v>
      </x:c>
      <x:c r="B1243" s="197" t="n">
        <x:v>116.1767</x:v>
      </x:c>
    </x:row>
    <x:row r="1244">
      <x:c r="A1244" s="187" t="n">
        <x:v>44110</x:v>
      </x:c>
      <x:c r="B1244" s="197" t="n">
        <x:v>116.2681</x:v>
      </x:c>
    </x:row>
    <x:row r="1245">
      <x:c r="A1245" s="187" t="n">
        <x:v>44111</x:v>
      </x:c>
      <x:c r="B1245" s="197" t="n">
        <x:v>116.3447</x:v>
      </x:c>
    </x:row>
    <x:row r="1246">
      <x:c r="A1246" s="187" t="n">
        <x:v>44112</x:v>
      </x:c>
      <x:c r="B1246" s="197" t="n">
        <x:v>116.1657</x:v>
      </x:c>
    </x:row>
    <x:row r="1247">
      <x:c r="A1247" s="187" t="n">
        <x:v>44113</x:v>
      </x:c>
      <x:c r="B1247" s="197" t="n">
        <x:v>115.2757</x:v>
      </x:c>
    </x:row>
    <x:row r="1248">
      <x:c r="A1248" s="187" t="n">
        <x:v>44116</x:v>
      </x:c>
      <x:c r="B1248" s="197"/>
    </x:row>
    <x:row r="1249">
      <x:c r="A1249" s="187" t="n">
        <x:v>44117</x:v>
      </x:c>
      <x:c r="B1249" s="197" t="n">
        <x:v>115.9107</x:v>
      </x:c>
    </x:row>
    <x:row r="1250">
      <x:c r="A1250" s="187" t="n">
        <x:v>44118</x:v>
      </x:c>
      <x:c r="B1250" s="197" t="n">
        <x:v>115.6872</x:v>
      </x:c>
    </x:row>
    <x:row r="1251">
      <x:c r="A1251" s="187" t="n">
        <x:v>44119</x:v>
      </x:c>
      <x:c r="B1251" s="197" t="n">
        <x:v>116.0964</x:v>
      </x:c>
    </x:row>
    <x:row r="1252">
      <x:c r="A1252" s="187" t="n">
        <x:v>44120</x:v>
      </x:c>
      <x:c r="B1252" s="197" t="n">
        <x:v>115.7679</x:v>
      </x:c>
    </x:row>
    <x:row r="1253">
      <x:c r="A1253" s="187" t="n">
        <x:v>44123</x:v>
      </x:c>
      <x:c r="B1253" s="197" t="n">
        <x:v>115.4031</x:v>
      </x:c>
    </x:row>
    <x:row r="1254">
      <x:c r="A1254" s="187" t="n">
        <x:v>44124</x:v>
      </x:c>
      <x:c r="B1254" s="197" t="n">
        <x:v>115.2485</x:v>
      </x:c>
    </x:row>
    <x:row r="1255">
      <x:c r="A1255" s="187" t="n">
        <x:v>44125</x:v>
      </x:c>
      <x:c r="B1255" s="197" t="n">
        <x:v>114.9108</x:v>
      </x:c>
    </x:row>
    <x:row r="1256">
      <x:c r="A1256" s="187" t="n">
        <x:v>44126</x:v>
      </x:c>
      <x:c r="B1256" s="197" t="n">
        <x:v>115.1158</x:v>
      </x:c>
    </x:row>
    <x:row r="1257">
      <x:c r="A1257" s="187" t="n">
        <x:v>44127</x:v>
      </x:c>
      <x:c r="B1257" s="197" t="n">
        <x:v>115.0126</x:v>
      </x:c>
    </x:row>
    <x:row r="1258">
      <x:c r="A1258" s="187" t="n">
        <x:v>44130</x:v>
      </x:c>
      <x:c r="B1258" s="197" t="n">
        <x:v>115.2797</x:v>
      </x:c>
    </x:row>
    <x:row r="1259">
      <x:c r="A1259" s="187" t="n">
        <x:v>44131</x:v>
      </x:c>
      <x:c r="B1259" s="197" t="n">
        <x:v>115.0131</x:v>
      </x:c>
    </x:row>
    <x:row r="1260">
      <x:c r="A1260" s="187" t="n">
        <x:v>44132</x:v>
      </x:c>
      <x:c r="B1260" s="197" t="n">
        <x:v>115.8023</x:v>
      </x:c>
    </x:row>
    <x:row r="1261">
      <x:c r="A1261" s="187" t="n">
        <x:v>44133</x:v>
      </x:c>
      <x:c r="B1261" s="197" t="n">
        <x:v>116.3069</x:v>
      </x:c>
    </x:row>
    <x:row r="1262">
      <x:c r="A1262" s="187" t="n">
        <x:v>44134</x:v>
      </x:c>
      <x:c r="B1262" s="197" t="n">
        <x:v>116.1354</x:v>
      </x:c>
    </x:row>
    <x:row r="1263">
      <x:c r="A1263" s="187" t="n">
        <x:v>44137</x:v>
      </x:c>
      <x:c r="B1263" s="197" t="n">
        <x:v>116.2361</x:v>
      </x:c>
    </x:row>
    <x:row r="1264">
      <x:c r="A1264" s="187" t="n">
        <x:v>44138</x:v>
      </x:c>
      <x:c r="B1264" s="197" t="n">
        <x:v>115.4802</x:v>
      </x:c>
    </x:row>
    <x:row r="1265">
      <x:c r="A1265" s="187" t="n">
        <x:v>44139</x:v>
      </x:c>
      <x:c r="B1265" s="197" t="n">
        <x:v>115.1677</x:v>
      </x:c>
    </x:row>
    <x:row r="1266">
      <x:c r="A1266" s="187" t="n">
        <x:v>44140</x:v>
      </x:c>
      <x:c r="B1266" s="197" t="n">
        <x:v>114.4556</x:v>
      </x:c>
    </x:row>
    <x:row r="1267">
      <x:c r="A1267" s="187" t="n">
        <x:v>44141</x:v>
      </x:c>
      <x:c r="B1267" s="197" t="n">
        <x:v>113.9919</x:v>
      </x:c>
    </x:row>
    <x:row r="1268">
      <x:c r="A1268" s="187" t="n">
        <x:v>44144</x:v>
      </x:c>
      <x:c r="B1268" s="197" t="n">
        <x:v>114.0895</x:v>
      </x:c>
    </x:row>
    <x:row r="1269">
      <x:c r="A1269" s="187" t="n">
        <x:v>44145</x:v>
      </x:c>
      <x:c r="B1269" s="197" t="n">
        <x:v>114.0757</x:v>
      </x:c>
    </x:row>
    <x:row r="1270">
      <x:c r="A1270" s="187" t="n">
        <x:v>44146</x:v>
      </x:c>
      <x:c r="B1270" s="197"/>
    </x:row>
    <x:row r="1271">
      <x:c r="A1271" s="187" t="n">
        <x:v>44147</x:v>
      </x:c>
      <x:c r="B1271" s="197" t="n">
        <x:v>114.2843</x:v>
      </x:c>
    </x:row>
    <x:row r="1272">
      <x:c r="A1272" s="187" t="n">
        <x:v>44148</x:v>
      </x:c>
      <x:c r="B1272" s="197" t="n">
        <x:v>114.2397</x:v>
      </x:c>
    </x:row>
    <x:row r="1273">
      <x:c r="A1273" s="187" t="n">
        <x:v>44151</x:v>
      </x:c>
      <x:c r="B1273" s="197" t="n">
        <x:v>113.8312</x:v>
      </x:c>
    </x:row>
    <x:row r="1274">
      <x:c r="A1274" s="187" t="n">
        <x:v>44152</x:v>
      </x:c>
      <x:c r="B1274" s="197" t="n">
        <x:v>113.682</x:v>
      </x:c>
    </x:row>
    <x:row r="1275">
      <x:c r="A1275" s="187" t="n">
        <x:v>44153</x:v>
      </x:c>
      <x:c r="B1275" s="197" t="n">
        <x:v>113.46</x:v>
      </x:c>
    </x:row>
    <x:row r="1276">
      <x:c r="A1276" s="187" t="n">
        <x:v>44154</x:v>
      </x:c>
      <x:c r="B1276" s="197" t="n">
        <x:v>113.694</x:v>
      </x:c>
    </x:row>
    <x:row r="1277">
      <x:c r="A1277" s="187" t="n">
        <x:v>44155</x:v>
      </x:c>
      <x:c r="B1277" s="197" t="n">
        <x:v>113.489</x:v>
      </x:c>
    </x:row>
    <x:row r="1278">
      <x:c r="A1278" s="187" t="n">
        <x:v>44158</x:v>
      </x:c>
      <x:c r="B1278" s="197" t="n">
        <x:v>113.7548</x:v>
      </x:c>
    </x:row>
    <x:row r="1279">
      <x:c r="A1279" s="187" t="n">
        <x:v>44159</x:v>
      </x:c>
      <x:c r="B1279" s="197" t="n">
        <x:v>113.4316</x:v>
      </x:c>
    </x:row>
    <x:row r="1280">
      <x:c r="A1280" s="187" t="n">
        <x:v>44160</x:v>
      </x:c>
      <x:c r="B1280" s="197" t="n">
        <x:v>113.1823</x:v>
      </x:c>
    </x:row>
    <x:row r="1281">
      <x:c r="A1281" s="187" t="n">
        <x:v>44161</x:v>
      </x:c>
      <x:c r="B1281" s="197"/>
    </x:row>
    <x:row r="1282">
      <x:c r="A1282" s="187" t="n">
        <x:v>44162</x:v>
      </x:c>
      <x:c r="B1282" s="197"/>
    </x:row>
    <x:row r="1283">
      <x:c r="A1283" s="187" t="n">
        <x:v>44165</x:v>
      </x:c>
      <x:c r="B1283" s="197" t="n">
        <x:v>113.2256</x:v>
      </x:c>
    </x:row>
    <x:row r="1284">
      <x:c r="A1284" s="187" t="n">
        <x:v>44166</x:v>
      </x:c>
      <x:c r="B1284" s="197" t="n">
        <x:v>112.8063</x:v>
      </x:c>
    </x:row>
    <x:row r="1285">
      <x:c r="A1285" s="187" t="n">
        <x:v>44167</x:v>
      </x:c>
      <x:c r="B1285" s="197" t="n">
        <x:v>112.6115</x:v>
      </x:c>
    </x:row>
    <x:row r="1286">
      <x:c r="A1286" s="187" t="n">
        <x:v>44168</x:v>
      </x:c>
      <x:c r="B1286" s="197" t="n">
        <x:v>112.0236</x:v>
      </x:c>
    </x:row>
    <x:row r="1287">
      <x:c r="A1287" s="187" t="n">
        <x:v>44169</x:v>
      </x:c>
      <x:c r="B1287" s="197" t="n">
        <x:v>111.7778</x:v>
      </x:c>
    </x:row>
    <x:row r="1288">
      <x:c r="A1288" s="187" t="n">
        <x:v>44172</x:v>
      </x:c>
      <x:c r="B1288" s="197" t="n">
        <x:v>111.8385</x:v>
      </x:c>
    </x:row>
    <x:row r="1289">
      <x:c r="A1289" s="187" t="n">
        <x:v>44173</x:v>
      </x:c>
      <x:c r="B1289" s="197" t="n">
        <x:v>111.8639</x:v>
      </x:c>
    </x:row>
    <x:row r="1290">
      <x:c r="A1290" s="187" t="n">
        <x:v>44174</x:v>
      </x:c>
      <x:c r="B1290" s="197" t="n">
        <x:v>112.0305</x:v>
      </x:c>
    </x:row>
    <x:row r="1291">
      <x:c r="A1291" s="187" t="n">
        <x:v>44175</x:v>
      </x:c>
      <x:c r="B1291" s="197" t="n">
        <x:v>111.9788</x:v>
      </x:c>
    </x:row>
    <x:row r="1292">
      <x:c r="A1292" s="187" t="n">
        <x:v>44176</x:v>
      </x:c>
      <x:c r="B1292" s="197" t="n">
        <x:v>112.1417</x:v>
      </x:c>
    </x:row>
    <x:row r="1293">
      <x:c r="A1293" s="187" t="n">
        <x:v>44179</x:v>
      </x:c>
      <x:c r="B1293" s="197" t="n">
        <x:v>112.1708</x:v>
      </x:c>
    </x:row>
    <x:row r="1294">
      <x:c r="A1294" s="187" t="n">
        <x:v>44180</x:v>
      </x:c>
      <x:c r="B1294" s="197" t="n">
        <x:v>111.8601</x:v>
      </x:c>
    </x:row>
    <x:row r="1295">
      <x:c r="A1295" s="187" t="n">
        <x:v>44181</x:v>
      </x:c>
      <x:c r="B1295" s="197" t="n">
        <x:v>111.7157</x:v>
      </x:c>
    </x:row>
    <x:row r="1296">
      <x:c r="A1296" s="187" t="n">
        <x:v>44182</x:v>
      </x:c>
      <x:c r="B1296" s="197" t="n">
        <x:v>111.2226</x:v>
      </x:c>
    </x:row>
    <x:row r="1297">
      <x:c r="A1297" s="187" t="n">
        <x:v>44183</x:v>
      </x:c>
      <x:c r="B1297" s="197" t="n">
        <x:v>111.6071</x:v>
      </x:c>
    </x:row>
    <x:row r="1298">
      <x:c r="A1298" s="187" t="n">
        <x:v>44186</x:v>
      </x:c>
      <x:c r="B1298" s="197" t="n">
        <x:v>111.9415</x:v>
      </x:c>
    </x:row>
    <x:row r="1299">
      <x:c r="A1299" s="187" t="n">
        <x:v>44187</x:v>
      </x:c>
      <x:c r="B1299" s="197" t="n">
        <x:v>112.1947</x:v>
      </x:c>
    </x:row>
    <x:row r="1300">
      <x:c r="A1300" s="187" t="n">
        <x:v>44188</x:v>
      </x:c>
      <x:c r="B1300" s="197" t="n">
        <x:v>111.9807</x:v>
      </x:c>
    </x:row>
    <x:row r="1301">
      <x:c r="A1301" s="187" t="n">
        <x:v>44189</x:v>
      </x:c>
      <x:c r="B1301" s="197"/>
    </x:row>
    <x:row r="1302">
      <x:c r="A1302" s="187" t="n">
        <x:v>44190</x:v>
      </x:c>
      <x:c r="B1302" s="197"/>
    </x:row>
    <x:row r="1303">
      <x:c r="A1303" s="187" t="n">
        <x:v>44193</x:v>
      </x:c>
      <x:c r="B1303" s="197" t="n">
        <x:v>111.9752</x:v>
      </x:c>
    </x:row>
    <x:row r="1304">
      <x:c r="A1304" s="187" t="n">
        <x:v>44194</x:v>
      </x:c>
      <x:c r="B1304" s="197" t="n">
        <x:v>111.5172</x:v>
      </x:c>
    </x:row>
    <x:row r="1305">
      <x:c r="A1305" s="187" t="n">
        <x:v>44195</x:v>
      </x:c>
      <x:c r="B1305" s="197" t="n">
        <x:v>111.3084</x:v>
      </x:c>
    </x:row>
    <x:row r="1306">
      <x:c r="A1306" s="187" t="n">
        <x:v>44196</x:v>
      </x:c>
      <x:c r="B1306" s="197" t="n">
        <x:v>111.3169</x:v>
      </x:c>
    </x:row>
    <x:row r="1307">
      <x:c r="A1307" s="187" t="n">
        <x:v>44197</x:v>
      </x:c>
      <x:c r="B1307" s="197"/>
    </x:row>
    <x:row r="1308">
      <x:c r="A1308" s="187" t="n">
        <x:v>44200</x:v>
      </x:c>
      <x:c r="B1308" s="197" t="n">
        <x:v>111.2075</x:v>
      </x:c>
    </x:row>
    <x:row r="1309">
      <x:c r="A1309" s="187" t="n">
        <x:v>44201</x:v>
      </x:c>
      <x:c r="B1309" s="197" t="n">
        <x:v>110.9574</x:v>
      </x:c>
    </x:row>
    <x:row r="1310">
      <x:c r="A1310" s="187" t="n">
        <x:v>44202</x:v>
      </x:c>
      <x:c r="B1310" s="197" t="n">
        <x:v>110.8502</x:v>
      </x:c>
    </x:row>
    <x:row r="1311">
      <x:c r="A1311" s="187" t="n">
        <x:v>44203</x:v>
      </x:c>
      <x:c r="B1311" s="197" t="n">
        <x:v>111.3042</x:v>
      </x:c>
    </x:row>
    <x:row r="1312">
      <x:c r="A1312" s="187" t="n">
        <x:v>44204</x:v>
      </x:c>
      <x:c r="B1312" s="197" t="n">
        <x:v>111.2847</x:v>
      </x:c>
    </x:row>
    <x:row r="1313">
      <x:c r="A1313" s="187" t="n">
        <x:v>44207</x:v>
      </x:c>
      <x:c r="B1313" s="197" t="n">
        <x:v>111.8257</x:v>
      </x:c>
    </x:row>
    <x:row r="1314">
      <x:c r="A1314" s="187" t="n">
        <x:v>44208</x:v>
      </x:c>
      <x:c r="B1314" s="197" t="n">
        <x:v>111.5501</x:v>
      </x:c>
    </x:row>
    <x:row r="1315">
      <x:c r="A1315" s="187" t="n">
        <x:v>44209</x:v>
      </x:c>
      <x:c r="B1315" s="197" t="n">
        <x:v>111.3622</x:v>
      </x:c>
    </x:row>
    <x:row r="1316">
      <x:c r="A1316" s="187" t="n">
        <x:v>44210</x:v>
      </x:c>
      <x:c r="B1316" s="197" t="n">
        <x:v>111.1567</x:v>
      </x:c>
    </x:row>
    <x:row r="1317">
      <x:c r="A1317" s="187" t="n">
        <x:v>44211</x:v>
      </x:c>
      <x:c r="B1317" s="197" t="n">
        <x:v>111.5106</x:v>
      </x:c>
    </x:row>
    <x:row r="1318">
      <x:c r="A1318" s="187" t="n">
        <x:v>44214</x:v>
      </x:c>
      <x:c r="B1318" s="197"/>
    </x:row>
    <x:row r="1319">
      <x:c r="A1319" s="187" t="n">
        <x:v>44215</x:v>
      </x:c>
      <x:c r="B1319" s="197" t="n">
        <x:v>111.4527</x:v>
      </x:c>
    </x:row>
    <x:row r="1320">
      <x:c r="A1320" s="187" t="n">
        <x:v>44216</x:v>
      </x:c>
      <x:c r="B1320" s="197"/>
    </x:row>
    <x:row r="1321">
      <x:c r="A1321" s="187" t="n">
        <x:v>44217</x:v>
      </x:c>
      <x:c r="B1321" s="197" t="n">
        <x:v>111.1973</x:v>
      </x:c>
    </x:row>
    <x:row r="1322">
      <x:c r="A1322" s="187" t="n">
        <x:v>44218</x:v>
      </x:c>
      <x:c r="B1322" s="197" t="n">
        <x:v>111.5516</x:v>
      </x:c>
    </x:row>
    <x:row r="1323">
      <x:c r="A1323" s="187" t="n">
        <x:v>44221</x:v>
      </x:c>
      <x:c r="B1323" s="197" t="n">
        <x:v>111.8676</x:v>
      </x:c>
    </x:row>
    <x:row r="1324">
      <x:c r="A1324" s="187" t="n">
        <x:v>44222</x:v>
      </x:c>
      <x:c r="B1324" s="197" t="n">
        <x:v>111.6572</x:v>
      </x:c>
    </x:row>
    <x:row r="1325">
      <x:c r="A1325" s="187" t="n">
        <x:v>44223</x:v>
      </x:c>
      <x:c r="B1325" s="197" t="n">
        <x:v>112.0782</x:v>
      </x:c>
    </x:row>
    <x:row r="1326">
      <x:c r="A1326" s="187" t="n">
        <x:v>44224</x:v>
      </x:c>
      <x:c r="B1326" s="197" t="n">
        <x:v>112.0059</x:v>
      </x:c>
    </x:row>
    <x:row r="1327">
      <x:c r="A1327" s="187" t="n">
        <x:v>44225</x:v>
      </x:c>
      <x:c r="B1327" s="197" t="n">
        <x:v>111.9511</x:v>
      </x:c>
    </x:row>
    <x:row r="1328">
      <x:c r="A1328" s="187" t="n">
        <x:v>44228</x:v>
      </x:c>
      <x:c r="B1328" s="197" t="n">
        <x:v>112.4189</x:v>
      </x:c>
    </x:row>
    <x:row r="1329">
      <x:c r="A1329" s="187" t="n">
        <x:v>44229</x:v>
      </x:c>
      <x:c r="B1329" s="197" t="n">
        <x:v>112.2862</x:v>
      </x:c>
    </x:row>
    <x:row r="1330">
      <x:c r="A1330" s="187" t="n">
        <x:v>44230</x:v>
      </x:c>
      <x:c r="B1330" s="197" t="n">
        <x:v>112.2567</x:v>
      </x:c>
    </x:row>
    <x:row r="1331">
      <x:c r="A1331" s="187" t="n">
        <x:v>44231</x:v>
      </x:c>
      <x:c r="B1331" s="197" t="n">
        <x:v>112.7469</x:v>
      </x:c>
    </x:row>
    <x:row r="1332">
      <x:c r="A1332" s="187" t="n">
        <x:v>44232</x:v>
      </x:c>
      <x:c r="B1332" s="197" t="n">
        <x:v>112.2379</x:v>
      </x:c>
    </x:row>
    <x:row r="1333">
      <x:c r="A1333" s="187" t="n">
        <x:v>44235</x:v>
      </x:c>
      <x:c r="B1333" s="197" t="n">
        <x:v>112.0428</x:v>
      </x:c>
    </x:row>
    <x:row r="1334">
      <x:c r="A1334" s="187" t="n">
        <x:v>44236</x:v>
      </x:c>
      <x:c r="B1334" s="197" t="n">
        <x:v>111.7675</x:v>
      </x:c>
    </x:row>
    <x:row r="1335">
      <x:c r="A1335" s="187" t="n">
        <x:v>44237</x:v>
      </x:c>
      <x:c r="B1335" s="197" t="n">
        <x:v>111.5834</x:v>
      </x:c>
    </x:row>
    <x:row r="1336">
      <x:c r="A1336" s="187" t="n">
        <x:v>44238</x:v>
      </x:c>
      <x:c r="B1336" s="197" t="n">
        <x:v>111.5272</x:v>
      </x:c>
    </x:row>
    <x:row r="1337">
      <x:c r="A1337" s="187" t="n">
        <x:v>44239</x:v>
      </x:c>
      <x:c r="B1337" s="197" t="n">
        <x:v>111.4889</x:v>
      </x:c>
    </x:row>
    <x:row r="1338">
      <x:c r="A1338" s="187" t="n">
        <x:v>44242</x:v>
      </x:c>
      <x:c r="B1338" s="197"/>
    </x:row>
    <x:row r="1339">
      <x:c r="A1339" s="187" t="n">
        <x:v>44243</x:v>
      </x:c>
      <x:c r="B1339" s="197" t="n">
        <x:v>111.7879</x:v>
      </x:c>
    </x:row>
    <x:row r="1340">
      <x:c r="A1340" s="187" t="n">
        <x:v>44244</x:v>
      </x:c>
      <x:c r="B1340" s="197" t="n">
        <x:v>112.0204</x:v>
      </x:c>
    </x:row>
    <x:row r="1341">
      <x:c r="A1341" s="187" t="n">
        <x:v>44245</x:v>
      </x:c>
      <x:c r="B1341" s="197" t="n">
        <x:v>112.1603</x:v>
      </x:c>
    </x:row>
    <x:row r="1342">
      <x:c r="A1342" s="187" t="n">
        <x:v>44246</x:v>
      </x:c>
      <x:c r="B1342" s="197" t="n">
        <x:v>111.7058</x:v>
      </x:c>
    </x:row>
    <x:row r="1343">
      <x:c r="A1343" s="187" t="n">
        <x:v>44249</x:v>
      </x:c>
      <x:c r="B1343" s="197" t="n">
        <x:v>111.918</x:v>
      </x:c>
    </x:row>
    <x:row r="1344">
      <x:c r="A1344" s="187" t="n">
        <x:v>44250</x:v>
      </x:c>
      <x:c r="B1344" s="197" t="n">
        <x:v>111.8981</x:v>
      </x:c>
    </x:row>
    <x:row r="1345">
      <x:c r="A1345" s="187" t="n">
        <x:v>44251</x:v>
      </x:c>
      <x:c r="B1345" s="197" t="n">
        <x:v>111.7212</x:v>
      </x:c>
    </x:row>
    <x:row r="1346">
      <x:c r="A1346" s="187" t="n">
        <x:v>44252</x:v>
      </x:c>
      <x:c r="B1346" s="197" t="n">
        <x:v>111.9253</x:v>
      </x:c>
    </x:row>
    <x:row r="1347">
      <x:c r="A1347" s="187" t="n">
        <x:v>44253</x:v>
      </x:c>
      <x:c r="B1347" s="197" t="n">
        <x:v>112.8306</x:v>
      </x:c>
    </x:row>
    <x:row r="1348">
      <x:c r="A1348" s="187" t="n">
        <x:v>44256</x:v>
      </x:c>
      <x:c r="B1348" s="197" t="n">
        <x:v>112.5263</x:v>
      </x:c>
    </x:row>
    <x:row r="1349">
      <x:c r="A1349" s="187" t="n">
        <x:v>44257</x:v>
      </x:c>
      <x:c r="B1349" s="197" t="n">
        <x:v>112.5342</x:v>
      </x:c>
    </x:row>
    <x:row r="1350">
      <x:c r="A1350" s="187" t="n">
        <x:v>44258</x:v>
      </x:c>
      <x:c r="B1350" s="197" t="n">
        <x:v>112.7617</x:v>
      </x:c>
    </x:row>
    <x:row r="1351">
      <x:c r="A1351" s="187" t="n">
        <x:v>44259</x:v>
      </x:c>
      <x:c r="B1351" s="197" t="n">
        <x:v>112.7037</x:v>
      </x:c>
    </x:row>
    <x:row r="1352">
      <x:c r="A1352" s="187" t="n">
        <x:v>44260</x:v>
      </x:c>
      <x:c r="B1352" s="197" t="n">
        <x:v>113.7487</x:v>
      </x:c>
    </x:row>
    <x:row r="1353">
      <x:c r="A1353" s="187" t="n">
        <x:v>44263</x:v>
      </x:c>
      <x:c r="B1353" s="197" t="n">
        <x:v>114.2678</x:v>
      </x:c>
    </x:row>
    <x:row r="1354">
      <x:c r="A1354" s="187" t="n">
        <x:v>44264</x:v>
      </x:c>
      <x:c r="B1354" s="197" t="n">
        <x:v>113.928</x:v>
      </x:c>
    </x:row>
    <x:row r="1355">
      <x:c r="A1355" s="187" t="n">
        <x:v>44265</x:v>
      </x:c>
      <x:c r="B1355" s="197" t="n">
        <x:v>113.5881</x:v>
      </x:c>
    </x:row>
    <x:row r="1356">
      <x:c r="A1356" s="187" t="n">
        <x:v>44266</x:v>
      </x:c>
      <x:c r="B1356" s="197" t="n">
        <x:v>112.9214</x:v>
      </x:c>
    </x:row>
    <x:row r="1357">
      <x:c r="A1357" s="187" t="n">
        <x:v>44267</x:v>
      </x:c>
      <x:c r="B1357" s="197" t="n">
        <x:v>113.0269</x:v>
      </x:c>
    </x:row>
    <x:row r="1358">
      <x:c r="A1358" s="187" t="n">
        <x:v>44270</x:v>
      </x:c>
      <x:c r="B1358" s="197" t="n">
        <x:v>113.1928</x:v>
      </x:c>
    </x:row>
    <x:row r="1359">
      <x:c r="A1359" s="187" t="n">
        <x:v>44271</x:v>
      </x:c>
      <x:c r="B1359" s="197" t="n">
        <x:v>112.9839</x:v>
      </x:c>
    </x:row>
    <x:row r="1360">
      <x:c r="A1360" s="187" t="n">
        <x:v>44272</x:v>
      </x:c>
      <x:c r="B1360" s="197" t="n">
        <x:v>113.1589</x:v>
      </x:c>
    </x:row>
    <x:row r="1361">
      <x:c r="A1361" s="187" t="n">
        <x:v>44273</x:v>
      </x:c>
      <x:c r="B1361" s="197" t="n">
        <x:v>112.7744</x:v>
      </x:c>
    </x:row>
    <x:row r="1362">
      <x:c r="A1362" s="187" t="n">
        <x:v>44274</x:v>
      </x:c>
      <x:c r="B1362" s="197" t="n">
        <x:v>112.9756</x:v>
      </x:c>
    </x:row>
    <x:row r="1363">
      <x:c r="A1363" s="187" t="n">
        <x:v>44277</x:v>
      </x:c>
      <x:c r="B1363" s="197" t="n">
        <x:v>113.0023</x:v>
      </x:c>
    </x:row>
    <x:row r="1364">
      <x:c r="A1364" s="187" t="n">
        <x:v>44278</x:v>
      </x:c>
      <x:c r="B1364" s="197" t="n">
        <x:v>113.2916</x:v>
      </x:c>
    </x:row>
    <x:row r="1365">
      <x:c r="A1365" s="187" t="n">
        <x:v>44279</x:v>
      </x:c>
      <x:c r="B1365" s="197" t="n">
        <x:v>113.6565</x:v>
      </x:c>
    </x:row>
    <x:row r="1366">
      <x:c r="A1366" s="187" t="n">
        <x:v>44280</x:v>
      </x:c>
      <x:c r="B1366" s="197" t="n">
        <x:v>114.0016</x:v>
      </x:c>
    </x:row>
    <x:row r="1367">
      <x:c r="A1367" s="187" t="n">
        <x:v>44281</x:v>
      </x:c>
      <x:c r="B1367" s="197" t="n">
        <x:v>113.7406</x:v>
      </x:c>
    </x:row>
    <x:row r="1368">
      <x:c r="A1368" s="187" t="n">
        <x:v>44284</x:v>
      </x:c>
      <x:c r="B1368" s="197" t="n">
        <x:v>113.9314</x:v>
      </x:c>
    </x:row>
    <x:row r="1369">
      <x:c r="A1369" s="187" t="n">
        <x:v>44285</x:v>
      </x:c>
      <x:c r="B1369" s="197" t="n">
        <x:v>114.203</x:v>
      </x:c>
    </x:row>
    <x:row r="1370">
      <x:c r="A1370" s="187" t="n">
        <x:v>44286</x:v>
      </x:c>
      <x:c r="B1370" s="197" t="n">
        <x:v>113.8234</x:v>
      </x:c>
    </x:row>
    <x:row r="1371">
      <x:c r="A1371" s="187" t="n">
        <x:v>44287</x:v>
      </x:c>
      <x:c r="B1371" s="197" t="n">
        <x:v>113.7389</x:v>
      </x:c>
    </x:row>
    <x:row r="1372">
      <x:c r="A1372" s="187" t="n">
        <x:v>44288</x:v>
      </x:c>
      <x:c r="B1372" s="197" t="n">
        <x:v>113.7315</x:v>
      </x:c>
    </x:row>
    <x:row r="1373">
      <x:c r="A1373" s="187" t="n">
        <x:v>44291</x:v>
      </x:c>
      <x:c r="B1373" s="197" t="n">
        <x:v>113.394</x:v>
      </x:c>
    </x:row>
    <x:row r="1374">
      <x:c r="A1374" s="187" t="n">
        <x:v>44292</x:v>
      </x:c>
      <x:c r="B1374" s="197" t="n">
        <x:v>113.1464</x:v>
      </x:c>
    </x:row>
    <x:row r="1375">
      <x:c r="A1375" s="187" t="n">
        <x:v>44293</x:v>
      </x:c>
      <x:c r="B1375" s="197" t="n">
        <x:v>113.2436</x:v>
      </x:c>
    </x:row>
    <x:row r="1376">
      <x:c r="A1376" s="187" t="n">
        <x:v>44294</x:v>
      </x:c>
      <x:c r="B1376" s="197" t="n">
        <x:v>113.0917</x:v>
      </x:c>
    </x:row>
    <x:row r="1377">
      <x:c r="A1377" s="187" t="n">
        <x:v>44295</x:v>
      </x:c>
      <x:c r="B1377" s="197" t="n">
        <x:v>113.2028</x:v>
      </x:c>
    </x:row>
    <x:row r="1378">
      <x:c r="A1378" s="187" t="n">
        <x:v>44298</x:v>
      </x:c>
      <x:c r="B1378" s="197" t="n">
        <x:v>113.1815</x:v>
      </x:c>
    </x:row>
    <x:row r="1379">
      <x:c r="A1379" s="187" t="n">
        <x:v>44299</x:v>
      </x:c>
      <x:c r="B1379" s="197" t="n">
        <x:v>113.0391</x:v>
      </x:c>
    </x:row>
    <x:row r="1380">
      <x:c r="A1380" s="187" t="n">
        <x:v>44300</x:v>
      </x:c>
      <x:c r="B1380" s="197" t="n">
        <x:v>112.7849</x:v>
      </x:c>
    </x:row>
    <x:row r="1381">
      <x:c r="A1381" s="187" t="n">
        <x:v>44301</x:v>
      </x:c>
      <x:c r="B1381" s="197" t="n">
        <x:v>112.6181</x:v>
      </x:c>
    </x:row>
    <x:row r="1382">
      <x:c r="A1382" s="187" t="n">
        <x:v>44302</x:v>
      </x:c>
      <x:c r="B1382" s="197" t="n">
        <x:v>112.4814</x:v>
      </x:c>
    </x:row>
    <x:row r="1383">
      <x:c r="A1383" s="187" t="n">
        <x:v>44305</x:v>
      </x:c>
      <x:c r="B1383" s="197" t="n">
        <x:v>112.1835</x:v>
      </x:c>
    </x:row>
    <x:row r="1384">
      <x:c r="A1384" s="187" t="n">
        <x:v>44306</x:v>
      </x:c>
      <x:c r="B1384" s="197" t="n">
        <x:v>112.2354</x:v>
      </x:c>
    </x:row>
    <x:row r="1385">
      <x:c r="A1385" s="187" t="n">
        <x:v>44307</x:v>
      </x:c>
      <x:c r="B1385" s="197" t="n">
        <x:v>112.1771</x:v>
      </x:c>
    </x:row>
    <x:row r="1386">
      <x:c r="A1386" s="187" t="n">
        <x:v>44308</x:v>
      </x:c>
      <x:c r="B1386" s="197" t="n">
        <x:v>112.2297</x:v>
      </x:c>
    </x:row>
    <x:row r="1387">
      <x:c r="A1387" s="187" t="n">
        <x:v>44309</x:v>
      </x:c>
      <x:c r="B1387" s="197" t="n">
        <x:v>112.0889</x:v>
      </x:c>
    </x:row>
    <x:row r="1388">
      <x:c r="A1388" s="187" t="n">
        <x:v>44312</x:v>
      </x:c>
      <x:c r="B1388" s="197" t="n">
        <x:v>111.8109</x:v>
      </x:c>
    </x:row>
    <x:row r="1389">
      <x:c r="A1389" s="187" t="n">
        <x:v>44313</x:v>
      </x:c>
      <x:c r="B1389" s="197" t="n">
        <x:v>111.9097</x:v>
      </x:c>
    </x:row>
    <x:row r="1390">
      <x:c r="A1390" s="187" t="n">
        <x:v>44314</x:v>
      </x:c>
      <x:c r="B1390" s="197" t="n">
        <x:v>111.7909</x:v>
      </x:c>
    </x:row>
    <x:row r="1391">
      <x:c r="A1391" s="187" t="n">
        <x:v>44315</x:v>
      </x:c>
      <x:c r="B1391" s="197" t="n">
        <x:v>111.7464</x:v>
      </x:c>
    </x:row>
    <x:row r="1392">
      <x:c r="A1392" s="187" t="n">
        <x:v>44316</x:v>
      </x:c>
      <x:c r="B1392" s="197" t="n">
        <x:v>112.0839</x:v>
      </x:c>
    </x:row>
    <x:row r="1393">
      <x:c r="A1393" s="187" t="n">
        <x:v>44319</x:v>
      </x:c>
      <x:c r="B1393" s="197" t="n">
        <x:v>112.005</x:v>
      </x:c>
    </x:row>
    <x:row r="1394">
      <x:c r="A1394" s="187" t="n">
        <x:v>44320</x:v>
      </x:c>
      <x:c r="B1394" s="197" t="n">
        <x:v>112.2896</x:v>
      </x:c>
    </x:row>
    <x:row r="1395">
      <x:c r="A1395" s="187" t="n">
        <x:v>44321</x:v>
      </x:c>
      <x:c r="B1395" s="197" t="n">
        <x:v>112.1514</x:v>
      </x:c>
    </x:row>
    <x:row r="1396">
      <x:c r="A1396" s="187" t="n">
        <x:v>44322</x:v>
      </x:c>
      <x:c r="B1396" s="197" t="n">
        <x:v>111.8401</x:v>
      </x:c>
    </x:row>
    <x:row r="1397">
      <x:c r="A1397" s="187" t="n">
        <x:v>44323</x:v>
      </x:c>
      <x:c r="B1397" s="197" t="n">
        <x:v>111.0249</x:v>
      </x:c>
    </x:row>
    <x:row r="1398">
      <x:c r="A1398" s="187" t="n">
        <x:v>44326</x:v>
      </x:c>
      <x:c r="B1398" s="197" t="n">
        <x:v>110.7905</x:v>
      </x:c>
    </x:row>
    <x:row r="1399">
      <x:c r="A1399" s="187" t="n">
        <x:v>44327</x:v>
      </x:c>
      <x:c r="B1399" s="197" t="n">
        <x:v>110.8921</x:v>
      </x:c>
    </x:row>
    <x:row r="1400">
      <x:c r="A1400" s="187" t="n">
        <x:v>44328</x:v>
      </x:c>
      <x:c r="B1400" s="197" t="n">
        <x:v>111.5636</x:v>
      </x:c>
    </x:row>
    <x:row r="1401">
      <x:c r="A1401" s="187" t="n">
        <x:v>44329</x:v>
      </x:c>
      <x:c r="B1401" s="197" t="n">
        <x:v>111.5955</x:v>
      </x:c>
    </x:row>
    <x:row r="1402">
      <x:c r="A1402" s="187" t="n">
        <x:v>44330</x:v>
      </x:c>
      <x:c r="B1402" s="197" t="n">
        <x:v>111.1353</x:v>
      </x:c>
    </x:row>
    <x:row r="1403">
      <x:c r="A1403" s="187" t="n">
        <x:v>44333</x:v>
      </x:c>
      <x:c r="B1403" s="197" t="n">
        <x:v>111.079</x:v>
      </x:c>
    </x:row>
    <x:row r="1404">
      <x:c r="A1404" s="187" t="n">
        <x:v>44334</x:v>
      </x:c>
      <x:c r="B1404" s="197" t="n">
        <x:v>110.8317</x:v>
      </x:c>
    </x:row>
    <x:row r="1405">
      <x:c r="A1405" s="187" t="n">
        <x:v>44335</x:v>
      </x:c>
      <x:c r="B1405" s="197" t="n">
        <x:v>110.8807</x:v>
      </x:c>
    </x:row>
    <x:row r="1406">
      <x:c r="A1406" s="187" t="n">
        <x:v>44336</x:v>
      </x:c>
      <x:c r="B1406" s="197" t="n">
        <x:v>110.8605</x:v>
      </x:c>
    </x:row>
    <x:row r="1407">
      <x:c r="A1407" s="187" t="n">
        <x:v>44337</x:v>
      </x:c>
      <x:c r="B1407" s="197" t="n">
        <x:v>111.0576</x:v>
      </x:c>
    </x:row>
    <x:row r="1408">
      <x:c r="A1408" s="187" t="n">
        <x:v>44340</x:v>
      </x:c>
      <x:c r="B1408" s="197" t="n">
        <x:v>110.9118</x:v>
      </x:c>
    </x:row>
    <x:row r="1409">
      <x:c r="A1409" s="187" t="n">
        <x:v>44341</x:v>
      </x:c>
      <x:c r="B1409" s="197" t="n">
        <x:v>110.842</x:v>
      </x:c>
    </x:row>
    <x:row r="1410">
      <x:c r="A1410" s="187" t="n">
        <x:v>44342</x:v>
      </x:c>
      <x:c r="B1410" s="197" t="n">
        <x:v>110.8677</x:v>
      </x:c>
    </x:row>
    <x:row r="1411">
      <x:c r="A1411" s="187" t="n">
        <x:v>44343</x:v>
      </x:c>
      <x:c r="B1411" s="197" t="n">
        <x:v>110.8688</x:v>
      </x:c>
    </x:row>
    <x:row r="1412">
      <x:c r="A1412" s="187" t="n">
        <x:v>44344</x:v>
      </x:c>
      <x:c r="B1412" s="197" t="n">
        <x:v>110.7576</x:v>
      </x:c>
    </x:row>
    <x:row r="1413">
      <x:c r="A1413" s="187" t="n">
        <x:v>44347</x:v>
      </x:c>
      <x:c r="B1413" s="197"/>
    </x:row>
    <x:row r="1414">
      <x:c r="A1414" s="187" t="n">
        <x:v>44348</x:v>
      </x:c>
      <x:c r="B1414" s="197" t="n">
        <x:v>110.5046</x:v>
      </x:c>
    </x:row>
    <x:row r="1415">
      <x:c r="A1415" s="187" t="n">
        <x:v>44349</x:v>
      </x:c>
      <x:c r="B1415" s="197" t="n">
        <x:v>110.5799</x:v>
      </x:c>
    </x:row>
    <x:row r="1416">
      <x:c r="A1416" s="187" t="n">
        <x:v>44350</x:v>
      </x:c>
      <x:c r="B1416" s="197" t="n">
        <x:v>111.1782</x:v>
      </x:c>
    </x:row>
    <x:row r="1417">
      <x:c r="A1417" s="187" t="n">
        <x:v>44351</x:v>
      </x:c>
      <x:c r="B1417" s="197" t="n">
        <x:v>110.7521</x:v>
      </x:c>
    </x:row>
    <x:row r="1418">
      <x:c r="A1418" s="187" t="n">
        <x:v>44354</x:v>
      </x:c>
      <x:c r="B1418" s="197" t="n">
        <x:v>110.5155</x:v>
      </x:c>
    </x:row>
    <x:row r="1419">
      <x:c r="A1419" s="187" t="n">
        <x:v>44355</x:v>
      </x:c>
      <x:c r="B1419" s="197" t="n">
        <x:v>110.649</x:v>
      </x:c>
    </x:row>
    <x:row r="1420">
      <x:c r="A1420" s="187" t="n">
        <x:v>44356</x:v>
      </x:c>
      <x:c r="B1420" s="197" t="n">
        <x:v>110.5707</x:v>
      </x:c>
    </x:row>
    <x:row r="1421">
      <x:c r="A1421" s="187" t="n">
        <x:v>44357</x:v>
      </x:c>
      <x:c r="B1421" s="197" t="n">
        <x:v>110.5456</x:v>
      </x:c>
    </x:row>
    <x:row r="1422">
      <x:c r="A1422" s="187" t="n">
        <x:v>44358</x:v>
      </x:c>
      <x:c r="B1422" s="197" t="n">
        <x:v>111.0933</x:v>
      </x:c>
    </x:row>
    <x:row r="1423">
      <x:c r="A1423" s="187" t="n">
        <x:v>44361</x:v>
      </x:c>
      <x:c r="B1423" s="197" t="n">
        <x:v>110.9659</x:v>
      </x:c>
    </x:row>
    <x:row r="1424">
      <x:c r="A1424" s="187" t="n">
        <x:v>44362</x:v>
      </x:c>
      <x:c r="B1424" s="197" t="n">
        <x:v>111.3507</x:v>
      </x:c>
    </x:row>
    <x:row r="1425">
      <x:c r="A1425" s="187" t="n">
        <x:v>44363</x:v>
      </x:c>
      <x:c r="B1425" s="197" t="n">
        <x:v>111.1165</x:v>
      </x:c>
    </x:row>
    <x:row r="1426">
      <x:c r="A1426" s="187" t="n">
        <x:v>44364</x:v>
      </x:c>
      <x:c r="B1426" s="197" t="n">
        <x:v>112.5772</x:v>
      </x:c>
    </x:row>
    <x:row r="1427">
      <x:c r="A1427" s="187" t="n">
        <x:v>44365</x:v>
      </x:c>
      <x:c r="B1427" s="197" t="n">
        <x:v>113.0408</x:v>
      </x:c>
    </x:row>
    <x:row r="1428">
      <x:c r="A1428" s="187" t="n">
        <x:v>44368</x:v>
      </x:c>
      <x:c r="B1428" s="197" t="n">
        <x:v>112.8391</x:v>
      </x:c>
    </x:row>
    <x:row r="1429">
      <x:c r="A1429" s="187" t="n">
        <x:v>44369</x:v>
      </x:c>
      <x:c r="B1429" s="197" t="n">
        <x:v>112.9174</x:v>
      </x:c>
    </x:row>
    <x:row r="1430">
      <x:c r="A1430" s="187" t="n">
        <x:v>44370</x:v>
      </x:c>
      <x:c r="B1430" s="197" t="n">
        <x:v>112.3819</x:v>
      </x:c>
    </x:row>
    <x:row r="1431">
      <x:c r="A1431" s="187" t="n">
        <x:v>44371</x:v>
      </x:c>
      <x:c r="B1431" s="197" t="n">
        <x:v>112.326</x:v>
      </x:c>
    </x:row>
    <x:row r="1432">
      <x:c r="A1432" s="187" t="n">
        <x:v>44372</x:v>
      </x:c>
      <x:c r="B1432" s="197" t="n">
        <x:v>111.9655</x:v>
      </x:c>
    </x:row>
    <x:row r="1433">
      <x:c r="A1433" s="187" t="n">
        <x:v>44375</x:v>
      </x:c>
      <x:c r="B1433" s="197" t="n">
        <x:v>112.0248</x:v>
      </x:c>
    </x:row>
    <x:row r="1434">
      <x:c r="A1434" s="187" t="n">
        <x:v>44376</x:v>
      </x:c>
      <x:c r="B1434" s="197" t="n">
        <x:v>112.2613</x:v>
      </x:c>
    </x:row>
    <x:row r="1435">
      <x:c r="A1435" s="187" t="n">
        <x:v>44377</x:v>
      </x:c>
      <x:c r="B1435" s="197" t="n">
        <x:v>112.5533</x:v>
      </x:c>
    </x:row>
    <x:row r="1436">
      <x:c r="A1436" s="187" t="n">
        <x:v>44378</x:v>
      </x:c>
      <x:c r="B1436" s="197" t="n">
        <x:v>112.74</x:v>
      </x:c>
    </x:row>
    <x:row r="1437">
      <x:c r="A1437" s="187" t="n">
        <x:v>44379</x:v>
      </x:c>
      <x:c r="B1437" s="197" t="n">
        <x:v>112.5425</x:v>
      </x:c>
    </x:row>
    <x:row r="1438">
      <x:c r="A1438" s="187" t="n">
        <x:v>44382</x:v>
      </x:c>
      <x:c r="B1438" s="197"/>
    </x:row>
    <x:row r="1439">
      <x:c r="A1439" s="187" t="n">
        <x:v>44383</x:v>
      </x:c>
      <x:c r="B1439" s="197" t="n">
        <x:v>112.9516</x:v>
      </x:c>
    </x:row>
    <x:row r="1440">
      <x:c r="A1440" s="187" t="n">
        <x:v>44384</x:v>
      </x:c>
      <x:c r="B1440" s="197" t="n">
        <x:v>113.1048</x:v>
      </x:c>
    </x:row>
    <x:row r="1441">
      <x:c r="A1441" s="187" t="n">
        <x:v>44385</x:v>
      </x:c>
      <x:c r="B1441" s="197" t="n">
        <x:v>113.0776</x:v>
      </x:c>
    </x:row>
    <x:row r="1442">
      <x:c r="A1442" s="187" t="n">
        <x:v>44386</x:v>
      </x:c>
      <x:c r="B1442" s="197" t="n">
        <x:v>112.8375</x:v>
      </x:c>
    </x:row>
    <x:row r="1443">
      <x:c r="A1443" s="187" t="n">
        <x:v>44389</x:v>
      </x:c>
      <x:c r="B1443" s="197" t="n">
        <x:v>112.7611</x:v>
      </x:c>
    </x:row>
    <x:row r="1444">
      <x:c r="A1444" s="187" t="n">
        <x:v>44390</x:v>
      </x:c>
      <x:c r="B1444" s="197" t="n">
        <x:v>113.0063</x:v>
      </x:c>
    </x:row>
    <x:row r="1445">
      <x:c r="A1445" s="187" t="n">
        <x:v>44391</x:v>
      </x:c>
      <x:c r="B1445" s="197" t="n">
        <x:v>112.8801</x:v>
      </x:c>
    </x:row>
    <x:row r="1446">
      <x:c r="A1446" s="187" t="n">
        <x:v>44392</x:v>
      </x:c>
      <x:c r="B1446" s="197" t="n">
        <x:v>113.0041</x:v>
      </x:c>
    </x:row>
    <x:row r="1447">
      <x:c r="A1447" s="187" t="n">
        <x:v>44393</x:v>
      </x:c>
      <x:c r="B1447" s="197" t="n">
        <x:v>113.0428</x:v>
      </x:c>
    </x:row>
    <x:row r="1448">
      <x:c r="A1448" s="187" t="n">
        <x:v>44396</x:v>
      </x:c>
      <x:c r="B1448" s="197" t="n">
        <x:v>113.5472</x:v>
      </x:c>
    </x:row>
    <x:row r="1449">
      <x:c r="A1449" s="187" t="n">
        <x:v>44397</x:v>
      </x:c>
      <x:c r="B1449" s="197" t="n">
        <x:v>113.7502</x:v>
      </x:c>
    </x:row>
    <x:row r="1450">
      <x:c r="A1450" s="187" t="n">
        <x:v>44398</x:v>
      </x:c>
      <x:c r="B1450" s="197" t="n">
        <x:v>113.3926</x:v>
      </x:c>
    </x:row>
    <x:row r="1451">
      <x:c r="A1451" s="187" t="n">
        <x:v>44399</x:v>
      </x:c>
      <x:c r="B1451" s="197" t="n">
        <x:v>113.4695</x:v>
      </x:c>
    </x:row>
    <x:row r="1452">
      <x:c r="A1452" s="187" t="n">
        <x:v>44400</x:v>
      </x:c>
      <x:c r="B1452" s="197" t="n">
        <x:v>113.4398</x:v>
      </x:c>
    </x:row>
    <x:row r="1453">
      <x:c r="A1453" s="187" t="n">
        <x:v>44403</x:v>
      </x:c>
      <x:c r="B1453" s="197" t="n">
        <x:v>113.2238</x:v>
      </x:c>
    </x:row>
    <x:row r="1454">
      <x:c r="A1454" s="187" t="n">
        <x:v>44404</x:v>
      </x:c>
      <x:c r="B1454" s="197" t="n">
        <x:v>113.2227</x:v>
      </x:c>
    </x:row>
    <x:row r="1455">
      <x:c r="A1455" s="187" t="n">
        <x:v>44405</x:v>
      </x:c>
      <x:c r="B1455" s="197" t="n">
        <x:v>113.1807</x:v>
      </x:c>
    </x:row>
    <x:row r="1456">
      <x:c r="A1456" s="187" t="n">
        <x:v>44406</x:v>
      </x:c>
      <x:c r="B1456" s="197" t="n">
        <x:v>112.4834</x:v>
      </x:c>
    </x:row>
    <x:row r="1457">
      <x:c r="A1457" s="187" t="n">
        <x:v>44407</x:v>
      </x:c>
      <x:c r="B1457" s="197" t="n">
        <x:v>112.6714</x:v>
      </x:c>
    </x:row>
    <x:row r="1458">
      <x:c r="A1458" s="187" t="n">
        <x:v>44410</x:v>
      </x:c>
      <x:c r="B1458" s="197" t="n">
        <x:v>112.6691</x:v>
      </x:c>
    </x:row>
    <x:row r="1459">
      <x:c r="A1459" s="187" t="n">
        <x:v>44411</x:v>
      </x:c>
      <x:c r="B1459" s="197" t="n">
        <x:v>112.8228</x:v>
      </x:c>
    </x:row>
    <x:row r="1460">
      <x:c r="A1460" s="187" t="n">
        <x:v>44412</x:v>
      </x:c>
      <x:c r="B1460" s="197" t="n">
        <x:v>112.8953</x:v>
      </x:c>
    </x:row>
    <x:row r="1461">
      <x:c r="A1461" s="187" t="n">
        <x:v>44413</x:v>
      </x:c>
      <x:c r="B1461" s="197" t="n">
        <x:v>112.7674</x:v>
      </x:c>
    </x:row>
    <x:row r="1462">
      <x:c r="A1462" s="187" t="n">
        <x:v>44414</x:v>
      </x:c>
      <x:c r="B1462" s="197" t="n">
        <x:v>113.3088</x:v>
      </x:c>
    </x:row>
    <x:row r="1463">
      <x:c r="A1463" s="187" t="n">
        <x:v>44417</x:v>
      </x:c>
      <x:c r="B1463" s="197" t="n">
        <x:v>113.4521</x:v>
      </x:c>
    </x:row>
    <x:row r="1464">
      <x:c r="A1464" s="187" t="n">
        <x:v>44418</x:v>
      </x:c>
      <x:c r="B1464" s="197" t="n">
        <x:v>113.4973</x:v>
      </x:c>
    </x:row>
    <x:row r="1465">
      <x:c r="A1465" s="187" t="n">
        <x:v>44419</x:v>
      </x:c>
      <x:c r="B1465" s="197" t="n">
        <x:v>113.282</x:v>
      </x:c>
    </x:row>
    <x:row r="1466">
      <x:c r="A1466" s="187" t="n">
        <x:v>44420</x:v>
      </x:c>
      <x:c r="B1466" s="197" t="n">
        <x:v>113.2691</x:v>
      </x:c>
    </x:row>
    <x:row r="1467">
      <x:c r="A1467" s="187" t="n">
        <x:v>44421</x:v>
      </x:c>
      <x:c r="B1467" s="197" t="n">
        <x:v>113.0615</x:v>
      </x:c>
    </x:row>
    <x:row r="1468">
      <x:c r="A1468" s="187" t="n">
        <x:v>44424</x:v>
      </x:c>
      <x:c r="B1468" s="197" t="n">
        <x:v>113.1698</x:v>
      </x:c>
    </x:row>
    <x:row r="1469">
      <x:c r="A1469" s="187" t="n">
        <x:v>44425</x:v>
      </x:c>
      <x:c r="B1469" s="197" t="n">
        <x:v>113.6174</x:v>
      </x:c>
    </x:row>
    <x:row r="1470">
      <x:c r="A1470" s="187" t="n">
        <x:v>44426</x:v>
      </x:c>
      <x:c r="B1470" s="197" t="n">
        <x:v>113.6959</x:v>
      </x:c>
    </x:row>
    <x:row r="1471">
      <x:c r="A1471" s="187" t="n">
        <x:v>44427</x:v>
      </x:c>
      <x:c r="B1471" s="197" t="n">
        <x:v>114.1106</x:v>
      </x:c>
    </x:row>
    <x:row r="1472">
      <x:c r="A1472" s="187" t="n">
        <x:v>44428</x:v>
      </x:c>
      <x:c r="B1472" s="197" t="n">
        <x:v>114.5009</x:v>
      </x:c>
    </x:row>
    <x:row r="1473">
      <x:c r="A1473" s="187" t="n">
        <x:v>44431</x:v>
      </x:c>
      <x:c r="B1473" s="197" t="n">
        <x:v>113.9418</x:v>
      </x:c>
    </x:row>
    <x:row r="1474">
      <x:c r="A1474" s="187" t="n">
        <x:v>44432</x:v>
      </x:c>
      <x:c r="B1474" s="197" t="n">
        <x:v>113.6795</x:v>
      </x:c>
    </x:row>
    <x:row r="1475">
      <x:c r="A1475" s="187" t="n">
        <x:v>44433</x:v>
      </x:c>
      <x:c r="B1475" s="197" t="n">
        <x:v>113.6322</x:v>
      </x:c>
    </x:row>
    <x:row r="1476">
      <x:c r="A1476" s="187" t="n">
        <x:v>44434</x:v>
      </x:c>
      <x:c r="B1476" s="197" t="n">
        <x:v>113.7883</x:v>
      </x:c>
    </x:row>
    <x:row r="1477">
      <x:c r="A1477" s="187" t="n">
        <x:v>44435</x:v>
      </x:c>
      <x:c r="B1477" s="197" t="n">
        <x:v>113.3404</x:v>
      </x:c>
    </x:row>
    <x:row r="1478">
      <x:c r="A1478" s="187" t="n">
        <x:v>44438</x:v>
      </x:c>
      <x:c r="B1478" s="197" t="n">
        <x:v>113.246</x:v>
      </x:c>
    </x:row>
    <x:row r="1479">
      <x:c r="A1479" s="187" t="n">
        <x:v>44439</x:v>
      </x:c>
      <x:c r="B1479" s="197" t="n">
        <x:v>113.1076</x:v>
      </x:c>
    </x:row>
    <x:row r="1480">
      <x:c r="A1480" s="187" t="n">
        <x:v>44440</x:v>
      </x:c>
      <x:c r="B1480" s="197" t="n">
        <x:v>112.8732</x:v>
      </x:c>
    </x:row>
    <x:row r="1481">
      <x:c r="A1481" s="187" t="n">
        <x:v>44441</x:v>
      </x:c>
      <x:c r="B1481" s="197" t="n">
        <x:v>112.7863</x:v>
      </x:c>
    </x:row>
    <x:row r="1482">
      <x:c r="A1482" s="187" t="n">
        <x:v>44442</x:v>
      </x:c>
      <x:c r="B1482" s="197" t="n">
        <x:v>112.5476</x:v>
      </x:c>
    </x:row>
    <x:row r="1483">
      <x:c r="A1483" s="187" t="n">
        <x:v>44445</x:v>
      </x:c>
      <x:c r="B1483" s="197"/>
    </x:row>
    <x:row r="1484">
      <x:c r="A1484" s="187" t="n">
        <x:v>44446</x:v>
      </x:c>
      <x:c r="B1484" s="197" t="n">
        <x:v>112.9795</x:v>
      </x:c>
    </x:row>
    <x:row r="1485">
      <x:c r="A1485" s="187" t="n">
        <x:v>44447</x:v>
      </x:c>
      <x:c r="B1485" s="197" t="n">
        <x:v>113.2319</x:v>
      </x:c>
    </x:row>
    <x:row r="1486">
      <x:c r="A1486" s="187" t="n">
        <x:v>44448</x:v>
      </x:c>
      <x:c r="B1486" s="197" t="n">
        <x:v>113.043</x:v>
      </x:c>
    </x:row>
    <x:row r="1487">
      <x:c r="A1487" s="187" t="n">
        <x:v>44449</x:v>
      </x:c>
      <x:c r="B1487" s="197" t="n">
        <x:v>112.9425</x:v>
      </x:c>
    </x:row>
    <x:row r="1488">
      <x:c r="A1488" s="187" t="n">
        <x:v>44452</x:v>
      </x:c>
      <x:c r="B1488" s="197" t="n">
        <x:v>113.0341</x:v>
      </x:c>
    </x:row>
    <x:row r="1489">
      <x:c r="A1489" s="187" t="n">
        <x:v>44453</x:v>
      </x:c>
      <x:c r="B1489" s="197" t="n">
        <x:v>113.0061</x:v>
      </x:c>
    </x:row>
    <x:row r="1490">
      <x:c r="A1490" s="187" t="n">
        <x:v>44454</x:v>
      </x:c>
      <x:c r="B1490" s="197" t="n">
        <x:v>112.9773</x:v>
      </x:c>
    </x:row>
    <x:row r="1491">
      <x:c r="A1491" s="187" t="n">
        <x:v>44455</x:v>
      </x:c>
      <x:c r="B1491" s="197" t="n">
        <x:v>113.3036</x:v>
      </x:c>
    </x:row>
    <x:row r="1492">
      <x:c r="A1492" s="187" t="n">
        <x:v>44456</x:v>
      </x:c>
      <x:c r="B1492" s="197" t="n">
        <x:v>113.5989</x:v>
      </x:c>
    </x:row>
    <x:row r="1493">
      <x:c r="A1493" s="187" t="n">
        <x:v>44459</x:v>
      </x:c>
      <x:c r="B1493" s="197" t="n">
        <x:v>113.9422</x:v>
      </x:c>
    </x:row>
    <x:row r="1494">
      <x:c r="A1494" s="187" t="n">
        <x:v>44460</x:v>
      </x:c>
      <x:c r="B1494" s="197" t="n">
        <x:v>113.8179</x:v>
      </x:c>
    </x:row>
    <x:row r="1495">
      <x:c r="A1495" s="187" t="n">
        <x:v>44461</x:v>
      </x:c>
      <x:c r="B1495" s="197" t="n">
        <x:v>113.6223</x:v>
      </x:c>
    </x:row>
    <x:row r="1496">
      <x:c r="A1496" s="187" t="n">
        <x:v>44462</x:v>
      </x:c>
      <x:c r="B1496" s="197" t="n">
        <x:v>113.513</x:v>
      </x:c>
    </x:row>
    <x:row r="1497">
      <x:c r="A1497" s="187" t="n">
        <x:v>44463</x:v>
      </x:c>
      <x:c r="B1497" s="197" t="n">
        <x:v>113.7597</x:v>
      </x:c>
    </x:row>
    <x:row r="1498">
      <x:c r="A1498" s="187" t="n">
        <x:v>44466</x:v>
      </x:c>
      <x:c r="B1498" s="197" t="n">
        <x:v>113.7432</x:v>
      </x:c>
    </x:row>
    <x:row r="1499">
      <x:c r="A1499" s="187" t="n">
        <x:v>44467</x:v>
      </x:c>
      <x:c r="B1499" s="197" t="n">
        <x:v>114.2469</x:v>
      </x:c>
    </x:row>
    <x:row r="1500">
      <x:c r="A1500" s="187" t="n">
        <x:v>44468</x:v>
      </x:c>
      <x:c r="B1500" s="197" t="n">
        <x:v>114.7092</x:v>
      </x:c>
    </x:row>
    <x:row r="1501">
      <x:c r="A1501" s="187" t="n">
        <x:v>44469</x:v>
      </x:c>
      <x:c r="B1501" s="197" t="n">
        <x:v>114.6403</x:v>
      </x:c>
    </x:row>
    <x:row r="1502">
      <x:c r="A1502" s="187" t="n">
        <x:v>44470</x:v>
      </x:c>
      <x:c r="B1502" s="197" t="n">
        <x:v>114.3798</x:v>
      </x:c>
    </x:row>
    <x:row r="1503">
      <x:c r="A1503" s="187" t="n">
        <x:v>44473</x:v>
      </x:c>
      <x:c r="B1503" s="197" t="n">
        <x:v>114.2739</x:v>
      </x:c>
    </x:row>
    <x:row r="1504">
      <x:c r="A1504" s="187" t="n">
        <x:v>44474</x:v>
      </x:c>
      <x:c r="B1504" s="197" t="n">
        <x:v>114.3654</x:v>
      </x:c>
    </x:row>
    <x:row r="1505">
      <x:c r="A1505" s="187" t="n">
        <x:v>44475</x:v>
      </x:c>
      <x:c r="B1505" s="197" t="n">
        <x:v>114.7185</x:v>
      </x:c>
    </x:row>
    <x:row r="1506">
      <x:c r="A1506" s="187" t="n">
        <x:v>44476</x:v>
      </x:c>
      <x:c r="B1506" s="197" t="n">
        <x:v>114.5044</x:v>
      </x:c>
    </x:row>
    <x:row r="1507">
      <x:c r="A1507" s="187" t="n">
        <x:v>44477</x:v>
      </x:c>
      <x:c r="B1507" s="197" t="n">
        <x:v>114.5986</x:v>
      </x:c>
    </x:row>
    <x:row r="1508">
      <x:c r="A1508" s="187" t="n">
        <x:v>44480</x:v>
      </x:c>
      <x:c r="B1508" s="197"/>
    </x:row>
    <x:row r="1509">
      <x:c r="A1509" s="187" t="n">
        <x:v>44481</x:v>
      </x:c>
      <x:c r="B1509" s="197" t="n">
        <x:v>114.7542</x:v>
      </x:c>
    </x:row>
    <x:row r="1510">
      <x:c r="A1510" s="187" t="n">
        <x:v>44482</x:v>
      </x:c>
      <x:c r="B1510" s="197" t="n">
        <x:v>114.4705</x:v>
      </x:c>
    </x:row>
    <x:row r="1511">
      <x:c r="A1511" s="187" t="n">
        <x:v>44483</x:v>
      </x:c>
      <x:c r="B1511" s="197" t="n">
        <x:v>114.2053</x:v>
      </x:c>
    </x:row>
    <x:row r="1512">
      <x:c r="A1512" s="187" t="n">
        <x:v>44484</x:v>
      </x:c>
      <x:c r="B1512" s="197" t="n">
        <x:v>114.0905</x:v>
      </x:c>
    </x:row>
    <x:row r="1513">
      <x:c r="A1513" s="187" t="n">
        <x:v>44487</x:v>
      </x:c>
      <x:c r="B1513" s="197" t="n">
        <x:v>113.9899</x:v>
      </x:c>
    </x:row>
    <x:row r="1514">
      <x:c r="A1514" s="187" t="n">
        <x:v>44488</x:v>
      </x:c>
      <x:c r="B1514" s="197" t="n">
        <x:v>113.647</x:v>
      </x:c>
    </x:row>
    <x:row r="1515">
      <x:c r="A1515" s="187" t="n">
        <x:v>44489</x:v>
      </x:c>
      <x:c r="B1515" s="197" t="n">
        <x:v>113.5083</x:v>
      </x:c>
    </x:row>
    <x:row r="1516">
      <x:c r="A1516" s="187" t="n">
        <x:v>44490</x:v>
      </x:c>
      <x:c r="B1516" s="197" t="n">
        <x:v>113.6188</x:v>
      </x:c>
    </x:row>
    <x:row r="1517">
      <x:c r="A1517" s="187" t="n">
        <x:v>44491</x:v>
      </x:c>
      <x:c r="B1517" s="197" t="n">
        <x:v>113.67</x:v>
      </x:c>
    </x:row>
    <x:row r="1518">
      <x:c r="A1518" s="187" t="n">
        <x:v>44494</x:v>
      </x:c>
      <x:c r="B1518" s="197" t="n">
        <x:v>113.605</x:v>
      </x:c>
    </x:row>
    <x:row r="1519">
      <x:c r="A1519" s="187" t="n">
        <x:v>44495</x:v>
      </x:c>
      <x:c r="B1519" s="197" t="n">
        <x:v>113.674</x:v>
      </x:c>
    </x:row>
    <x:row r="1520">
      <x:c r="A1520" s="187" t="n">
        <x:v>44496</x:v>
      </x:c>
      <x:c r="B1520" s="197" t="n">
        <x:v>113.6218</x:v>
      </x:c>
    </x:row>
    <x:row r="1521">
      <x:c r="A1521" s="187" t="n">
        <x:v>44497</x:v>
      </x:c>
      <x:c r="B1521" s="197" t="n">
        <x:v>113.4389</x:v>
      </x:c>
    </x:row>
    <x:row r="1522">
      <x:c r="A1522" s="187" t="n">
        <x:v>44498</x:v>
      </x:c>
      <x:c r="B1522" s="197" t="n">
        <x:v>114.1349</x:v>
      </x:c>
    </x:row>
    <x:row r="1523">
      <x:c r="A1523" s="187" t="n">
        <x:v>44501</x:v>
      </x:c>
      <x:c r="B1523" s="197" t="n">
        <x:v>114.2067</x:v>
      </x:c>
    </x:row>
    <x:row r="1524">
      <x:c r="A1524" s="187" t="n">
        <x:v>44502</x:v>
      </x:c>
      <x:c r="B1524" s="197" t="n">
        <x:v>114.2847</x:v>
      </x:c>
    </x:row>
    <x:row r="1525">
      <x:c r="A1525" s="187" t="n">
        <x:v>44503</x:v>
      </x:c>
      <x:c r="B1525" s="197" t="n">
        <x:v>114.3593</x:v>
      </x:c>
    </x:row>
    <x:row r="1526">
      <x:c r="A1526" s="187" t="n">
        <x:v>44504</x:v>
      </x:c>
      <x:c r="B1526" s="197" t="n">
        <x:v>114.3558</x:v>
      </x:c>
    </x:row>
    <x:row r="1527">
      <x:c r="A1527" s="187" t="n">
        <x:v>44505</x:v>
      </x:c>
      <x:c r="B1527" s="197" t="n">
        <x:v>114.0732</x:v>
      </x:c>
    </x:row>
    <x:row r="1528">
      <x:c r="A1528" s="187" t="n">
        <x:v>44508</x:v>
      </x:c>
      <x:c r="B1528" s="197" t="n">
        <x:v>113.8256</x:v>
      </x:c>
    </x:row>
    <x:row r="1529">
      <x:c r="A1529" s="187" t="n">
        <x:v>44509</x:v>
      </x:c>
      <x:c r="B1529" s="197" t="n">
        <x:v>113.762</x:v>
      </x:c>
    </x:row>
    <x:row r="1530">
      <x:c r="A1530" s="187" t="n">
        <x:v>44510</x:v>
      </x:c>
      <x:c r="B1530" s="197" t="n">
        <x:v>114.1484</x:v>
      </x:c>
    </x:row>
    <x:row r="1531">
      <x:c r="A1531" s="187" t="n">
        <x:v>44511</x:v>
      </x:c>
      <x:c r="B1531" s="197"/>
    </x:row>
    <x:row r="1532">
      <x:c r="A1532" s="187" t="n">
        <x:v>44512</x:v>
      </x:c>
      <x:c r="B1532" s="197" t="n">
        <x:v>114.5144</x:v>
      </x:c>
    </x:row>
    <x:row r="1533">
      <x:c r="A1533" s="187" t="n">
        <x:v>44515</x:v>
      </x:c>
      <x:c r="B1533" s="197" t="n">
        <x:v>114.5876</x:v>
      </x:c>
    </x:row>
    <x:row r="1534">
      <x:c r="A1534" s="187" t="n">
        <x:v>44516</x:v>
      </x:c>
      <x:c r="B1534" s="197" t="n">
        <x:v>115.136</x:v>
      </x:c>
    </x:row>
    <x:row r="1535">
      <x:c r="A1535" s="187" t="n">
        <x:v>44517</x:v>
      </x:c>
      <x:c r="B1535" s="197" t="n">
        <x:v>115.0263</x:v>
      </x:c>
    </x:row>
    <x:row r="1536">
      <x:c r="A1536" s="187" t="n">
        <x:v>44518</x:v>
      </x:c>
      <x:c r="B1536" s="197" t="n">
        <x:v>115.0678</x:v>
      </x:c>
    </x:row>
    <x:row r="1537">
      <x:c r="A1537" s="187" t="n">
        <x:v>44519</x:v>
      </x:c>
      <x:c r="B1537" s="197" t="n">
        <x:v>115.2187</x:v>
      </x:c>
    </x:row>
    <x:row r="1538">
      <x:c r="A1538" s="187" t="n">
        <x:v>44522</x:v>
      </x:c>
      <x:c r="B1538" s="197" t="n">
        <x:v>115.6481</x:v>
      </x:c>
    </x:row>
    <x:row r="1539">
      <x:c r="A1539" s="187" t="n">
        <x:v>44523</x:v>
      </x:c>
      <x:c r="B1539" s="197" t="n">
        <x:v>116.0118</x:v>
      </x:c>
    </x:row>
    <x:row r="1540">
      <x:c r="A1540" s="187" t="n">
        <x:v>44524</x:v>
      </x:c>
      <x:c r="B1540" s="197" t="n">
        <x:v>116.2711</x:v>
      </x:c>
    </x:row>
    <x:row r="1541">
      <x:c r="A1541" s="187" t="n">
        <x:v>44525</x:v>
      </x:c>
      <x:c r="B1541" s="197"/>
    </x:row>
    <x:row r="1542">
      <x:c r="A1542" s="187" t="n">
        <x:v>44526</x:v>
      </x:c>
      <x:c r="B1542" s="197" t="n">
        <x:v>116.5103</x:v>
      </x:c>
    </x:row>
    <x:row r="1543">
      <x:c r="A1543" s="187" t="n">
        <x:v>44529</x:v>
      </x:c>
      <x:c r="B1543" s="197" t="n">
        <x:v>116.581</x:v>
      </x:c>
    </x:row>
    <x:row r="1544">
      <x:c r="A1544" s="187" t="n">
        <x:v>44530</x:v>
      </x:c>
      <x:c r="B1544" s="197" t="n">
        <x:v>116.2071</x:v>
      </x:c>
    </x:row>
    <x:row r="1545">
      <x:c r="A1545" s="187" t="n">
        <x:v>44531</x:v>
      </x:c>
      <x:c r="B1545" s="197" t="n">
        <x:v>115.889</x:v>
      </x:c>
    </x:row>
    <x:row r="1546">
      <x:c r="A1546" s="187" t="n">
        <x:v>44532</x:v>
      </x:c>
      <x:c r="B1546" s="197" t="n">
        <x:v>116.018</x:v>
      </x:c>
    </x:row>
    <x:row r="1547">
      <x:c r="A1547" s="187" t="n">
        <x:v>44533</x:v>
      </x:c>
      <x:c r="B1547" s="197" t="n">
        <x:v>116.2377</x:v>
      </x:c>
    </x:row>
    <x:row r="1548">
      <x:c r="A1548" s="187" t="n">
        <x:v>44536</x:v>
      </x:c>
      <x:c r="B1548" s="197" t="n">
        <x:v>116.1538</x:v>
      </x:c>
    </x:row>
    <x:row r="1549">
      <x:c r="A1549" s="187" t="n">
        <x:v>44537</x:v>
      </x:c>
      <x:c r="B1549" s="197" t="n">
        <x:v>115.8555</x:v>
      </x:c>
    </x:row>
    <x:row r="1550">
      <x:c r="A1550" s="187" t="n">
        <x:v>44538</x:v>
      </x:c>
      <x:c r="B1550" s="197" t="n">
        <x:v>115.4418</x:v>
      </x:c>
    </x:row>
    <x:row r="1551">
      <x:c r="A1551" s="187" t="n">
        <x:v>44539</x:v>
      </x:c>
      <x:c r="B1551" s="197" t="n">
        <x:v>115.7784</x:v>
      </x:c>
    </x:row>
    <x:row r="1552">
      <x:c r="A1552" s="187" t="n">
        <x:v>44540</x:v>
      </x:c>
      <x:c r="B1552" s="197" t="n">
        <x:v>115.5732</x:v>
      </x:c>
    </x:row>
    <x:row r="1553">
      <x:c r="A1553" s="187" t="n">
        <x:v>44543</x:v>
      </x:c>
      <x:c r="B1553" s="197" t="n">
        <x:v>115.842</x:v>
      </x:c>
    </x:row>
    <x:row r="1554">
      <x:c r="A1554" s="187" t="n">
        <x:v>44544</x:v>
      </x:c>
      <x:c r="B1554" s="197" t="n">
        <x:v>116.2397</x:v>
      </x:c>
    </x:row>
    <x:row r="1555">
      <x:c r="A1555" s="187" t="n">
        <x:v>44545</x:v>
      </x:c>
      <x:c r="B1555" s="197" t="n">
        <x:v>116.4219</x:v>
      </x:c>
    </x:row>
    <x:row r="1556">
      <x:c r="A1556" s="187" t="n">
        <x:v>44546</x:v>
      </x:c>
      <x:c r="B1556" s="197" t="n">
        <x:v>115.7146</x:v>
      </x:c>
    </x:row>
    <x:row r="1557">
      <x:c r="A1557" s="187" t="n">
        <x:v>44547</x:v>
      </x:c>
      <x:c r="B1557" s="197" t="n">
        <x:v>115.791</x:v>
      </x:c>
    </x:row>
    <x:row r="1558">
      <x:c r="A1558" s="187" t="n">
        <x:v>44550</x:v>
      </x:c>
      <x:c r="B1558" s="197" t="n">
        <x:v>116.0092</x:v>
      </x:c>
    </x:row>
    <x:row r="1559">
      <x:c r="A1559" s="187" t="n">
        <x:v>44551</x:v>
      </x:c>
      <x:c r="B1559" s="197" t="n">
        <x:v>116.1089</x:v>
      </x:c>
    </x:row>
    <x:row r="1560">
      <x:c r="A1560" s="187" t="n">
        <x:v>44552</x:v>
      </x:c>
      <x:c r="B1560" s="197" t="n">
        <x:v>115.7485</x:v>
      </x:c>
    </x:row>
    <x:row r="1561">
      <x:c r="A1561" s="187" t="n">
        <x:v>44553</x:v>
      </x:c>
      <x:c r="B1561" s="197" t="n">
        <x:v>115.5337</x:v>
      </x:c>
    </x:row>
    <x:row r="1562">
      <x:c r="A1562" s="187" t="n">
        <x:v>44554</x:v>
      </x:c>
      <x:c r="B1562" s="197"/>
    </x:row>
    <x:row r="1563">
      <x:c r="A1563" s="187" t="n">
        <x:v>44557</x:v>
      </x:c>
      <x:c r="B1563" s="197" t="n">
        <x:v>115.4684</x:v>
      </x:c>
    </x:row>
    <x:row r="1564">
      <x:c r="A1564" s="187" t="n">
        <x:v>44558</x:v>
      </x:c>
      <x:c r="B1564" s="197" t="n">
        <x:v>115.4192</x:v>
      </x:c>
    </x:row>
    <x:row r="1565">
      <x:c r="A1565" s="187" t="n">
        <x:v>44559</x:v>
      </x:c>
      <x:c r="B1565" s="197" t="n">
        <x:v>115.3678</x:v>
      </x:c>
    </x:row>
    <x:row r="1566">
      <x:c r="A1566" s="187" t="n">
        <x:v>44560</x:v>
      </x:c>
      <x:c r="B1566" s="197" t="n">
        <x:v>115.283</x:v>
      </x:c>
    </x:row>
    <x:row r="1567">
      <x:c r="A1567" s="187" t="n">
        <x:v>44561</x:v>
      </x:c>
      <x:c r="B1567" s="197"/>
    </x:row>
    <x:row r="1568">
      <x:c r="A1568" s="187" t="n">
        <x:v>44564</x:v>
      </x:c>
      <x:c r="B1568" s="197" t="n">
        <x:v>115.4101</x:v>
      </x:c>
    </x:row>
    <x:row r="1569">
      <x:c r="A1569" s="187" t="n">
        <x:v>44565</x:v>
      </x:c>
      <x:c r="B1569" s="197" t="n">
        <x:v>115.3103</x:v>
      </x:c>
    </x:row>
    <x:row r="1570">
      <x:c r="A1570" s="187" t="n">
        <x:v>44566</x:v>
      </x:c>
      <x:c r="B1570" s="197" t="n">
        <x:v>115.137</x:v>
      </x:c>
    </x:row>
    <x:row r="1571">
      <x:c r="A1571" s="187" t="n">
        <x:v>44567</x:v>
      </x:c>
      <x:c r="B1571" s="197" t="n">
        <x:v>115.4046</x:v>
      </x:c>
    </x:row>
    <x:row r="1572">
      <x:c r="A1572" s="187" t="n">
        <x:v>44568</x:v>
      </x:c>
      <x:c r="B1572" s="197" t="n">
        <x:v>115.0451</x:v>
      </x:c>
    </x:row>
    <x:row r="1573">
      <x:c r="A1573" s="187" t="n">
        <x:v>44571</x:v>
      </x:c>
      <x:c r="B1573" s="197" t="n">
        <x:v>115.2216</x:v>
      </x:c>
    </x:row>
    <x:row r="1574">
      <x:c r="A1574" s="187" t="n">
        <x:v>44572</x:v>
      </x:c>
      <x:c r="B1574" s="197" t="n">
        <x:v>114.8332</x:v>
      </x:c>
    </x:row>
    <x:row r="1575">
      <x:c r="A1575" s="187" t="n">
        <x:v>44573</x:v>
      </x:c>
      <x:c r="B1575" s="197" t="n">
        <x:v>114.355</x:v>
      </x:c>
    </x:row>
    <x:row r="1576">
      <x:c r="A1576" s="187" t="n">
        <x:v>44574</x:v>
      </x:c>
      <x:c r="B1576" s="197" t="n">
        <x:v>114.177</x:v>
      </x:c>
    </x:row>
    <x:row r="1577">
      <x:c r="A1577" s="187" t="n">
        <x:v>44575</x:v>
      </x:c>
      <x:c r="B1577" s="197" t="n">
        <x:v>114.3825</x:v>
      </x:c>
    </x:row>
    <x:row r="1578">
      <x:c r="A1578" s="187" t="n">
        <x:v>44578</x:v>
      </x:c>
      <x:c r="B1578" s="197"/>
    </x:row>
    <x:row r="1579">
      <x:c r="A1579" s="187" t="n">
        <x:v>44579</x:v>
      </x:c>
      <x:c r="B1579" s="197" t="n">
        <x:v>114.7373</x:v>
      </x:c>
    </x:row>
    <x:row r="1580">
      <x:c r="A1580" s="187" t="n">
        <x:v>44580</x:v>
      </x:c>
      <x:c r="B1580" s="197" t="n">
        <x:v>114.6109</x:v>
      </x:c>
    </x:row>
    <x:row r="1581">
      <x:c r="A1581" s="187" t="n">
        <x:v>44581</x:v>
      </x:c>
      <x:c r="B1581" s="197" t="n">
        <x:v>114.4642</x:v>
      </x:c>
    </x:row>
    <x:row r="1582">
      <x:c r="A1582" s="187" t="n">
        <x:v>44582</x:v>
      </x:c>
      <x:c r="B1582" s="197" t="n">
        <x:v>114.6125</x:v>
      </x:c>
    </x:row>
    <x:row r="1583">
      <x:c r="A1583" s="187" t="n">
        <x:v>44585</x:v>
      </x:c>
      <x:c r="B1583" s="197" t="n">
        <x:v>115.2034</x:v>
      </x:c>
    </x:row>
    <x:row r="1584">
      <x:c r="A1584" s="187" t="n">
        <x:v>44586</x:v>
      </x:c>
      <x:c r="B1584" s="197" t="n">
        <x:v>115.1654</x:v>
      </x:c>
    </x:row>
    <x:row r="1585">
      <x:c r="A1585" s="187" t="n">
        <x:v>44587</x:v>
      </x:c>
      <x:c r="B1585" s="197" t="n">
        <x:v>115.0922</x:v>
      </x:c>
    </x:row>
    <x:row r="1586">
      <x:c r="A1586" s="187" t="n">
        <x:v>44588</x:v>
      </x:c>
      <x:c r="B1586" s="197" t="n">
        <x:v>115.978</x:v>
      </x:c>
    </x:row>
    <x:row r="1587">
      <x:c r="A1587" s="187" t="n">
        <x:v>44589</x:v>
      </x:c>
      <x:c r="B1587" s="197" t="n">
        <x:v>116.0393</x:v>
      </x:c>
    </x:row>
    <x:row r="1588">
      <x:c r="A1588" s="187" t="n">
        <x:v>44592</x:v>
      </x:c>
      <x:c r="B1588" s="197" t="n">
        <x:v>115.566</x:v>
      </x:c>
    </x:row>
    <x:row r="1589">
      <x:c r="A1589" s="187" t="n">
        <x:v>44593</x:v>
      </x:c>
      <x:c r="B1589" s="197" t="n">
        <x:v>115.3685</x:v>
      </x:c>
    </x:row>
    <x:row r="1590">
      <x:c r="A1590" s="187" t="n">
        <x:v>44594</x:v>
      </x:c>
      <x:c r="B1590" s="197" t="n">
        <x:v>115.1538</x:v>
      </x:c>
    </x:row>
    <x:row r="1591">
      <x:c r="A1591" s="187" t="n">
        <x:v>44595</x:v>
      </x:c>
      <x:c r="B1591" s="197" t="n">
        <x:v>114.9065</x:v>
      </x:c>
    </x:row>
    <x:row r="1592">
      <x:c r="A1592" s="187" t="n">
        <x:v>44596</x:v>
      </x:c>
      <x:c r="B1592" s="197" t="n">
        <x:v>115.1362</x:v>
      </x:c>
    </x:row>
    <x:row r="1593">
      <x:c r="A1593" s="187" t="n">
        <x:v>44599</x:v>
      </x:c>
      <x:c r="B1593" s="197" t="n">
        <x:v>115.0098</x:v>
      </x:c>
    </x:row>
    <x:row r="1594">
      <x:c r="A1594" s="187" t="n">
        <x:v>44600</x:v>
      </x:c>
      <x:c r="B1594" s="197" t="n">
        <x:v>115.0892</x:v>
      </x:c>
    </x:row>
    <x:row r="1595">
      <x:c r="A1595" s="187" t="n">
        <x:v>44601</x:v>
      </x:c>
      <x:c r="B1595" s="197" t="n">
        <x:v>114.8232</x:v>
      </x:c>
    </x:row>
    <x:row r="1596">
      <x:c r="A1596" s="187" t="n">
        <x:v>44602</x:v>
      </x:c>
      <x:c r="B1596" s="197" t="n">
        <x:v>114.5527</x:v>
      </x:c>
    </x:row>
    <x:row r="1597">
      <x:c r="A1597" s="187" t="n">
        <x:v>44603</x:v>
      </x:c>
      <x:c r="B1597" s="197" t="n">
        <x:v>114.8413</x:v>
      </x:c>
    </x:row>
    <x:row r="1598">
      <x:c r="A1598" s="187" t="n">
        <x:v>44606</x:v>
      </x:c>
      <x:c r="B1598" s="197" t="n">
        <x:v>115.1946</x:v>
      </x:c>
    </x:row>
    <x:row r="1599">
      <x:c r="A1599" s="187" t="n">
        <x:v>44607</x:v>
      </x:c>
      <x:c r="B1599" s="197" t="n">
        <x:v>114.93</x:v>
      </x:c>
    </x:row>
    <x:row r="1600">
      <x:c r="A1600" s="187" t="n">
        <x:v>44608</x:v>
      </x:c>
      <x:c r="B1600" s="197" t="n">
        <x:v>114.6886</x:v>
      </x:c>
    </x:row>
    <x:row r="1601">
      <x:c r="A1601" s="187" t="n">
        <x:v>44609</x:v>
      </x:c>
      <x:c r="B1601" s="197" t="n">
        <x:v>114.6755</x:v>
      </x:c>
    </x:row>
    <x:row r="1602">
      <x:c r="A1602" s="187" t="n">
        <x:v>44610</x:v>
      </x:c>
      <x:c r="B1602" s="197" t="n">
        <x:v>114.7982</x:v>
      </x:c>
    </x:row>
    <x:row r="1603">
      <x:c r="A1603" s="187" t="n">
        <x:v>44613</x:v>
      </x:c>
      <x:c r="B1603" s="197"/>
    </x:row>
    <x:row r="1604">
      <x:c r="A1604" s="187" t="n">
        <x:v>44614</x:v>
      </x:c>
      <x:c r="B1604" s="197" t="n">
        <x:v>114.7002</x:v>
      </x:c>
    </x:row>
    <x:row r="1605">
      <x:c r="A1605" s="187" t="n">
        <x:v>44615</x:v>
      </x:c>
      <x:c r="B1605" s="197" t="n">
        <x:v>114.6668</x:v>
      </x:c>
    </x:row>
    <x:row r="1606">
      <x:c r="A1606" s="187" t="n">
        <x:v>44616</x:v>
      </x:c>
      <x:c r="B1606" s="197" t="n">
        <x:v>115.9419</x:v>
      </x:c>
    </x:row>
    <x:row r="1607">
      <x:c r="A1607" s="187" t="n">
        <x:v>44617</x:v>
      </x:c>
      <x:c r="B1607" s="197" t="n">
        <x:v>115.2577</x:v>
      </x:c>
    </x:row>
    <x:row r="1608">
      <x:c r="A1608" s="187" t="n">
        <x:v>44620</x:v>
      </x:c>
      <x:c r="B1608" s="197" t="n">
        <x:v>115.2224</x:v>
      </x:c>
    </x:row>
    <x:row r="1609">
      <x:c r="A1609" s="187" t="n">
        <x:v>44621</x:v>
      </x:c>
      <x:c r="B1609" s="197" t="n">
        <x:v>115.7962</x:v>
      </x:c>
    </x:row>
    <x:row r="1610">
      <x:c r="A1610" s="187" t="n">
        <x:v>44622</x:v>
      </x:c>
      <x:c r="B1610" s="197" t="n">
        <x:v>115.7623</x:v>
      </x:c>
    </x:row>
    <x:row r="1611">
      <x:c r="A1611" s="187" t="n">
        <x:v>44623</x:v>
      </x:c>
      <x:c r="B1611" s="197" t="n">
        <x:v>115.9495</x:v>
      </x:c>
    </x:row>
    <x:row r="1612">
      <x:c r="A1612" s="187" t="n">
        <x:v>44624</x:v>
      </x:c>
      <x:c r="B1612" s="197" t="n">
        <x:v>116.6503</x:v>
      </x:c>
    </x:row>
    <x:row r="1613">
      <x:c r="A1613" s="187" t="n">
        <x:v>44627</x:v>
      </x:c>
      <x:c r="B1613" s="197" t="n">
        <x:v>117.3278</x:v>
      </x:c>
    </x:row>
    <x:row r="1614">
      <x:c r="A1614" s="187" t="n">
        <x:v>44628</x:v>
      </x:c>
      <x:c r="B1614" s="197" t="n">
        <x:v>117.6176</x:v>
      </x:c>
    </x:row>
    <x:row r="1615">
      <x:c r="A1615" s="187" t="n">
        <x:v>44629</x:v>
      </x:c>
      <x:c r="B1615" s="197" t="n">
        <x:v>116.5961</x:v>
      </x:c>
    </x:row>
    <x:row r="1616">
      <x:c r="A1616" s="187" t="n">
        <x:v>44630</x:v>
      </x:c>
      <x:c r="B1616" s="197" t="n">
        <x:v>116.7401</x:v>
      </x:c>
    </x:row>
    <x:row r="1617">
      <x:c r="A1617" s="187" t="n">
        <x:v>44631</x:v>
      </x:c>
      <x:c r="B1617" s="197" t="n">
        <x:v>117.0192</x:v>
      </x:c>
    </x:row>
    <x:row r="1618">
      <x:c r="A1618" s="187" t="n">
        <x:v>44634</x:v>
      </x:c>
      <x:c r="B1618" s="197" t="n">
        <x:v>117.1506</x:v>
      </x:c>
    </x:row>
    <x:row r="1619">
      <x:c r="A1619" s="187" t="n">
        <x:v>44635</x:v>
      </x:c>
      <x:c r="B1619" s="197" t="n">
        <x:v>117.246</x:v>
      </x:c>
    </x:row>
    <x:row r="1620">
      <x:c r="A1620" s="187" t="n">
        <x:v>44636</x:v>
      </x:c>
      <x:c r="B1620" s="197" t="n">
        <x:v>116.8073</x:v>
      </x:c>
    </x:row>
    <x:row r="1621">
      <x:c r="A1621" s="187" t="n">
        <x:v>44637</x:v>
      </x:c>
      <x:c r="B1621" s="197" t="n">
        <x:v>116.0467</x:v>
      </x:c>
    </x:row>
    <x:row r="1622">
      <x:c r="A1622" s="187" t="n">
        <x:v>44638</x:v>
      </x:c>
      <x:c r="B1622" s="197" t="n">
        <x:v>116.1378</x:v>
      </x:c>
    </x:row>
    <x:row r="1623">
      <x:c r="A1623" s="187" t="n">
        <x:v>44641</x:v>
      </x:c>
      <x:c r="B1623" s="197" t="n">
        <x:v>115.9398</x:v>
      </x:c>
    </x:row>
    <x:row r="1624">
      <x:c r="A1624" s="187" t="n">
        <x:v>44642</x:v>
      </x:c>
      <x:c r="B1624" s="197" t="n">
        <x:v>116.0824</x:v>
      </x:c>
    </x:row>
    <x:row r="1625">
      <x:c r="A1625" s="187" t="n">
        <x:v>44643</x:v>
      </x:c>
      <x:c r="B1625" s="197" t="n">
        <x:v>116.005</x:v>
      </x:c>
    </x:row>
    <x:row r="1626">
      <x:c r="A1626" s="187" t="n">
        <x:v>44644</x:v>
      </x:c>
      <x:c r="B1626" s="197" t="n">
        <x:v>115.9599</x:v>
      </x:c>
    </x:row>
    <x:row r="1627">
      <x:c r="A1627" s="187" t="n">
        <x:v>44645</x:v>
      </x:c>
      <x:c r="B1627" s="197" t="n">
        <x:v>115.7921</x:v>
      </x:c>
    </x:row>
    <x:row r="1628">
      <x:c r="A1628" s="187" t="n">
        <x:v>44648</x:v>
      </x:c>
      <x:c r="B1628" s="197" t="n">
        <x:v>116.1911</x:v>
      </x:c>
    </x:row>
    <x:row r="1629">
      <x:c r="A1629" s="187" t="n">
        <x:v>44649</x:v>
      </x:c>
      <x:c r="B1629" s="197" t="n">
        <x:v>115.5679</x:v>
      </x:c>
    </x:row>
    <x:row r="1630">
      <x:c r="A1630" s="187" t="n">
        <x:v>44650</x:v>
      </x:c>
      <x:c r="B1630" s="197" t="n">
        <x:v>115.0818</x:v>
      </x:c>
    </x:row>
    <x:row r="1631">
      <x:c r="A1631" s="187" t="n">
        <x:v>44651</x:v>
      </x:c>
      <x:c r="B1631" s="197" t="n">
        <x:v>115.2218</x:v>
      </x:c>
    </x:row>
    <x:row r="1632">
      <x:c r="A1632" s="187" t="n">
        <x:v>44652</x:v>
      </x:c>
      <x:c r="B1632" s="197" t="n">
        <x:v>115.4814</x:v>
      </x:c>
    </x:row>
    <x:row r="1633">
      <x:c r="A1633" s="187" t="n">
        <x:v>44655</x:v>
      </x:c>
      <x:c r="B1633" s="197" t="n">
        <x:v>115.4112</x:v>
      </x:c>
    </x:row>
    <x:row r="1634">
      <x:c r="A1634" s="187" t="n">
        <x:v>44656</x:v>
      </x:c>
      <x:c r="B1634" s="197" t="n">
        <x:v>115.73</x:v>
      </x:c>
    </x:row>
    <x:row r="1635">
      <x:c r="A1635" s="187" t="n">
        <x:v>44657</x:v>
      </x:c>
      <x:c r="B1635" s="197" t="n">
        <x:v>115.9995</x:v>
      </x:c>
    </x:row>
    <x:row r="1636">
      <x:c r="A1636" s="187" t="n">
        <x:v>44658</x:v>
      </x:c>
      <x:c r="B1636" s="197" t="n">
        <x:v>116.3512</x:v>
      </x:c>
    </x:row>
    <x:row r="1637">
      <x:c r="A1637" s="187" t="n">
        <x:v>44659</x:v>
      </x:c>
      <x:c r="B1637" s="197" t="n">
        <x:v>116.4176</x:v>
      </x:c>
    </x:row>
    <x:row r="1638">
      <x:c r="A1638" s="187" t="n">
        <x:v>44662</x:v>
      </x:c>
      <x:c r="B1638" s="197" t="n">
        <x:v>116.5401</x:v>
      </x:c>
    </x:row>
    <x:row r="1639">
      <x:c r="A1639" s="187" t="n">
        <x:v>44663</x:v>
      </x:c>
      <x:c r="B1639" s="197" t="n">
        <x:v>116.3866</x:v>
      </x:c>
    </x:row>
    <x:row r="1640">
      <x:c r="A1640" s="187" t="n">
        <x:v>44664</x:v>
      </x:c>
      <x:c r="B1640" s="197" t="n">
        <x:v>116.2796</x:v>
      </x:c>
    </x:row>
    <x:row r="1641">
      <x:c r="A1641" s="187" t="n">
        <x:v>44665</x:v>
      </x:c>
      <x:c r="B1641" s="197" t="n">
        <x:v>116.7558</x:v>
      </x:c>
    </x:row>
    <x:row r="1642">
      <x:c r="A1642" s="187" t="n">
        <x:v>44666</x:v>
      </x:c>
      <x:c r="B1642" s="197" t="n">
        <x:v>116.7017</x:v>
      </x:c>
    </x:row>
    <x:row r="1643">
      <x:c r="A1643" s="187" t="n">
        <x:v>44669</x:v>
      </x:c>
      <x:c r="B1643" s="197" t="n">
        <x:v>116.8441</x:v>
      </x:c>
    </x:row>
    <x:row r="1644">
      <x:c r="A1644" s="187" t="n">
        <x:v>44670</x:v>
      </x:c>
      <x:c r="B1644" s="197" t="n">
        <x:v>117.1324</x:v>
      </x:c>
    </x:row>
    <x:row r="1645">
      <x:c r="A1645" s="187" t="n">
        <x:v>44671</x:v>
      </x:c>
      <x:c r="B1645" s="197" t="n">
        <x:v>116.7306</x:v>
      </x:c>
    </x:row>
    <x:row r="1646">
      <x:c r="A1646" s="187" t="n">
        <x:v>44672</x:v>
      </x:c>
      <x:c r="B1646" s="197" t="n">
        <x:v>117.1432</x:v>
      </x:c>
    </x:row>
    <x:row r="1647">
      <x:c r="A1647" s="187" t="n">
        <x:v>44673</x:v>
      </x:c>
      <x:c r="B1647" s="197" t="n">
        <x:v>118.0186</x:v>
      </x:c>
    </x:row>
    <x:row r="1648">
      <x:c r="A1648" s="187" t="n">
        <x:v>44676</x:v>
      </x:c>
      <x:c r="B1648" s="197" t="n">
        <x:v>118.6271</x:v>
      </x:c>
    </x:row>
    <x:row r="1649">
      <x:c r="A1649" s="187" t="n">
        <x:v>44677</x:v>
      </x:c>
      <x:c r="B1649" s="197" t="n">
        <x:v>118.9624</x:v>
      </x:c>
    </x:row>
    <x:row r="1650">
      <x:c r="A1650" s="187" t="n">
        <x:v>44678</x:v>
      </x:c>
      <x:c r="B1650" s="197" t="n">
        <x:v>119.4708</x:v>
      </x:c>
    </x:row>
    <x:row r="1651">
      <x:c r="A1651" s="187" t="n">
        <x:v>44679</x:v>
      </x:c>
      <x:c r="B1651" s="197" t="n">
        <x:v>120.0675</x:v>
      </x:c>
    </x:row>
    <x:row r="1652">
      <x:c r="A1652" s="187" t="n">
        <x:v>44680</x:v>
      </x:c>
      <x:c r="B1652" s="197" t="n">
        <x:v>119.4933</x:v>
      </x:c>
    </x:row>
    <x:row r="1653">
      <x:c r="A1653" s="187" t="n">
        <x:v>44683</x:v>
      </x:c>
      <x:c r="B1653" s="197" t="n">
        <x:v>119.8825</x:v>
      </x:c>
    </x:row>
    <x:row r="1654">
      <x:c r="A1654" s="187" t="n">
        <x:v>44684</x:v>
      </x:c>
      <x:c r="B1654" s="197" t="n">
        <x:v>119.7043</x:v>
      </x:c>
    </x:row>
    <x:row r="1655">
      <x:c r="A1655" s="187" t="n">
        <x:v>44685</x:v>
      </x:c>
      <x:c r="B1655" s="197" t="n">
        <x:v>119.5592</x:v>
      </x:c>
    </x:row>
    <x:row r="1656">
      <x:c r="A1656" s="187" t="n">
        <x:v>44686</x:v>
      </x:c>
      <x:c r="B1656" s="197" t="n">
        <x:v>120.0068</x:v>
      </x:c>
    </x:row>
    <x:row r="1657">
      <x:c r="A1657" s="187" t="n">
        <x:v>44687</x:v>
      </x:c>
      <x:c r="B1657" s="197" t="n">
        <x:v>119.8577</x:v>
      </x:c>
    </x:row>
    <x:row r="1658">
      <x:c r="A1658" s="187" t="n">
        <x:v>44690</x:v>
      </x:c>
      <x:c r="B1658" s="197" t="n">
        <x:v>120.4972</x:v>
      </x:c>
    </x:row>
    <x:row r="1659">
      <x:c r="A1659" s="187" t="n">
        <x:v>44691</x:v>
      </x:c>
      <x:c r="B1659" s="197" t="n">
        <x:v>120.7742</x:v>
      </x:c>
    </x:row>
    <x:row r="1660">
      <x:c r="A1660" s="187" t="n">
        <x:v>44692</x:v>
      </x:c>
      <x:c r="B1660" s="197" t="n">
        <x:v>120.3925</x:v>
      </x:c>
    </x:row>
    <x:row r="1661">
      <x:c r="A1661" s="187" t="n">
        <x:v>44693</x:v>
      </x:c>
      <x:c r="B1661" s="197" t="n">
        <x:v>121.2796</x:v>
      </x:c>
    </x:row>
    <x:row r="1662">
      <x:c r="A1662" s="187" t="n">
        <x:v>44694</x:v>
      </x:c>
      <x:c r="B1662" s="197" t="n">
        <x:v>120.8442</x:v>
      </x:c>
    </x:row>
    <x:row r="1663">
      <x:c r="A1663" s="187" t="n">
        <x:v>44697</x:v>
      </x:c>
      <x:c r="B1663" s="197" t="n">
        <x:v>120.6881</x:v>
      </x:c>
    </x:row>
    <x:row r="1664">
      <x:c r="A1664" s="187" t="n">
        <x:v>44698</x:v>
      </x:c>
      <x:c r="B1664" s="197" t="n">
        <x:v>119.8871</x:v>
      </x:c>
    </x:row>
    <x:row r="1665">
      <x:c r="A1665" s="187" t="n">
        <x:v>44699</x:v>
      </x:c>
      <x:c r="B1665" s="197" t="n">
        <x:v>120.0274</x:v>
      </x:c>
    </x:row>
    <x:row r="1666">
      <x:c r="A1666" s="187" t="n">
        <x:v>44700</x:v>
      </x:c>
      <x:c r="B1666" s="197" t="n">
        <x:v>119.4278</x:v>
      </x:c>
    </x:row>
    <x:row r="1667">
      <x:c r="A1667" s="187" t="n">
        <x:v>44701</x:v>
      </x:c>
      <x:c r="B1667" s="197" t="n">
        <x:v>119.3677</x:v>
      </x:c>
    </x:row>
    <x:row r="1668">
      <x:c r="A1668" s="187" t="n">
        <x:v>44704</x:v>
      </x:c>
      <x:c r="B1668" s="197" t="n">
        <x:v>118.7169</x:v>
      </x:c>
    </x:row>
    <x:row r="1669">
      <x:c r="A1669" s="187" t="n">
        <x:v>44705</x:v>
      </x:c>
      <x:c r="B1669" s="197" t="n">
        <x:v>118.6245</x:v>
      </x:c>
    </x:row>
    <x:row r="1670">
      <x:c r="A1670" s="187" t="n">
        <x:v>44706</x:v>
      </x:c>
      <x:c r="B1670" s="197" t="n">
        <x:v>118.9598</x:v>
      </x:c>
    </x:row>
    <x:row r="1671">
      <x:c r="A1671" s="187" t="n">
        <x:v>44707</x:v>
      </x:c>
      <x:c r="B1671" s="197" t="n">
        <x:v>118.7687</x:v>
      </x:c>
    </x:row>
    <x:row r="1672">
      <x:c r="A1672" s="187" t="n">
        <x:v>44708</x:v>
      </x:c>
      <x:c r="B1672" s="197" t="n">
        <x:v>118.2834</x:v>
      </x:c>
    </x:row>
    <x:row r="1673">
      <x:c r="A1673" s="187" t="n">
        <x:v>44711</x:v>
      </x:c>
      <x:c r="B1673" s="197"/>
    </x:row>
    <x:row r="1674">
      <x:c r="A1674" s="187" t="n">
        <x:v>44712</x:v>
      </x:c>
      <x:c r="B1674" s="197" t="n">
        <x:v>118.0704</x:v>
      </x:c>
    </x:row>
    <x:row r="1675">
      <x:c r="A1675" s="187" t="n">
        <x:v>44713</x:v>
      </x:c>
      <x:c r="B1675" s="197" t="n">
        <x:v>118.6954</x:v>
      </x:c>
    </x:row>
    <x:row r="1676">
      <x:c r="A1676" s="187" t="n">
        <x:v>44714</x:v>
      </x:c>
      <x:c r="B1676" s="197" t="n">
        <x:v>118.0658</x:v>
      </x:c>
    </x:row>
    <x:row r="1677">
      <x:c r="A1677" s="187" t="n">
        <x:v>44715</x:v>
      </x:c>
      <x:c r="B1677" s="197" t="n">
        <x:v>118.2153</x:v>
      </x:c>
    </x:row>
    <x:row r="1678">
      <x:c r="A1678" s="187" t="n">
        <x:v>44718</x:v>
      </x:c>
      <x:c r="B1678" s="197" t="n">
        <x:v>118.3081</x:v>
      </x:c>
    </x:row>
    <x:row r="1679">
      <x:c r="A1679" s="187" t="n">
        <x:v>44719</x:v>
      </x:c>
      <x:c r="B1679" s="197" t="n">
        <x:v>118.4414</x:v>
      </x:c>
    </x:row>
    <x:row r="1680">
      <x:c r="A1680" s="187" t="n">
        <x:v>44720</x:v>
      </x:c>
      <x:c r="B1680" s="197" t="n">
        <x:v>118.3951</x:v>
      </x:c>
    </x:row>
    <x:row r="1681">
      <x:c r="A1681" s="187" t="n">
        <x:v>44721</x:v>
      </x:c>
      <x:c r="B1681" s="197" t="n">
        <x:v>118.9226</x:v>
      </x:c>
    </x:row>
    <x:row r="1682">
      <x:c r="A1682" s="187" t="n">
        <x:v>44722</x:v>
      </x:c>
      <x:c r="B1682" s="197" t="n">
        <x:v>119.9981</x:v>
      </x:c>
    </x:row>
    <x:row r="1683">
      <x:c r="A1683" s="187" t="n">
        <x:v>44725</x:v>
      </x:c>
      <x:c r="B1683" s="197" t="n">
        <x:v>121.1523</x:v>
      </x:c>
    </x:row>
    <x:row r="1684">
      <x:c r="A1684" s="187" t="n">
        <x:v>44726</x:v>
      </x:c>
      <x:c r="B1684" s="197" t="n">
        <x:v>121.6669</x:v>
      </x:c>
    </x:row>
    <x:row r="1685">
      <x:c r="A1685" s="187" t="n">
        <x:v>44727</x:v>
      </x:c>
      <x:c r="B1685" s="197" t="n">
        <x:v>121.6403</x:v>
      </x:c>
    </x:row>
    <x:row r="1686">
      <x:c r="A1686" s="187" t="n">
        <x:v>44728</x:v>
      </x:c>
      <x:c r="B1686" s="197" t="n">
        <x:v>120.6714</x:v>
      </x:c>
    </x:row>
    <x:row r="1687">
      <x:c r="A1687" s="187" t="n">
        <x:v>44729</x:v>
      </x:c>
      <x:c r="B1687" s="197" t="n">
        <x:v>121.2369</x:v>
      </x:c>
    </x:row>
    <x:row r="1688">
      <x:c r="A1688" s="187" t="n">
        <x:v>44732</x:v>
      </x:c>
      <x:c r="B1688" s="197"/>
    </x:row>
    <x:row r="1689">
      <x:c r="A1689" s="187" t="n">
        <x:v>44733</x:v>
      </x:c>
      <x:c r="B1689" s="197" t="n">
        <x:v>120.6427</x:v>
      </x:c>
    </x:row>
    <x:row r="1690">
      <x:c r="A1690" s="187" t="n">
        <x:v>44734</x:v>
      </x:c>
      <x:c r="B1690" s="197" t="n">
        <x:v>120.5197</x:v>
      </x:c>
    </x:row>
    <x:row r="1691">
      <x:c r="A1691" s="187" t="n">
        <x:v>44735</x:v>
      </x:c>
      <x:c r="B1691" s="197" t="n">
        <x:v>120.7622</x:v>
      </x:c>
    </x:row>
    <x:row r="1692">
      <x:c r="A1692" s="187" t="n">
        <x:v>44736</x:v>
      </x:c>
      <x:c r="B1692" s="197" t="n">
        <x:v>120.4853</x:v>
      </x:c>
    </x:row>
    <x:row r="1693">
      <x:c r="A1693" s="187" t="n">
        <x:v>44739</x:v>
      </x:c>
      <x:c r="B1693" s="197" t="n">
        <x:v>120.1736</x:v>
      </x:c>
    </x:row>
    <x:row r="1694">
      <x:c r="A1694" s="187" t="n">
        <x:v>44740</x:v>
      </x:c>
      <x:c r="B1694" s="197" t="n">
        <x:v>120.62</x:v>
      </x:c>
    </x:row>
    <x:row r="1695">
      <x:c r="A1695" s="187" t="n">
        <x:v>44741</x:v>
      </x:c>
      <x:c r="B1695" s="197" t="n">
        <x:v>120.9616</x:v>
      </x:c>
    </x:row>
    <x:row r="1696">
      <x:c r="A1696" s="187" t="n">
        <x:v>44742</x:v>
      </x:c>
      <x:c r="B1696" s="197" t="n">
        <x:v>120.9652</x:v>
      </x:c>
    </x:row>
    <x:row r="1697">
      <x:c r="A1697" s="187" t="n">
        <x:v>44743</x:v>
      </x:c>
      <x:c r="B1697" s="197" t="n">
        <x:v>121.5058</x:v>
      </x:c>
    </x:row>
    <x:row r="1698">
      <x:c r="A1698" s="187" t="n">
        <x:v>44746</x:v>
      </x:c>
      <x:c r="B1698" s="197"/>
    </x:row>
    <x:row r="1699">
      <x:c r="A1699" s="187" t="n">
        <x:v>44747</x:v>
      </x:c>
      <x:c r="B1699" s="197" t="n">
        <x:v>122.6203</x:v>
      </x:c>
    </x:row>
    <x:row r="1700">
      <x:c r="A1700" s="187" t="n">
        <x:v>44748</x:v>
      </x:c>
      <x:c r="B1700" s="197" t="n">
        <x:v>123.0073</x:v>
      </x:c>
    </x:row>
    <x:row r="1701">
      <x:c r="A1701" s="187" t="n">
        <x:v>44749</x:v>
      </x:c>
      <x:c r="B1701" s="197" t="n">
        <x:v>122.7257</x:v>
      </x:c>
    </x:row>
    <x:row r="1702">
      <x:c r="A1702" s="187" t="n">
        <x:v>44750</x:v>
      </x:c>
      <x:c r="B1702" s="197" t="n">
        <x:v>122.4662</x:v>
      </x:c>
    </x:row>
    <x:row r="1703">
      <x:c r="A1703" s="187" t="n">
        <x:v>44753</x:v>
      </x:c>
      <x:c r="B1703" s="197" t="n">
        <x:v>123.2974</x:v>
      </x:c>
    </x:row>
    <x:row r="1704">
      <x:c r="A1704" s="187" t="n">
        <x:v>44754</x:v>
      </x:c>
      <x:c r="B1704" s="197" t="n">
        <x:v>123.4524</x:v>
      </x:c>
    </x:row>
    <x:row r="1705">
      <x:c r="A1705" s="187" t="n">
        <x:v>44755</x:v>
      </x:c>
      <x:c r="B1705" s="197" t="n">
        <x:v>123.2834</x:v>
      </x:c>
    </x:row>
    <x:row r="1706">
      <x:c r="A1706" s="187" t="n">
        <x:v>44756</x:v>
      </x:c>
      <x:c r="B1706" s="197" t="n">
        <x:v>124.0622</x:v>
      </x:c>
    </x:row>
    <x:row r="1707">
      <x:c r="A1707" s="187" t="n">
        <x:v>44757</x:v>
      </x:c>
      <x:c r="B1707" s="197" t="n">
        <x:v>123.4765</x:v>
      </x:c>
    </x:row>
    <x:row r="1708">
      <x:c r="A1708" s="187" t="n">
        <x:v>44760</x:v>
      </x:c>
      <x:c r="B1708" s="197" t="n">
        <x:v>122.7727</x:v>
      </x:c>
    </x:row>
    <x:row r="1709">
      <x:c r="A1709" s="187" t="n">
        <x:v>44761</x:v>
      </x:c>
      <x:c r="B1709" s="197" t="n">
        <x:v>122.4819</x:v>
      </x:c>
    </x:row>
    <x:row r="1710">
      <x:c r="A1710" s="187" t="n">
        <x:v>44762</x:v>
      </x:c>
      <x:c r="B1710" s="197" t="n">
        <x:v>122.5997</x:v>
      </x:c>
    </x:row>
    <x:row r="1711">
      <x:c r="A1711" s="187" t="n">
        <x:v>44763</x:v>
      </x:c>
      <x:c r="B1711" s="197" t="n">
        <x:v>122.9032</x:v>
      </x:c>
    </x:row>
    <x:row r="1712">
      <x:c r="A1712" s="187" t="n">
        <x:v>44764</x:v>
      </x:c>
      <x:c r="B1712" s="197" t="n">
        <x:v>122.451</x:v>
      </x:c>
    </x:row>
    <x:row r="1713">
      <x:c r="A1713" s="187" t="n">
        <x:v>44767</x:v>
      </x:c>
      <x:c r="B1713" s="197" t="n">
        <x:v>122.4594</x:v>
      </x:c>
    </x:row>
    <x:row r="1714">
      <x:c r="A1714" s="187" t="n">
        <x:v>44768</x:v>
      </x:c>
      <x:c r="B1714" s="197" t="n">
        <x:v>122.7581</x:v>
      </x:c>
    </x:row>
    <x:row r="1715">
      <x:c r="A1715" s="187" t="n">
        <x:v>44769</x:v>
      </x:c>
      <x:c r="B1715" s="197" t="n">
        <x:v>122.8169</x:v>
      </x:c>
    </x:row>
    <x:row r="1716">
      <x:c r="A1716" s="187" t="n">
        <x:v>44770</x:v>
      </x:c>
      <x:c r="B1716" s="197" t="n">
        <x:v>122.1161</x:v>
      </x:c>
    </x:row>
    <x:row r="1717">
      <x:c r="A1717" s="187" t="n">
        <x:v>44771</x:v>
      </x:c>
      <x:c r="B1717" s="197" t="n">
        <x:v>121.7678</x:v>
      </x:c>
    </x:row>
    <x:row r="1718">
      <x:c r="A1718" s="187" t="n">
        <x:v>44774</x:v>
      </x:c>
      <x:c r="B1718" s="197" t="n">
        <x:v>121.4109</x:v>
      </x:c>
    </x:row>
    <x:row r="1719">
      <x:c r="A1719" s="187" t="n">
        <x:v>44775</x:v>
      </x:c>
      <x:c r="B1719" s="197" t="n">
        <x:v>121.9486</x:v>
      </x:c>
    </x:row>
    <x:row r="1720">
      <x:c r="A1720" s="187" t="n">
        <x:v>44776</x:v>
      </x:c>
      <x:c r="B1720" s="197" t="n">
        <x:v>122.3888</x:v>
      </x:c>
    </x:row>
    <x:row r="1721">
      <x:c r="A1721" s="187" t="n">
        <x:v>44777</x:v>
      </x:c>
      <x:c r="B1721" s="197" t="n">
        <x:v>121.8333</x:v>
      </x:c>
    </x:row>
    <x:row r="1722">
      <x:c r="A1722" s="187" t="n">
        <x:v>44778</x:v>
      </x:c>
      <x:c r="B1722" s="197" t="n">
        <x:v>122.321</x:v>
      </x:c>
    </x:row>
    <x:row r="1723">
      <x:c r="A1723" s="187" t="n">
        <x:v>44781</x:v>
      </x:c>
      <x:c r="B1723" s="197" t="n">
        <x:v>121.8783</x:v>
      </x:c>
    </x:row>
    <x:row r="1724">
      <x:c r="A1724" s="187" t="n">
        <x:v>44782</x:v>
      </x:c>
      <x:c r="B1724" s="197" t="n">
        <x:v>121.8614</x:v>
      </x:c>
    </x:row>
    <x:row r="1725">
      <x:c r="A1725" s="187" t="n">
        <x:v>44783</x:v>
      </x:c>
      <x:c r="B1725" s="197" t="n">
        <x:v>120.7543</x:v>
      </x:c>
    </x:row>
    <x:row r="1726">
      <x:c r="A1726" s="187" t="n">
        <x:v>44784</x:v>
      </x:c>
      <x:c r="B1726" s="197" t="n">
        <x:v>120.7163</x:v>
      </x:c>
    </x:row>
    <x:row r="1727">
      <x:c r="A1727" s="187" t="n">
        <x:v>44785</x:v>
      </x:c>
      <x:c r="B1727" s="197" t="n">
        <x:v>121.018</x:v>
      </x:c>
    </x:row>
    <x:row r="1728">
      <x:c r="A1728" s="187" t="n">
        <x:v>44788</x:v>
      </x:c>
      <x:c r="B1728" s="197" t="n">
        <x:v>121.4315</x:v>
      </x:c>
    </x:row>
    <x:row r="1729">
      <x:c r="A1729" s="187" t="n">
        <x:v>44789</x:v>
      </x:c>
      <x:c r="B1729" s="197" t="n">
        <x:v>121.6807</x:v>
      </x:c>
    </x:row>
    <x:row r="1730">
      <x:c r="A1730" s="187" t="n">
        <x:v>44790</x:v>
      </x:c>
      <x:c r="B1730" s="197" t="n">
        <x:v>122.0711</x:v>
      </x:c>
    </x:row>
    <x:row r="1731">
      <x:c r="A1731" s="187" t="n">
        <x:v>44791</x:v>
      </x:c>
      <x:c r="B1731" s="197" t="n">
        <x:v>122.3627</x:v>
      </x:c>
    </x:row>
    <x:row r="1732">
      <x:c r="A1732" s="187" t="n">
        <x:v>44792</x:v>
      </x:c>
      <x:c r="B1732" s="197" t="n">
        <x:v>123.0501</x:v>
      </x:c>
    </x:row>
    <x:row r="1733">
      <x:c r="A1733" s="187" t="n">
        <x:v>44795</x:v>
      </x:c>
      <x:c r="B1733" s="197" t="n">
        <x:v>123.605</x:v>
      </x:c>
    </x:row>
    <x:row r="1734">
      <x:c r="A1734" s="187" t="n">
        <x:v>44796</x:v>
      </x:c>
      <x:c r="B1734" s="197" t="n">
        <x:v>123.0547</x:v>
      </x:c>
    </x:row>
    <x:row r="1735">
      <x:c r="A1735" s="187" t="n">
        <x:v>44797</x:v>
      </x:c>
      <x:c r="B1735" s="197" t="n">
        <x:v>123.109</x:v>
      </x:c>
    </x:row>
    <x:row r="1736">
      <x:c r="A1736" s="187" t="n">
        <x:v>44798</x:v>
      </x:c>
      <x:c r="B1736" s="197" t="n">
        <x:v>123.0586</x:v>
      </x:c>
    </x:row>
    <x:row r="1737">
      <x:c r="A1737" s="187" t="n">
        <x:v>44799</x:v>
      </x:c>
      <x:c r="B1737" s="197" t="n">
        <x:v>123.0656</x:v>
      </x:c>
    </x:row>
    <x:row r="1738">
      <x:c r="A1738" s="187" t="n">
        <x:v>44802</x:v>
      </x:c>
      <x:c r="B1738" s="197" t="n">
        <x:v>123.4686</x:v>
      </x:c>
    </x:row>
    <x:row r="1739">
      <x:c r="A1739" s="187" t="n">
        <x:v>44803</x:v>
      </x:c>
      <x:c r="B1739" s="197" t="n">
        <x:v>123.6848</x:v>
      </x:c>
    </x:row>
    <x:row r="1740">
      <x:c r="A1740" s="187" t="n">
        <x:v>44804</x:v>
      </x:c>
      <x:c r="B1740" s="197" t="n">
        <x:v>123.535</x:v>
      </x:c>
    </x:row>
    <x:row r="1741">
      <x:c r="A1741" s="187" t="n">
        <x:v>44805</x:v>
      </x:c>
      <x:c r="B1741" s="197" t="n">
        <x:v>124.4006</x:v>
      </x:c>
    </x:row>
    <x:row r="1742">
      <x:c r="A1742" s="187" t="n">
        <x:v>44806</x:v>
      </x:c>
      <x:c r="B1742" s="197" t="n">
        <x:v>123.7743</x:v>
      </x:c>
    </x:row>
    <x:row r="1743">
      <x:c r="A1743" s="187" t="n">
        <x:v>44809</x:v>
      </x:c>
      <x:c r="B1743" s="197"/>
    </x:row>
    <x:row r="1744">
      <x:c r="A1744" s="187" t="n">
        <x:v>44810</x:v>
      </x:c>
      <x:c r="B1744" s="197" t="n">
        <x:v>124.767</x:v>
      </x:c>
    </x:row>
    <x:row r="1745">
      <x:c r="A1745" s="187" t="n">
        <x:v>44811</x:v>
      </x:c>
      <x:c r="B1745" s="197" t="n">
        <x:v>124.8408</x:v>
      </x:c>
    </x:row>
    <x:row r="1746">
      <x:c r="A1746" s="187" t="n">
        <x:v>44812</x:v>
      </x:c>
      <x:c r="B1746" s="197" t="n">
        <x:v>124.578</x:v>
      </x:c>
    </x:row>
    <x:row r="1747">
      <x:c r="A1747" s="187" t="n">
        <x:v>44813</x:v>
      </x:c>
      <x:c r="B1747" s="197" t="n">
        <x:v>123.7874</x:v>
      </x:c>
    </x:row>
    <x:row r="1748">
      <x:c r="A1748" s="187" t="n">
        <x:v>44816</x:v>
      </x:c>
      <x:c r="B1748" s="197" t="n">
        <x:v>123.3332</x:v>
      </x:c>
    </x:row>
    <x:row r="1749">
      <x:c r="A1749" s="187" t="n">
        <x:v>44817</x:v>
      </x:c>
      <x:c r="B1749" s="197" t="n">
        <x:v>124.4242</x:v>
      </x:c>
    </x:row>
    <x:row r="1750">
      <x:c r="A1750" s="187" t="n">
        <x:v>44818</x:v>
      </x:c>
      <x:c r="B1750" s="197" t="n">
        <x:v>124.4509</x:v>
      </x:c>
    </x:row>
    <x:row r="1751">
      <x:c r="A1751" s="187" t="n">
        <x:v>44819</x:v>
      </x:c>
      <x:c r="B1751" s="197" t="n">
        <x:v>124.8843</x:v>
      </x:c>
    </x:row>
    <x:row r="1752">
      <x:c r="A1752" s="187" t="n">
        <x:v>44820</x:v>
      </x:c>
      <x:c r="B1752" s="197" t="n">
        <x:v>124.8794</x:v>
      </x:c>
    </x:row>
    <x:row r="1753">
      <x:c r="A1753" s="187" t="n">
        <x:v>44823</x:v>
      </x:c>
      <x:c r="B1753" s="197" t="n">
        <x:v>125.0104</x:v>
      </x:c>
    </x:row>
    <x:row r="1754">
      <x:c r="A1754" s="187" t="n">
        <x:v>44824</x:v>
      </x:c>
      <x:c r="B1754" s="197" t="n">
        <x:v>125.1248</x:v>
      </x:c>
    </x:row>
    <x:row r="1755">
      <x:c r="A1755" s="187" t="n">
        <x:v>44825</x:v>
      </x:c>
      <x:c r="B1755" s="197" t="n">
        <x:v>125.7399</x:v>
      </x:c>
    </x:row>
    <x:row r="1756">
      <x:c r="A1756" s="187" t="n">
        <x:v>44826</x:v>
      </x:c>
      <x:c r="B1756" s="197" t="n">
        <x:v>126.1667</x:v>
      </x:c>
    </x:row>
    <x:row r="1757">
      <x:c r="A1757" s="187" t="n">
        <x:v>44827</x:v>
      </x:c>
      <x:c r="B1757" s="197" t="n">
        <x:v>127.2853</x:v>
      </x:c>
    </x:row>
    <x:row r="1758">
      <x:c r="A1758" s="187" t="n">
        <x:v>44830</x:v>
      </x:c>
      <x:c r="B1758" s="197" t="n">
        <x:v>128.4539</x:v>
      </x:c>
    </x:row>
    <x:row r="1759">
      <x:c r="A1759" s="187" t="n">
        <x:v>44831</x:v>
      </x:c>
      <x:c r="B1759" s="197" t="n">
        <x:v>128.4386</x:v>
      </x:c>
    </x:row>
    <x:row r="1760">
      <x:c r="A1760" s="187" t="n">
        <x:v>44832</x:v>
      </x:c>
      <x:c r="B1760" s="197" t="n">
        <x:v>128.0884</x:v>
      </x:c>
    </x:row>
    <x:row r="1761">
      <x:c r="A1761" s="187" t="n">
        <x:v>44833</x:v>
      </x:c>
      <x:c r="B1761" s="197" t="n">
        <x:v>127.5437</x:v>
      </x:c>
    </x:row>
    <x:row r="1762">
      <x:c r="A1762" s="187" t="n">
        <x:v>44834</x:v>
      </x:c>
      <x:c r="B1762" s="197" t="n">
        <x:v>127.5148</x:v>
      </x:c>
    </x:row>
    <x:row r="1763">
      <x:c r="A1763" s="187" t="n">
        <x:v>44837</x:v>
      </x:c>
      <x:c r="B1763" s="197" t="n">
        <x:v>127.0813</x:v>
      </x:c>
    </x:row>
    <x:row r="1764">
      <x:c r="A1764" s="187" t="n">
        <x:v>44838</x:v>
      </x:c>
      <x:c r="B1764" s="197" t="n">
        <x:v>126.1819</x:v>
      </x:c>
    </x:row>
    <x:row r="1765">
      <x:c r="A1765" s="187" t="n">
        <x:v>44839</x:v>
      </x:c>
      <x:c r="B1765" s="197" t="n">
        <x:v>126.8616</x:v>
      </x:c>
    </x:row>
    <x:row r="1766">
      <x:c r="A1766" s="187" t="n">
        <x:v>44840</x:v>
      </x:c>
      <x:c r="B1766" s="197" t="n">
        <x:v>127.2493</x:v>
      </x:c>
    </x:row>
    <x:row r="1767">
      <x:c r="A1767" s="187" t="n">
        <x:v>44841</x:v>
      </x:c>
      <x:c r="B1767" s="197" t="n">
        <x:v>127.3111</x:v>
      </x:c>
    </x:row>
    <x:row r="1768">
      <x:c r="A1768" s="187" t="n">
        <x:v>44844</x:v>
      </x:c>
      <x:c r="B1768" s="197"/>
    </x:row>
    <x:row r="1769">
      <x:c r="A1769" s="187" t="n">
        <x:v>44845</x:v>
      </x:c>
      <x:c r="B1769" s="197" t="n">
        <x:v>127.6641</x:v>
      </x:c>
    </x:row>
    <x:row r="1770">
      <x:c r="A1770" s="187" t="n">
        <x:v>44846</x:v>
      </x:c>
      <x:c r="B1770" s="197" t="n">
        <x:v>128.1481</x:v>
      </x:c>
    </x:row>
    <x:row r="1771">
      <x:c r="A1771" s="187" t="n">
        <x:v>44847</x:v>
      </x:c>
      <x:c r="B1771" s="197" t="n">
        <x:v>127.7286</x:v>
      </x:c>
    </x:row>
    <x:row r="1772">
      <x:c r="A1772" s="187" t="n">
        <x:v>44848</x:v>
      </x:c>
      <x:c r="B1772" s="197" t="n">
        <x:v>128.3325</x:v>
      </x:c>
    </x:row>
    <x:row r="1773">
      <x:c r="A1773" s="187" t="n">
        <x:v>44851</x:v>
      </x:c>
      <x:c r="B1773" s="197" t="n">
        <x:v>127.6448</x:v>
      </x:c>
    </x:row>
    <x:row r="1774">
      <x:c r="A1774" s="187" t="n">
        <x:v>44852</x:v>
      </x:c>
      <x:c r="B1774" s="197" t="n">
        <x:v>127.9153</x:v>
      </x:c>
    </x:row>
    <x:row r="1775">
      <x:c r="A1775" s="187" t="n">
        <x:v>44853</x:v>
      </x:c>
      <x:c r="B1775" s="197" t="n">
        <x:v>128.3968</x:v>
      </x:c>
    </x:row>
    <x:row r="1776">
      <x:c r="A1776" s="187" t="n">
        <x:v>44854</x:v>
      </x:c>
      <x:c r="B1776" s="197" t="n">
        <x:v>128.0052</x:v>
      </x:c>
    </x:row>
    <x:row r="1777">
      <x:c r="A1777" s="187" t="n">
        <x:v>44855</x:v>
      </x:c>
      <x:c r="B1777" s="197" t="n">
        <x:v>127.6735</x:v>
      </x:c>
    </x:row>
    <x:row r="1778">
      <x:c r="A1778" s="187" t="n">
        <x:v>44858</x:v>
      </x:c>
      <x:c r="B1778" s="197" t="n">
        <x:v>128.0304</x:v>
      </x:c>
    </x:row>
    <x:row r="1779">
      <x:c r="A1779" s="187" t="n">
        <x:v>44859</x:v>
      </x:c>
      <x:c r="B1779" s="197" t="n">
        <x:v>127.3771</x:v>
      </x:c>
    </x:row>
    <x:row r="1780">
      <x:c r="A1780" s="187" t="n">
        <x:v>44860</x:v>
      </x:c>
      <x:c r="B1780" s="197" t="n">
        <x:v>126.4723</x:v>
      </x:c>
    </x:row>
    <x:row r="1781">
      <x:c r="A1781" s="187" t="n">
        <x:v>44861</x:v>
      </x:c>
      <x:c r="B1781" s="197" t="n">
        <x:v>126.7028</x:v>
      </x:c>
    </x:row>
    <x:row r="1782">
      <x:c r="A1782" s="187" t="n">
        <x:v>44862</x:v>
      </x:c>
      <x:c r="B1782" s="197" t="n">
        <x:v>127.2135</x:v>
      </x:c>
    </x:row>
    <x:row r="1783">
      <x:c r="A1783" s="187" t="n">
        <x:v>44865</x:v>
      </x:c>
      <x:c r="B1783" s="197" t="n">
        <x:v>127.6219</x:v>
      </x:c>
    </x:row>
    <x:row r="1784">
      <x:c r="A1784" s="187" t="n">
        <x:v>44866</x:v>
      </x:c>
      <x:c r="B1784" s="197" t="n">
        <x:v>127.3987</x:v>
      </x:c>
    </x:row>
    <x:row r="1785">
      <x:c r="A1785" s="187" t="n">
        <x:v>44867</x:v>
      </x:c>
      <x:c r="B1785" s="197" t="n">
        <x:v>127.3115</x:v>
      </x:c>
    </x:row>
    <x:row r="1786">
      <x:c r="A1786" s="187" t="n">
        <x:v>44868</x:v>
      </x:c>
      <x:c r="B1786" s="197" t="n">
        <x:v>128.1743</x:v>
      </x:c>
    </x:row>
    <x:row r="1787">
      <x:c r="A1787" s="187" t="n">
        <x:v>44869</x:v>
      </x:c>
      <x:c r="B1787" s="197" t="n">
        <x:v>127.1468</x:v>
      </x:c>
    </x:row>
    <x:row r="1788">
      <x:c r="A1788" s="187" t="n">
        <x:v>44872</x:v>
      </x:c>
      <x:c r="B1788" s="197" t="n">
        <x:v>126.3062</x:v>
      </x:c>
    </x:row>
    <x:row r="1789">
      <x:c r="A1789" s="187" t="n">
        <x:v>44873</x:v>
      </x:c>
      <x:c r="B1789" s="197" t="n">
        <x:v>125.633</x:v>
      </x:c>
    </x:row>
    <x:row r="1790">
      <x:c r="A1790" s="187" t="n">
        <x:v>44874</x:v>
      </x:c>
      <x:c r="B1790" s="197" t="n">
        <x:v>125.9861</x:v>
      </x:c>
    </x:row>
    <x:row r="1791">
      <x:c r="A1791" s="187" t="n">
        <x:v>44875</x:v>
      </x:c>
      <x:c r="B1791" s="197" t="n">
        <x:v>124.7044</x:v>
      </x:c>
    </x:row>
    <x:row r="1792">
      <x:c r="A1792" s="187" t="n">
        <x:v>44876</x:v>
      </x:c>
      <x:c r="B1792" s="197"/>
    </x:row>
    <x:row r="1793">
      <x:c r="A1793" s="187" t="n">
        <x:v>44879</x:v>
      </x:c>
      <x:c r="B1793" s="197" t="n">
        <x:v>123.4277</x:v>
      </x:c>
    </x:row>
    <x:row r="1794">
      <x:c r="A1794" s="187" t="n">
        <x:v>44880</x:v>
      </x:c>
      <x:c r="B1794" s="197" t="n">
        <x:v>123.039</x:v>
      </x:c>
    </x:row>
    <x:row r="1795">
      <x:c r="A1795" s="187" t="n">
        <x:v>44881</x:v>
      </x:c>
      <x:c r="B1795" s="197" t="n">
        <x:v>123.2817</x:v>
      </x:c>
    </x:row>
    <x:row r="1796">
      <x:c r="A1796" s="187" t="n">
        <x:v>44882</x:v>
      </x:c>
      <x:c r="B1796" s="197" t="n">
        <x:v>123.977</x:v>
      </x:c>
    </x:row>
    <x:row r="1797">
      <x:c r="A1797" s="187" t="n">
        <x:v>44883</x:v>
      </x:c>
      <x:c r="B1797" s="197" t="n">
        <x:v>123.8524</x:v>
      </x:c>
    </x:row>
    <x:row r="1798">
      <x:c r="A1798" s="187" t="n">
        <x:v>44886</x:v>
      </x:c>
      <x:c r="B1798" s="197" t="n">
        <x:v>124.7009</x:v>
      </x:c>
    </x:row>
    <x:row r="1799">
      <x:c r="A1799" s="187" t="n">
        <x:v>44887</x:v>
      </x:c>
      <x:c r="B1799" s="197" t="n">
        <x:v>124.2365</x:v>
      </x:c>
    </x:row>
    <x:row r="1800">
      <x:c r="A1800" s="187" t="n">
        <x:v>44888</x:v>
      </x:c>
      <x:c r="B1800" s="197" t="n">
        <x:v>123.7574</x:v>
      </x:c>
    </x:row>
    <x:row r="1801">
      <x:c r="A1801" s="187" t="n">
        <x:v>44889</x:v>
      </x:c>
      <x:c r="B1801" s="197"/>
    </x:row>
    <x:row r="1802">
      <x:c r="A1802" s="187" t="n">
        <x:v>44890</x:v>
      </x:c>
      <x:c r="B1802" s="197" t="n">
        <x:v>123.3386</x:v>
      </x:c>
    </x:row>
    <x:row r="1803">
      <x:c r="A1803" s="187" t="n">
        <x:v>44893</x:v>
      </x:c>
      <x:c r="B1803" s="197" t="n">
        <x:v>123.6032</x:v>
      </x:c>
    </x:row>
    <x:row r="1804">
      <x:c r="A1804" s="187" t="n">
        <x:v>44894</x:v>
      </x:c>
      <x:c r="B1804" s="197" t="n">
        <x:v>123.6615</x:v>
      </x:c>
    </x:row>
    <x:row r="1805">
      <x:c r="A1805" s="187" t="n">
        <x:v>44895</x:v>
      </x:c>
      <x:c r="B1805" s="197" t="n">
        <x:v>123.5175</x:v>
      </x:c>
    </x:row>
    <x:row r="1806">
      <x:c r="A1806" s="187" t="n">
        <x:v>44896</x:v>
      </x:c>
      <x:c r="B1806" s="197" t="n">
        <x:v>122.0045</x:v>
      </x:c>
    </x:row>
    <x:row r="1807">
      <x:c r="A1807" s="187" t="n">
        <x:v>44897</x:v>
      </x:c>
      <x:c r="B1807" s="197" t="n">
        <x:v>122.0102</x:v>
      </x:c>
    </x:row>
    <x:row r="1808">
      <x:c r="A1808" s="187" t="n">
        <x:v>44900</x:v>
      </x:c>
      <x:c r="B1808" s="197" t="n">
        <x:v>122.6384</x:v>
      </x:c>
    </x:row>
    <x:row r="1809">
      <x:c r="A1809" s="187" t="n">
        <x:v>44901</x:v>
      </x:c>
      <x:c r="B1809" s="197" t="n">
        <x:v>123.0191</x:v>
      </x:c>
    </x:row>
    <x:row r="1810">
      <x:c r="A1810" s="187" t="n">
        <x:v>44902</x:v>
      </x:c>
      <x:c r="B1810" s="197" t="n">
        <x:v>122.7608</x:v>
      </x:c>
    </x:row>
    <x:row r="1811">
      <x:c r="A1811" s="187" t="n">
        <x:v>44903</x:v>
      </x:c>
      <x:c r="B1811" s="197" t="n">
        <x:v>122.4152</x:v>
      </x:c>
    </x:row>
    <x:row r="1812">
      <x:c r="A1812" s="187" t="n">
        <x:v>44904</x:v>
      </x:c>
      <x:c r="B1812" s="197" t="n">
        <x:v>122.4201</x:v>
      </x:c>
    </x:row>
    <x:row r="1813">
      <x:c r="A1813" s="187" t="n">
        <x:v>44907</x:v>
      </x:c>
      <x:c r="B1813" s="197" t="n">
        <x:v>122.7714</x:v>
      </x:c>
    </x:row>
    <x:row r="1814">
      <x:c r="A1814" s="187" t="n">
        <x:v>44908</x:v>
      </x:c>
      <x:c r="B1814" s="197" t="n">
        <x:v>121.8493</x:v>
      </x:c>
    </x:row>
    <x:row r="1815">
      <x:c r="A1815" s="187" t="n">
        <x:v>44909</x:v>
      </x:c>
      <x:c r="B1815" s="197" t="n">
        <x:v>121.8226</x:v>
      </x:c>
    </x:row>
    <x:row r="1816">
      <x:c r="A1816" s="187" t="n">
        <x:v>44910</x:v>
      </x:c>
      <x:c r="B1816" s="197" t="n">
        <x:v>122.5519</x:v>
      </x:c>
    </x:row>
    <x:row r="1817">
      <x:c r="A1817" s="187" t="n">
        <x:v>44911</x:v>
      </x:c>
      <x:c r="B1817" s="197" t="n">
        <x:v>122.6505</x:v>
      </x:c>
    </x:row>
    <x:row r="1818">
      <x:c r="A1818" s="187" t="n">
        <x:v>44914</x:v>
      </x:c>
      <x:c r="B1818" s="197" t="n">
        <x:v>122.5275</x:v>
      </x:c>
    </x:row>
    <x:row r="1819">
      <x:c r="A1819" s="187" t="n">
        <x:v>44915</x:v>
      </x:c>
      <x:c r="B1819" s="197" t="n">
        <x:v>122.1357</x:v>
      </x:c>
    </x:row>
    <x:row r="1820">
      <x:c r="A1820" s="187" t="n">
        <x:v>44916</x:v>
      </x:c>
      <x:c r="B1820" s="197" t="n">
        <x:v>122.2828</x:v>
      </x:c>
    </x:row>
    <x:row r="1821">
      <x:c r="A1821" s="187" t="n">
        <x:v>44917</x:v>
      </x:c>
      <x:c r="B1821" s="197" t="n">
        <x:v>122.2419</x:v>
      </x:c>
    </x:row>
    <x:row r="1822">
      <x:c r="A1822" s="187" t="n">
        <x:v>44918</x:v>
      </x:c>
      <x:c r="B1822" s="197" t="n">
        <x:v>121.9743</x:v>
      </x:c>
    </x:row>
    <x:row r="1823">
      <x:c r="A1823" s="187" t="n">
        <x:v>44921</x:v>
      </x:c>
      <x:c r="B1823" s="197"/>
    </x:row>
    <x:row r="1824">
      <x:c r="A1824" s="187" t="n">
        <x:v>44922</x:v>
      </x:c>
      <x:c r="B1824" s="197" t="n">
        <x:v>121.7539</x:v>
      </x:c>
    </x:row>
    <x:row r="1825">
      <x:c r="A1825" s="187" t="n">
        <x:v>44923</x:v>
      </x:c>
      <x:c r="B1825" s="197" t="n">
        <x:v>122.0075</x:v>
      </x:c>
    </x:row>
    <x:row r="1826">
      <x:c r="A1826" s="187" t="n">
        <x:v>44924</x:v>
      </x:c>
      <x:c r="B1826" s="197" t="n">
        <x:v>121.6577</x:v>
      </x:c>
    </x:row>
    <x:row r="1827">
      <x:c r="A1827" s="187" t="n">
        <x:v>44925</x:v>
      </x:c>
      <x:c r="B1827" s="197" t="n">
        <x:v>121.4256</x:v>
      </x:c>
    </x:row>
    <x:row r="1828">
      <x:c r="A1828" s="187" t="n">
        <x:v>44928</x:v>
      </x:c>
      <x:c r="B1828" s="197"/>
    </x:row>
    <x:row r="1829">
      <x:c r="A1829" s="187" t="n">
        <x:v>44929</x:v>
      </x:c>
      <x:c r="B1829" s="197" t="n">
        <x:v>122.0905</x:v>
      </x:c>
    </x:row>
    <x:row r="1830">
      <x:c r="A1830" s="187" t="n">
        <x:v>44930</x:v>
      </x:c>
      <x:c r="B1830" s="197" t="n">
        <x:v>121.5008</x:v>
      </x:c>
    </x:row>
    <x:row r="1831">
      <x:c r="A1831" s="187" t="n">
        <x:v>44931</x:v>
      </x:c>
      <x:c r="B1831" s="197" t="n">
        <x:v>122.1017</x:v>
      </x:c>
    </x:row>
    <x:row r="1832">
      <x:c r="A1832" s="187" t="n">
        <x:v>44932</x:v>
      </x:c>
      <x:c r="B1832" s="197" t="n">
        <x:v>121.0852</x:v>
      </x:c>
    </x:row>
    <x:row r="1833">
      <x:c r="A1833" s="187" t="n">
        <x:v>44935</x:v>
      </x:c>
      <x:c r="B1833" s="197" t="n">
        <x:v>120.1508</x:v>
      </x:c>
    </x:row>
    <x:row r="1834">
      <x:c r="A1834" s="187" t="n">
        <x:v>44936</x:v>
      </x:c>
      <x:c r="B1834" s="197" t="n">
        <x:v>120.2483</x:v>
      </x:c>
    </x:row>
    <x:row r="1835">
      <x:c r="A1835" s="187" t="n">
        <x:v>44937</x:v>
      </x:c>
      <x:c r="B1835" s="197" t="n">
        <x:v>120.1614</x:v>
      </x:c>
    </x:row>
    <x:row r="1836">
      <x:c r="A1836" s="187" t="n">
        <x:v>44938</x:v>
      </x:c>
      <x:c r="B1836" s="197" t="n">
        <x:v>119.4218</x:v>
      </x:c>
    </x:row>
    <x:row r="1837">
      <x:c r="A1837" s="187" t="n">
        <x:v>44939</x:v>
      </x:c>
      <x:c r="B1837" s="197" t="n">
        <x:v>119.1673</x:v>
      </x:c>
    </x:row>
    <x:row r="1838">
      <x:c r="A1838" s="187" t="n">
        <x:v>44942</x:v>
      </x:c>
      <x:c r="B1838" s="197"/>
    </x:row>
    <x:row r="1839">
      <x:c r="A1839" s="187" t="n">
        <x:v>44943</x:v>
      </x:c>
      <x:c r="B1839" s="197" t="n">
        <x:v>119.2121</x:v>
      </x:c>
    </x:row>
    <x:row r="1840">
      <x:c r="A1840" s="187" t="n">
        <x:v>44944</x:v>
      </x:c>
      <x:c r="B1840" s="197" t="n">
        <x:v>119.0755</x:v>
      </x:c>
    </x:row>
    <x:row r="1841">
      <x:c r="A1841" s="187" t="n">
        <x:v>44945</x:v>
      </x:c>
      <x:c r="B1841" s="197" t="n">
        <x:v>119.6107</x:v>
      </x:c>
    </x:row>
    <x:row r="1842">
      <x:c r="A1842" s="187" t="n">
        <x:v>44946</x:v>
      </x:c>
      <x:c r="B1842" s="197" t="n">
        <x:v>119.3486</x:v>
      </x:c>
    </x:row>
    <x:row r="1843">
      <x:c r="A1843" s="187" t="n">
        <x:v>44949</x:v>
      </x:c>
      <x:c r="B1843" s="197" t="n">
        <x:v>119.1434</x:v>
      </x:c>
    </x:row>
    <x:row r="1844">
      <x:c r="A1844" s="187" t="n">
        <x:v>44950</x:v>
      </x:c>
      <x:c r="B1844" s="197" t="n">
        <x:v>119.0958</x:v>
      </x:c>
    </x:row>
    <x:row r="1845">
      <x:c r="A1845" s="187" t="n">
        <x:v>44951</x:v>
      </x:c>
      <x:c r="B1845" s="197" t="n">
        <x:v>118.9686</x:v>
      </x:c>
    </x:row>
    <x:row r="1846">
      <x:c r="A1846" s="187" t="n">
        <x:v>44952</x:v>
      </x:c>
      <x:c r="B1846" s="197" t="n">
        <x:v>119.021</x:v>
      </x:c>
    </x:row>
    <x:row r="1847">
      <x:c r="A1847" s="187" t="n">
        <x:v>44953</x:v>
      </x:c>
      <x:c r="B1847" s="197" t="n">
        <x:v>118.9223</x:v>
      </x:c>
    </x:row>
    <x:row r="1848">
      <x:c r="A1848" s="187" t="n">
        <x:v>44956</x:v>
      </x:c>
      <x:c r="B1848" s="197" t="n">
        <x:v>118.8953</x:v>
      </x:c>
    </x:row>
    <x:row r="1849">
      <x:c r="A1849" s="187" t="n">
        <x:v>44957</x:v>
      </x:c>
      <x:c r="B1849" s="197" t="n">
        <x:v>118.9802</x:v>
      </x:c>
    </x:row>
    <x:row r="1850">
      <x:c r="A1850" s="187" t="n">
        <x:v>44958</x:v>
      </x:c>
      <x:c r="B1850" s="197" t="n">
        <x:v>118.6259</x:v>
      </x:c>
    </x:row>
    <x:row r="1851">
      <x:c r="A1851" s="187" t="n">
        <x:v>44959</x:v>
      </x:c>
      <x:c r="B1851" s="197" t="n">
        <x:v>118.3421</x:v>
      </x:c>
    </x:row>
    <x:row r="1852">
      <x:c r="A1852" s="187" t="n">
        <x:v>44960</x:v>
      </x:c>
      <x:c r="B1852" s="197" t="n">
        <x:v>119.5095</x:v>
      </x:c>
    </x:row>
    <x:row r="1853">
      <x:c r="A1853" s="187" t="n">
        <x:v>44963</x:v>
      </x:c>
      <x:c r="B1853" s="197" t="n">
        <x:v>120.541</x:v>
      </x:c>
    </x:row>
    <x:row r="1854">
      <x:c r="A1854" s="187" t="n">
        <x:v>44964</x:v>
      </x:c>
      <x:c r="B1854" s="197" t="n">
        <x:v>120.3475</x:v>
      </x:c>
    </x:row>
    <x:row r="1855">
      <x:c r="A1855" s="187" t="n">
        <x:v>44965</x:v>
      </x:c>
      <x:c r="B1855" s="197" t="n">
        <x:v>120.1436</x:v>
      </x:c>
    </x:row>
    <x:row r="1856">
      <x:c r="A1856" s="187" t="n">
        <x:v>44966</x:v>
      </x:c>
      <x:c r="B1856" s="197" t="n">
        <x:v>119.9781</x:v>
      </x:c>
    </x:row>
    <x:row r="1857">
      <x:c r="A1857" s="187" t="n">
        <x:v>44967</x:v>
      </x:c>
      <x:c r="B1857" s="197" t="n">
        <x:v>120.1419</x:v>
      </x:c>
    </x:row>
    <x:row r="1858">
      <x:c r="A1858" s="187" t="n">
        <x:v>44970</x:v>
      </x:c>
      <x:c r="B1858" s="197" t="n">
        <x:v>119.9828</x:v>
      </x:c>
    </x:row>
    <x:row r="1859">
      <x:c r="A1859" s="187" t="n">
        <x:v>44971</x:v>
      </x:c>
      <x:c r="B1859" s="197" t="n">
        <x:v>119.9229</x:v>
      </x:c>
    </x:row>
    <x:row r="1860">
      <x:c r="A1860" s="187" t="n">
        <x:v>44972</x:v>
      </x:c>
      <x:c r="B1860" s="197" t="n">
        <x:v>120.4557</x:v>
      </x:c>
    </x:row>
    <x:row r="1861">
      <x:c r="A1861" s="187" t="n">
        <x:v>44973</x:v>
      </x:c>
      <x:c r="B1861" s="197" t="n">
        <x:v>120.4651</x:v>
      </x:c>
    </x:row>
    <x:row r="1862">
      <x:c r="A1862" s="187" t="n">
        <x:v>44974</x:v>
      </x:c>
      <x:c r="B1862" s="197" t="n">
        <x:v>120.5526</x:v>
      </x:c>
    </x:row>
    <x:row r="1863">
      <x:c r="A1863" s="187" t="n">
        <x:v>44977</x:v>
      </x:c>
      <x:c r="B1863" s="197"/>
    </x:row>
    <x:row r="1864">
      <x:c r="A1864" s="187" t="n">
        <x:v>44978</x:v>
      </x:c>
      <x:c r="B1864" s="197" t="n">
        <x:v>120.6256</x:v>
      </x:c>
    </x:row>
    <x:row r="1865">
      <x:c r="A1865" s="187" t="n">
        <x:v>44979</x:v>
      </x:c>
      <x:c r="B1865" s="197" t="n">
        <x:v>120.8389</x:v>
      </x:c>
    </x:row>
    <x:row r="1866">
      <x:c r="A1866" s="187" t="n">
        <x:v>44980</x:v>
      </x:c>
      <x:c r="B1866" s="197" t="n">
        <x:v>121.0896</x:v>
      </x:c>
    </x:row>
    <x:row r="1867">
      <x:c r="A1867" s="187" t="n">
        <x:v>44981</x:v>
      </x:c>
      <x:c r="B1867" s="197" t="n">
        <x:v>121.5681</x:v>
      </x:c>
    </x:row>
    <x:row r="1868">
      <x:c r="A1868" s="187" t="n">
        <x:v>44984</x:v>
      </x:c>
      <x:c r="B1868" s="197" t="n">
        <x:v>121.3941</x:v>
      </x:c>
    </x:row>
    <x:row r="1869">
      <x:c r="A1869" s="187" t="n">
        <x:v>44985</x:v>
      </x:c>
      <x:c r="B1869" s="197" t="n">
        <x:v>121.3341</x:v>
      </x:c>
    </x:row>
    <x:row r="1870">
      <x:c r="A1870" s="187" t="n">
        <x:v>44986</x:v>
      </x:c>
      <x:c r="B1870" s="197" t="n">
        <x:v>120.6347</x:v>
      </x:c>
    </x:row>
    <x:row r="1871">
      <x:c r="A1871" s="187" t="n">
        <x:v>44987</x:v>
      </x:c>
      <x:c r="B1871" s="197" t="n">
        <x:v>121.1302</x:v>
      </x:c>
    </x:row>
    <x:row r="1872">
      <x:c r="A1872" s="187" t="n">
        <x:v>44988</x:v>
      </x:c>
      <x:c r="B1872" s="197" t="n">
        <x:v>120.7742</x:v>
      </x:c>
    </x:row>
    <x:row r="1873">
      <x:c r="A1873" s="187" t="n">
        <x:v>44991</x:v>
      </x:c>
      <x:c r="B1873" s="197" t="n">
        <x:v>120.485</x:v>
      </x:c>
    </x:row>
    <x:row r="1874">
      <x:c r="A1874" s="187" t="n">
        <x:v>44992</x:v>
      </x:c>
      <x:c r="B1874" s="197" t="n">
        <x:v>121.4623</x:v>
      </x:c>
    </x:row>
    <x:row r="1875">
      <x:c r="A1875" s="187" t="n">
        <x:v>44993</x:v>
      </x:c>
      <x:c r="B1875" s="197" t="n">
        <x:v>121.4511</x:v>
      </x:c>
    </x:row>
    <x:row r="1876">
      <x:c r="A1876" s="187" t="n">
        <x:v>44994</x:v>
      </x:c>
      <x:c r="B1876" s="197" t="n">
        <x:v>121.4458</x:v>
      </x:c>
    </x:row>
    <x:row r="1877">
      <x:c r="A1877" s="187" t="n">
        <x:v>44995</x:v>
      </x:c>
      <x:c r="B1877" s="197" t="n">
        <x:v>121.2421</x:v>
      </x:c>
    </x:row>
    <x:row r="1878">
      <x:c r="A1878" s="187" t="n">
        <x:v>44998</x:v>
      </x:c>
      <x:c r="B1878" s="197" t="n">
        <x:v>120.8897</x:v>
      </x:c>
    </x:row>
    <x:row r="1879">
      <x:c r="A1879" s="187" t="n">
        <x:v>44999</x:v>
      </x:c>
      <x:c r="B1879" s="197" t="n">
        <x:v>121.0141</x:v>
      </x:c>
    </x:row>
    <x:row r="1880">
      <x:c r="A1880" s="187" t="n">
        <x:v>45000</x:v>
      </x:c>
      <x:c r="B1880" s="197" t="n">
        <x:v>122.1079</x:v>
      </x:c>
    </x:row>
    <x:row r="1881">
      <x:c r="A1881" s="187" t="n">
        <x:v>45001</x:v>
      </x:c>
      <x:c r="B1881" s="197" t="n">
        <x:v>121.7221</x:v>
      </x:c>
    </x:row>
    <x:row r="1882">
      <x:c r="A1882" s="187" t="n">
        <x:v>45002</x:v>
      </x:c>
      <x:c r="B1882" s="197" t="n">
        <x:v>121.5643</x:v>
      </x:c>
    </x:row>
    <x:row r="1883">
      <x:c r="A1883" s="187" t="n">
        <x:v>45005</x:v>
      </x:c>
      <x:c r="B1883" s="197" t="n">
        <x:v>121.0141</x:v>
      </x:c>
    </x:row>
    <x:row r="1884">
      <x:c r="A1884" s="187" t="n">
        <x:v>45006</x:v>
      </x:c>
      <x:c r="B1884" s="197" t="n">
        <x:v>120.8958</x:v>
      </x:c>
    </x:row>
    <x:row r="1885">
      <x:c r="A1885" s="187" t="n">
        <x:v>45007</x:v>
      </x:c>
      <x:c r="B1885" s="197" t="n">
        <x:v>120.6217</x:v>
      </x:c>
    </x:row>
    <x:row r="1886">
      <x:c r="A1886" s="187" t="n">
        <x:v>45008</x:v>
      </x:c>
      <x:c r="B1886" s="197" t="n">
        <x:v>119.7587</x:v>
      </x:c>
    </x:row>
    <x:row r="1887">
      <x:c r="A1887" s="187" t="n">
        <x:v>45009</x:v>
      </x:c>
      <x:c r="B1887" s="197" t="n">
        <x:v>120.4598</x:v>
      </x:c>
    </x:row>
    <x:row r="1888">
      <x:c r="A1888" s="187" t="n">
        <x:v>45012</x:v>
      </x:c>
      <x:c r="B1888" s="197" t="n">
        <x:v>120.2541</x:v>
      </x:c>
    </x:row>
    <x:row r="1889">
      <x:c r="A1889" s="187" t="n">
        <x:v>45013</x:v>
      </x:c>
      <x:c r="B1889" s="197" t="n">
        <x:v>119.7138</x:v>
      </x:c>
    </x:row>
    <x:row r="1890">
      <x:c r="A1890" s="187" t="n">
        <x:v>45014</x:v>
      </x:c>
      <x:c r="B1890" s="197" t="n">
        <x:v>119.7258</x:v>
      </x:c>
    </x:row>
    <x:row r="1891">
      <x:c r="A1891" s="187" t="n">
        <x:v>45015</x:v>
      </x:c>
      <x:c r="B1891" s="197" t="n">
        <x:v>119.4078</x:v>
      </x:c>
    </x:row>
    <x:row r="1892">
      <x:c r="A1892" s="187" t="n">
        <x:v>45016</x:v>
      </x:c>
      <x:c r="B1892" s="197" t="n">
        <x:v>119.3602</x:v>
      </x:c>
    </x:row>
    <x:row r="1893">
      <x:c r="A1893" s="187" t="n">
        <x:v>45019</x:v>
      </x:c>
      <x:c r="B1893" s="197" t="n">
        <x:v>119.3204</x:v>
      </x:c>
    </x:row>
    <x:row r="1894">
      <x:c r="A1894" s="187" t="n">
        <x:v>45020</x:v>
      </x:c>
      <x:c r="B1894" s="197" t="n">
        <x:v>119.142</x:v>
      </x:c>
    </x:row>
    <x:row r="1895">
      <x:c r="A1895" s="187" t="n">
        <x:v>45021</x:v>
      </x:c>
      <x:c r="B1895" s="197" t="n">
        <x:v>119.2953</x:v>
      </x:c>
    </x:row>
    <x:row r="1896">
      <x:c r="A1896" s="187" t="n">
        <x:v>45022</x:v>
      </x:c>
      <x:c r="B1896" s="197" t="n">
        <x:v>119.3072</x:v>
      </x:c>
    </x:row>
    <x:row r="1897">
      <x:c r="A1897" s="187" t="n">
        <x:v>45023</x:v>
      </x:c>
      <x:c r="B1897" s="197" t="n">
        <x:v>119.3547</x:v>
      </x:c>
    </x:row>
    <x:row r="1898">
      <x:c r="A1898" s="187" t="n">
        <x:v>45026</x:v>
      </x:c>
      <x:c r="B1898" s="197" t="n">
        <x:v>119.7948</x:v>
      </x:c>
    </x:row>
    <x:row r="1899">
      <x:c r="A1899" s="187" t="n">
        <x:v>45027</x:v>
      </x:c>
      <x:c r="B1899" s="197" t="n">
        <x:v>119.5248</x:v>
      </x:c>
    </x:row>
    <x:row r="1900">
      <x:c r="A1900" s="187" t="n">
        <x:v>45028</x:v>
      </x:c>
      <x:c r="B1900" s="197" t="n">
        <x:v>119.003</x:v>
      </x:c>
    </x:row>
    <x:row r="1901">
      <x:c r="A1901" s="187" t="n">
        <x:v>45029</x:v>
      </x:c>
      <x:c r="B1901" s="197" t="n">
        <x:v>118.3915</x:v>
      </x:c>
    </x:row>
    <x:row r="1902">
      <x:c r="A1902" s="187" t="n">
        <x:v>45030</x:v>
      </x:c>
      <x:c r="B1902" s="197" t="n">
        <x:v>118.8567</x:v>
      </x:c>
    </x:row>
    <x:row r="1903">
      <x:c r="A1903" s="187" t="n">
        <x:v>45033</x:v>
      </x:c>
      <x:c r="B1903" s="197" t="n">
        <x:v>119.2787</x:v>
      </x:c>
    </x:row>
    <x:row r="1904">
      <x:c r="A1904" s="187" t="n">
        <x:v>45034</x:v>
      </x:c>
      <x:c r="B1904" s="197" t="n">
        <x:v>119.1049</x:v>
      </x:c>
    </x:row>
    <x:row r="1905">
      <x:c r="A1905" s="187" t="n">
        <x:v>45035</x:v>
      </x:c>
      <x:c r="B1905" s="197" t="n">
        <x:v>119.303</x:v>
      </x:c>
    </x:row>
    <x:row r="1906">
      <x:c r="A1906" s="187" t="n">
        <x:v>45036</x:v>
      </x:c>
      <x:c r="B1906" s="197" t="n">
        <x:v>119.1199</x:v>
      </x:c>
    </x:row>
    <x:row r="1907">
      <x:c r="A1907" s="187" t="n">
        <x:v>45037</x:v>
      </x:c>
      <x:c r="B1907" s="197" t="n">
        <x:v>119.3117</x:v>
      </x:c>
    </x:row>
    <x:row r="1908">
      <x:c r="A1908" s="187" t="n">
        <x:v>45040</x:v>
      </x:c>
      <x:c r="B1908" s="197" t="n">
        <x:v>119.2039</x:v>
      </x:c>
    </x:row>
    <x:row r="1909">
      <x:c r="A1909" s="187" t="n">
        <x:v>45041</x:v>
      </x:c>
      <x:c r="B1909" s="197" t="n">
        <x:v>119.613</x:v>
      </x:c>
    </x:row>
    <x:row r="1910">
      <x:c r="A1910" s="187" t="n">
        <x:v>45042</x:v>
      </x:c>
      <x:c r="B1910" s="197" t="n">
        <x:v>119.3228</x:v>
      </x:c>
    </x:row>
    <x:row r="1911">
      <x:c r="A1911" s="187" t="n">
        <x:v>45043</x:v>
      </x:c>
      <x:c r="B1911" s="197" t="n">
        <x:v>119.4298</x:v>
      </x:c>
    </x:row>
    <x:row r="1912">
      <x:c r="A1912" s="187" t="n">
        <x:v>45044</x:v>
      </x:c>
      <x:c r="B1912" s="197" t="n">
        <x:v>119.2248</x:v>
      </x:c>
    </x:row>
    <x:row r="1913">
      <x:c r="A1913" s="187" t="n">
        <x:v>45047</x:v>
      </x:c>
      <x:c r="B1913" s="197" t="n">
        <x:v>119.4435</x:v>
      </x:c>
    </x:row>
    <x:row r="1914">
      <x:c r="A1914" s="187" t="n">
        <x:v>45048</x:v>
      </x:c>
      <x:c r="B1914" s="197" t="n">
        <x:v>119.6105</x:v>
      </x:c>
    </x:row>
    <x:row r="1915">
      <x:c r="A1915" s="187" t="n">
        <x:v>45049</x:v>
      </x:c>
      <x:c r="B1915" s="197" t="n">
        <x:v>119.1233</x:v>
      </x:c>
    </x:row>
    <x:row r="1916">
      <x:c r="A1916" s="187" t="n">
        <x:v>45050</x:v>
      </x:c>
      <x:c r="B1916" s="197" t="n">
        <x:v>119.0465</x:v>
      </x:c>
    </x:row>
    <x:row r="1917">
      <x:c r="A1917" s="187" t="n">
        <x:v>45051</x:v>
      </x:c>
      <x:c r="B1917" s="197" t="n">
        <x:v>118.5548</x:v>
      </x:c>
    </x:row>
    <x:row r="1918">
      <x:c r="A1918" s="187" t="n">
        <x:v>45054</x:v>
      </x:c>
      <x:c r="B1918" s="197" t="n">
        <x:v>118.5759</x:v>
      </x:c>
    </x:row>
    <x:row r="1919">
      <x:c r="A1919" s="187" t="n">
        <x:v>45055</x:v>
      </x:c>
      <x:c r="B1919" s="197" t="n">
        <x:v>118.8239</x:v>
      </x:c>
    </x:row>
    <x:row r="1920">
      <x:c r="A1920" s="187" t="n">
        <x:v>45056</x:v>
      </x:c>
      <x:c r="B1920" s="197" t="n">
        <x:v>118.5864</x:v>
      </x:c>
    </x:row>
    <x:row r="1921">
      <x:c r="A1921" s="187" t="n">
        <x:v>45057</x:v>
      </x:c>
      <x:c r="B1921" s="197" t="n">
        <x:v>119.0303</x:v>
      </x:c>
    </x:row>
    <x:row r="1922">
      <x:c r="A1922" s="187" t="n">
        <x:v>45058</x:v>
      </x:c>
      <x:c r="B1922" s="197" t="n">
        <x:v>119.3671</x:v>
      </x:c>
    </x:row>
    <x:row r="1923">
      <x:c r="A1923" s="187" t="n">
        <x:v>45061</x:v>
      </x:c>
      <x:c r="B1923" s="197" t="n">
        <x:v>119.1608</x:v>
      </x:c>
    </x:row>
    <x:row r="1924">
      <x:c r="A1924" s="187" t="n">
        <x:v>45062</x:v>
      </x:c>
      <x:c r="B1924" s="197" t="n">
        <x:v>119.1743</x:v>
      </x:c>
    </x:row>
    <x:row r="1925">
      <x:c r="A1925" s="187" t="n">
        <x:v>45063</x:v>
      </x:c>
      <x:c r="B1925" s="197" t="n">
        <x:v>119.607</x:v>
      </x:c>
    </x:row>
    <x:row r="1926">
      <x:c r="A1926" s="187" t="n">
        <x:v>45064</x:v>
      </x:c>
      <x:c r="B1926" s="197" t="n">
        <x:v>120.0886</x:v>
      </x:c>
    </x:row>
    <x:row r="1927">
      <x:c r="A1927" s="187" t="n">
        <x:v>45065</x:v>
      </x:c>
      <x:c r="B1927" s="197" t="n">
        <x:v>119.7751</x:v>
      </x:c>
    </x:row>
    <x:row r="1928">
      <x:c r="A1928" s="187" t="n">
        <x:v>45068</x:v>
      </x:c>
      <x:c r="B1928" s="197" t="n">
        <x:v>120.0875</x:v>
      </x:c>
    </x:row>
    <x:row r="1929">
      <x:c r="A1929" s="187" t="n">
        <x:v>45069</x:v>
      </x:c>
      <x:c r="B1929" s="197" t="n">
        <x:v>120.3204</x:v>
      </x:c>
    </x:row>
    <x:row r="1930">
      <x:c r="A1930" s="187" t="n">
        <x:v>45070</x:v>
      </x:c>
      <x:c r="B1930" s="197" t="n">
        <x:v>120.4752</x:v>
      </x:c>
    </x:row>
    <x:row r="1931">
      <x:c r="A1931" s="187" t="n">
        <x:v>45071</x:v>
      </x:c>
      <x:c r="B1931" s="197" t="n">
        <x:v>120.8413</x:v>
      </x:c>
    </x:row>
    <x:row r="1932">
      <x:c r="A1932" s="187" t="n">
        <x:v>45072</x:v>
      </x:c>
      <x:c r="B1932" s="197" t="n">
        <x:v>120.6304</x:v>
      </x:c>
    </x:row>
    <x:row r="1933">
      <x:c r="A1933" s="187" t="n">
        <x:v>45075</x:v>
      </x:c>
      <x:c r="B1933" s="197"/>
    </x:row>
    <x:row r="1934">
      <x:c r="A1934" s="187" t="n">
        <x:v>45076</x:v>
      </x:c>
      <x:c r="B1934" s="197" t="n">
        <x:v>120.5546</x:v>
      </x:c>
    </x:row>
    <x:row r="1935">
      <x:c r="A1935" s="187" t="n">
        <x:v>45077</x:v>
      </x:c>
      <x:c r="B1935" s="197" t="n">
        <x:v>120.9662</x:v>
      </x:c>
    </x:row>
    <x:row r="1936">
      <x:c r="A1936" s="187" t="n">
        <x:v>45078</x:v>
      </x:c>
      <x:c r="B1936" s="197" t="n">
        <x:v>120.0491</x:v>
      </x:c>
    </x:row>
    <x:row r="1937">
      <x:c r="A1937" s="187" t="n">
        <x:v>45079</x:v>
      </x:c>
      <x:c r="B1937" s="197" t="n">
        <x:v>120.0049</x:v>
      </x:c>
    </x:row>
    <x:row r="1938">
      <x:c r="A1938" s="187" t="n">
        <x:v>45082</x:v>
      </x:c>
      <x:c r="B1938" s="197" t="n">
        <x:v>120.0048</x:v>
      </x:c>
    </x:row>
    <x:row r="1939">
      <x:c r="A1939" s="187" t="n">
        <x:v>45083</x:v>
      </x:c>
      <x:c r="B1939" s="197" t="n">
        <x:v>119.9718</x:v>
      </x:c>
    </x:row>
    <x:row r="1940">
      <x:c r="A1940" s="187" t="n">
        <x:v>45084</x:v>
      </x:c>
      <x:c r="B1940" s="197" t="n">
        <x:v>119.859</x:v>
      </x:c>
    </x:row>
    <x:row r="1941">
      <x:c r="A1941" s="187" t="n">
        <x:v>45085</x:v>
      </x:c>
      <x:c r="B1941" s="197" t="n">
        <x:v>119.5712</x:v>
      </x:c>
    </x:row>
    <x:row r="1942">
      <x:c r="A1942" s="187" t="n">
        <x:v>45086</x:v>
      </x:c>
      <x:c r="B1942" s="197" t="n">
        <x:v>119.4322</x:v>
      </x:c>
    </x:row>
    <x:row r="1943">
      <x:c r="A1943" s="187" t="n">
        <x:v>45089</x:v>
      </x:c>
      <x:c r="B1943" s="197" t="n">
        <x:v>119.6376</x:v>
      </x:c>
    </x:row>
    <x:row r="1944">
      <x:c r="A1944" s="187" t="n">
        <x:v>45090</x:v>
      </x:c>
      <x:c r="B1944" s="197" t="n">
        <x:v>119.1899</x:v>
      </x:c>
    </x:row>
    <x:row r="1945">
      <x:c r="A1945" s="187" t="n">
        <x:v>45091</x:v>
      </x:c>
      <x:c r="B1945" s="197" t="n">
        <x:v>118.776</x:v>
      </x:c>
    </x:row>
    <x:row r="1946">
      <x:c r="A1946" s="187" t="n">
        <x:v>45092</x:v>
      </x:c>
      <x:c r="B1946" s="197" t="n">
        <x:v>118.5521</x:v>
      </x:c>
    </x:row>
    <x:row r="1947">
      <x:c r="A1947" s="187" t="n">
        <x:v>45093</x:v>
      </x:c>
      <x:c r="B1947" s="197" t="n">
        <x:v>118.4184</x:v>
      </x:c>
    </x:row>
    <x:row r="1948">
      <x:c r="A1948" s="187" t="n">
        <x:v>45096</x:v>
      </x:c>
      <x:c r="B1948" s="197"/>
    </x:row>
    <x:row r="1949">
      <x:c r="A1949" s="187" t="n">
        <x:v>45097</x:v>
      </x:c>
      <x:c r="B1949" s="197" t="n">
        <x:v>118.938</x:v>
      </x:c>
    </x:row>
    <x:row r="1950">
      <x:c r="A1950" s="187" t="n">
        <x:v>45098</x:v>
      </x:c>
      <x:c r="B1950" s="197" t="n">
        <x:v>118.727</x:v>
      </x:c>
    </x:row>
    <x:row r="1951">
      <x:c r="A1951" s="187" t="n">
        <x:v>45099</x:v>
      </x:c>
      <x:c r="B1951" s="197" t="n">
        <x:v>118.7552</x:v>
      </x:c>
    </x:row>
    <x:row r="1952">
      <x:c r="A1952" s="187" t="n">
        <x:v>45100</x:v>
      </x:c>
      <x:c r="B1952" s="197" t="n">
        <x:v>119.152</x:v>
      </x:c>
    </x:row>
    <x:row r="1953">
      <x:c r="A1953" s="187" t="n">
        <x:v>45103</x:v>
      </x:c>
      <x:c r="B1953" s="197" t="n">
        <x:v>119.0761</x:v>
      </x:c>
    </x:row>
    <x:row r="1954">
      <x:c r="A1954" s="187" t="n">
        <x:v>45104</x:v>
      </x:c>
      <x:c r="B1954" s="197" t="n">
        <x:v>118.8949</x:v>
      </x:c>
    </x:row>
    <x:row r="1955">
      <x:c r="A1955" s="187" t="n">
        <x:v>45105</x:v>
      </x:c>
      <x:c r="B1955" s="197" t="n">
        <x:v>119.3382</x:v>
      </x:c>
    </x:row>
    <x:row r="1956">
      <x:c r="A1956" s="187" t="n">
        <x:v>45106</x:v>
      </x:c>
      <x:c r="B1956" s="197" t="n">
        <x:v>119.527</x:v>
      </x:c>
    </x:row>
    <x:row r="1957">
      <x:c r="A1957" s="187" t="n">
        <x:v>45107</x:v>
      </x:c>
      <x:c r="B1957" s="197" t="n">
        <x:v>119.3606</x:v>
      </x:c>
    </x:row>
    <x:row r="1958">
      <x:c r="A1958" s="187" t="n">
        <x:v>45110</x:v>
      </x:c>
      <x:c r="B1958" s="197" t="n">
        <x:v>119.2119</x:v>
      </x:c>
    </x:row>
    <x:row r="1959">
      <x:c r="A1959" s="187" t="n">
        <x:v>45111</x:v>
      </x:c>
      <x:c r="B1959" s="197"/>
    </x:row>
    <x:row r="1960">
      <x:c r="A1960" s="187" t="n">
        <x:v>45112</x:v>
      </x:c>
      <x:c r="B1960" s="197" t="n">
        <x:v>119.3483</x:v>
      </x:c>
    </x:row>
    <x:row r="1961">
      <x:c r="A1961" s="187" t="n">
        <x:v>45113</x:v>
      </x:c>
      <x:c r="B1961" s="197" t="n">
        <x:v>119.8193</x:v>
      </x:c>
    </x:row>
    <x:row r="1962">
      <x:c r="A1962" s="187" t="n">
        <x:v>45114</x:v>
      </x:c>
      <x:c r="B1962" s="197" t="n">
        <x:v>119.0761</x:v>
      </x:c>
    </x:row>
    <x:row r="1963">
      <x:c r="A1963" s="187" t="n">
        <x:v>45117</x:v>
      </x:c>
      <x:c r="B1963" s="197" t="n">
        <x:v>118.9548</x:v>
      </x:c>
    </x:row>
    <x:row r="1964">
      <x:c r="A1964" s="187" t="n">
        <x:v>45118</x:v>
      </x:c>
      <x:c r="B1964" s="197" t="n">
        <x:v>118.7344</x:v>
      </x:c>
    </x:row>
    <x:row r="1965">
      <x:c r="A1965" s="187" t="n">
        <x:v>45119</x:v>
      </x:c>
      <x:c r="B1965" s="197" t="n">
        <x:v>117.6385</x:v>
      </x:c>
    </x:row>
    <x:row r="1966">
      <x:c r="A1966" s="187" t="n">
        <x:v>45120</x:v>
      </x:c>
      <x:c r="B1966" s="197" t="n">
        <x:v>117.1831</x:v>
      </x:c>
    </x:row>
    <x:row r="1967">
      <x:c r="A1967" s="187" t="n">
        <x:v>45121</x:v>
      </x:c>
      <x:c r="B1967" s="197" t="n">
        <x:v>117.0463</x:v>
      </x:c>
    </x:row>
    <x:row r="1968">
      <x:c r="A1968" s="187" t="n">
        <x:v>45124</x:v>
      </x:c>
      <x:c r="B1968" s="197" t="n">
        <x:v>117.1267</x:v>
      </x:c>
    </x:row>
    <x:row r="1969">
      <x:c r="A1969" s="187" t="n">
        <x:v>45125</x:v>
      </x:c>
      <x:c r="B1969" s="197" t="n">
        <x:v>117.0264</x:v>
      </x:c>
    </x:row>
    <x:row r="1970">
      <x:c r="A1970" s="187" t="n">
        <x:v>45126</x:v>
      </x:c>
      <x:c r="B1970" s="197" t="n">
        <x:v>117.3462</x:v>
      </x:c>
    </x:row>
    <x:row r="1971">
      <x:c r="A1971" s="187" t="n">
        <x:v>45127</x:v>
      </x:c>
      <x:c r="B1971" s="197" t="n">
        <x:v>117.5947</x:v>
      </x:c>
    </x:row>
    <x:row r="1972">
      <x:c r="A1972" s="187" t="n">
        <x:v>45128</x:v>
      </x:c>
      <x:c r="B1972" s="197" t="n">
        <x:v>117.9418</x:v>
      </x:c>
    </x:row>
    <x:row r="1973">
      <x:c r="A1973" s="187" t="n">
        <x:v>45131</x:v>
      </x:c>
      <x:c r="B1973" s="197" t="n">
        <x:v>117.8124</x:v>
      </x:c>
    </x:row>
    <x:row r="1974">
      <x:c r="A1974" s="187" t="n">
        <x:v>45132</x:v>
      </x:c>
      <x:c r="B1974" s="197" t="n">
        <x:v>117.8565</x:v>
      </x:c>
    </x:row>
    <x:row r="1975">
      <x:c r="A1975" s="187" t="n">
        <x:v>45133</x:v>
      </x:c>
      <x:c r="B1975" s="197" t="n">
        <x:v>117.76</x:v>
      </x:c>
    </x:row>
    <x:row r="1976">
      <x:c r="A1976" s="187" t="n">
        <x:v>45134</x:v>
      </x:c>
      <x:c r="B1976" s="197" t="n">
        <x:v>117.8938</x:v>
      </x:c>
    </x:row>
    <x:row r="1977">
      <x:c r="A1977" s="187" t="n">
        <x:v>45135</x:v>
      </x:c>
      <x:c r="B1977" s="197" t="n">
        <x:v>117.788</x:v>
      </x:c>
    </x:row>
    <x:row r="1978">
      <x:c r="A1978" s="187" t="n">
        <x:v>45138</x:v>
      </x:c>
      <x:c r="B1978" s="197" t="n">
        <x:v>117.8241</x:v>
      </x:c>
    </x:row>
    <x:row r="1979">
      <x:c r="A1979" s="187" t="n">
        <x:v>45139</x:v>
      </x:c>
      <x:c r="B1979" s="197" t="n">
        <x:v>118.5738</x:v>
      </x:c>
    </x:row>
    <x:row r="1980">
      <x:c r="A1980" s="187" t="n">
        <x:v>45140</x:v>
      </x:c>
      <x:c r="B1980" s="197" t="n">
        <x:v>119.1268</x:v>
      </x:c>
    </x:row>
    <x:row r="1981">
      <x:c r="A1981" s="187" t="n">
        <x:v>45141</x:v>
      </x:c>
      <x:c r="B1981" s="197" t="n">
        <x:v>119.3963</x:v>
      </x:c>
    </x:row>
    <x:row r="1982">
      <x:c r="A1982" s="187" t="n">
        <x:v>45142</x:v>
      </x:c>
      <x:c r="B1982" s="197" t="n">
        <x:v>118.821</x:v>
      </x:c>
    </x:row>
    <x:row r="1983">
      <x:c r="A1983" s="187" t="n">
        <x:v>45145</x:v>
      </x:c>
      <x:c r="B1983" s="197" t="n">
        <x:v>119.0809</x:v>
      </x:c>
    </x:row>
    <x:row r="1984">
      <x:c r="A1984" s="187" t="n">
        <x:v>45146</x:v>
      </x:c>
      <x:c r="B1984" s="197" t="n">
        <x:v>119.6407</x:v>
      </x:c>
    </x:row>
    <x:row r="1985">
      <x:c r="A1985" s="187" t="n">
        <x:v>45147</x:v>
      </x:c>
      <x:c r="B1985" s="197" t="n">
        <x:v>119.476</x:v>
      </x:c>
    </x:row>
    <x:row r="1986">
      <x:c r="A1986" s="187" t="n">
        <x:v>45148</x:v>
      </x:c>
      <x:c r="B1986" s="197" t="n">
        <x:v>119.1581</x:v>
      </x:c>
    </x:row>
    <x:row r="1987">
      <x:c r="A1987" s="187" t="n">
        <x:v>45149</x:v>
      </x:c>
      <x:c r="B1987" s="197" t="n">
        <x:v>119.6268</x:v>
      </x:c>
    </x:row>
    <x:row r="1988">
      <x:c r="A1988" s="187" t="n">
        <x:v>45152</x:v>
      </x:c>
      <x:c r="B1988" s="197" t="n">
        <x:v>120.0725</x:v>
      </x:c>
    </x:row>
    <x:row r="1989">
      <x:c r="A1989" s="187" t="n">
        <x:v>45153</x:v>
      </x:c>
      <x:c r="B1989" s="197" t="n">
        <x:v>120.2127</x:v>
      </x:c>
    </x:row>
    <x:row r="1990">
      <x:c r="A1990" s="187" t="n">
        <x:v>45154</x:v>
      </x:c>
      <x:c r="B1990" s="197" t="n">
        <x:v>120.3551</x:v>
      </x:c>
    </x:row>
    <x:row r="1991">
      <x:c r="A1991" s="187" t="n">
        <x:v>45155</x:v>
      </x:c>
      <x:c r="B1991" s="197" t="n">
        <x:v>120.5242</x:v>
      </x:c>
    </x:row>
    <x:row r="1992">
      <x:c r="A1992" s="187" t="n">
        <x:v>45156</x:v>
      </x:c>
      <x:c r="B1992" s="197" t="n">
        <x:v>120.4321</x:v>
      </x:c>
    </x:row>
    <x:row r="1993">
      <x:c r="A1993" s="187" t="n">
        <x:v>45159</x:v>
      </x:c>
      <x:c r="B1993" s="197" t="n">
        <x:v>120.4627</x:v>
      </x:c>
    </x:row>
    <x:row r="1994">
      <x:c r="A1994" s="187" t="n">
        <x:v>45160</x:v>
      </x:c>
      <x:c r="B1994" s="197" t="n">
        <x:v>120.3554</x:v>
      </x:c>
    </x:row>
    <x:row r="1995">
      <x:c r="A1995" s="187" t="n">
        <x:v>45161</x:v>
      </x:c>
      <x:c r="B1995" s="197" t="n">
        <x:v>120.0307</x:v>
      </x:c>
    </x:row>
    <x:row r="1996">
      <x:c r="A1996" s="187" t="n">
        <x:v>45162</x:v>
      </x:c>
      <x:c r="B1996" s="197" t="n">
        <x:v>120.2354</x:v>
      </x:c>
    </x:row>
    <x:row r="1997">
      <x:c r="A1997" s="187" t="n">
        <x:v>45163</x:v>
      </x:c>
      <x:c r="B1997" s="197" t="n">
        <x:v>120.5137</x:v>
      </x:c>
    </x:row>
    <x:row r="1998">
      <x:c r="A1998" s="187" t="n">
        <x:v>45166</x:v>
      </x:c>
      <x:c r="B1998" s="197" t="n">
        <x:v>120.3155</x:v>
      </x:c>
    </x:row>
    <x:row r="1999">
      <x:c r="A1999" s="187" t="n">
        <x:v>45167</x:v>
      </x:c>
      <x:c r="B1999" s="197" t="n">
        <x:v>120.2669</x:v>
      </x:c>
    </x:row>
    <x:row r="2000">
      <x:c r="A2000" s="187" t="n">
        <x:v>45168</x:v>
      </x:c>
      <x:c r="B2000" s="197" t="n">
        <x:v>119.7937</x:v>
      </x:c>
    </x:row>
    <x:row r="2001">
      <x:c r="A2001" s="187" t="n">
        <x:v>45169</x:v>
      </x:c>
      <x:c r="B2001" s="197" t="n">
        <x:v>120.225</x:v>
      </x:c>
    </x:row>
    <x:row r="2002">
      <x:c r="A2002" s="187" t="n">
        <x:v>45170</x:v>
      </x:c>
      <x:c r="B2002" s="197" t="n">
        <x:v>120.759</x:v>
      </x:c>
    </x:row>
    <x:row r="2003">
      <x:c r="A2003" s="187" t="n">
        <x:v>45173</x:v>
      </x:c>
      <x:c r="B2003" s="197"/>
    </x:row>
    <x:row r="2004">
      <x:c r="A2004" s="187" t="n">
        <x:v>45174</x:v>
      </x:c>
      <x:c r="B2004" s="197" t="n">
        <x:v>121.4345</x:v>
      </x:c>
    </x:row>
    <x:row r="2005">
      <x:c r="A2005" s="187" t="n">
        <x:v>45175</x:v>
      </x:c>
      <x:c r="B2005" s="197" t="n">
        <x:v>121.8671</x:v>
      </x:c>
    </x:row>
    <x:row r="2006">
      <x:c r="A2006" s="187" t="n">
        <x:v>45176</x:v>
      </x:c>
      <x:c r="B2006" s="197" t="n">
        <x:v>121.9528</x:v>
      </x:c>
    </x:row>
    <x:row r="2007">
      <x:c r="A2007" s="187" t="n">
        <x:v>45177</x:v>
      </x:c>
      <x:c r="B2007" s="197" t="n">
        <x:v>121.9475</x:v>
      </x:c>
    </x:row>
    <x:row r="2008">
      <x:c r="A2008" s="187" t="n">
        <x:v>45180</x:v>
      </x:c>
      <x:c r="B2008" s="197" t="n">
        <x:v>121.3386</x:v>
      </x:c>
    </x:row>
    <x:row r="2009">
      <x:c r="A2009" s="187" t="n">
        <x:v>45181</x:v>
      </x:c>
      <x:c r="B2009" s="197" t="n">
        <x:v>121.2913</x:v>
      </x:c>
    </x:row>
    <x:row r="2010">
      <x:c r="A2010" s="187" t="n">
        <x:v>45182</x:v>
      </x:c>
      <x:c r="B2010" s="197" t="n">
        <x:v>121.0549</x:v>
      </x:c>
    </x:row>
    <x:row r="2011">
      <x:c r="A2011" s="187" t="n">
        <x:v>45183</x:v>
      </x:c>
      <x:c r="B2011" s="197" t="n">
        <x:v>121.2395</x:v>
      </x:c>
    </x:row>
    <x:row r="2012">
      <x:c r="A2012" s="187" t="n">
        <x:v>45184</x:v>
      </x:c>
      <x:c r="B2012" s="197" t="n">
        <x:v>121.199</x:v>
      </x:c>
    </x:row>
    <x:row r="2013">
      <x:c r="A2013" s="187" t="n">
        <x:v>45187</x:v>
      </x:c>
      <x:c r="B2013" s="197" t="n">
        <x:v>121.1938</x:v>
      </x:c>
    </x:row>
    <x:row r="2014">
      <x:c r="A2014" s="187" t="n">
        <x:v>45188</x:v>
      </x:c>
      <x:c r="B2014" s="197" t="n">
        <x:v>121.1645</x:v>
      </x:c>
    </x:row>
    <x:row r="2015">
      <x:c r="A2015" s="187" t="n">
        <x:v>45189</x:v>
      </x:c>
      <x:c r="B2015" s="197" t="n">
        <x:v>120.9648</x:v>
      </x:c>
    </x:row>
    <x:row r="2016">
      <x:c r="A2016" s="187" t="n">
        <x:v>45190</x:v>
      </x:c>
      <x:c r="B2016" s="197" t="n">
        <x:v>121.5528</x:v>
      </x:c>
    </x:row>
    <x:row r="2017">
      <x:c r="A2017" s="187" t="n">
        <x:v>45191</x:v>
      </x:c>
      <x:c r="B2017" s="197" t="n">
        <x:v>121.5306</x:v>
      </x:c>
    </x:row>
    <x:row r="2018">
      <x:c r="A2018" s="187" t="n">
        <x:v>45194</x:v>
      </x:c>
      <x:c r="B2018" s="197" t="n">
        <x:v>122.1143</x:v>
      </x:c>
    </x:row>
    <x:row r="2019">
      <x:c r="A2019" s="187" t="n">
        <x:v>45195</x:v>
      </x:c>
      <x:c r="B2019" s="197" t="n">
        <x:v>122.4742</x:v>
      </x:c>
    </x:row>
    <x:row r="2020">
      <x:c r="A2020" s="187" t="n">
        <x:v>45196</x:v>
      </x:c>
      <x:c r="B2020" s="197" t="n">
        <x:v>122.9895</x:v>
      </x:c>
    </x:row>
    <x:row r="2021">
      <x:c r="A2021" s="187" t="n">
        <x:v>45197</x:v>
      </x:c>
      <x:c r="B2021" s="197" t="n">
        <x:v>122.5342</x:v>
      </x:c>
    </x:row>
    <x:row r="2022">
      <x:c r="A2022" s="187" t="n">
        <x:v>45198</x:v>
      </x:c>
      <x:c r="B2022" s="197" t="n">
        <x:v>122.3077</x:v>
      </x:c>
    </x:row>
    <x:row r="2023">
      <x:c r="A2023" s="187" t="n">
        <x:v>45201</x:v>
      </x:c>
      <x:c r="B2023" s="197" t="n">
        <x:v>123.0545</x:v>
      </x:c>
    </x:row>
    <x:row r="2024">
      <x:c r="A2024" s="187" t="n">
        <x:v>45202</x:v>
      </x:c>
      <x:c r="B2024" s="197" t="n">
        <x:v>123.7848</x:v>
      </x:c>
    </x:row>
    <x:row r="2025">
      <x:c r="A2025" s="187" t="n">
        <x:v>45203</x:v>
      </x:c>
      <x:c r="B2025" s="197" t="n">
        <x:v>123.5946</x:v>
      </x:c>
    </x:row>
    <x:row r="2026">
      <x:c r="A2026" s="187" t="n">
        <x:v>45204</x:v>
      </x:c>
      <x:c r="B2026" s="197" t="n">
        <x:v>123.8993</x:v>
      </x:c>
    </x:row>
    <x:row r="2027">
      <x:c r="A2027" s="187" t="n">
        <x:v>45205</x:v>
      </x:c>
      <x:c r="B2027" s="197" t="n">
        <x:v>123.3563</x:v>
      </x:c>
    </x:row>
    <x:row r="2028">
      <x:c r="A2028" s="187" t="n">
        <x:v>45208</x:v>
      </x:c>
      <x:c r="B2028" s="197"/>
    </x:row>
    <x:row r="2029">
      <x:c r="A2029" s="187" t="n">
        <x:v>45209</x:v>
      </x:c>
      <x:c r="B2029" s="197" t="n">
        <x:v>122.9282</x:v>
      </x:c>
    </x:row>
    <x:row r="2030">
      <x:c r="A2030" s="187" t="n">
        <x:v>45210</x:v>
      </x:c>
      <x:c r="B2030" s="197" t="n">
        <x:v>122.7697</x:v>
      </x:c>
    </x:row>
    <x:row r="2031">
      <x:c r="A2031" s="187" t="n">
        <x:v>45211</x:v>
      </x:c>
      <x:c r="B2031" s="197" t="n">
        <x:v>123.2101</x:v>
      </x:c>
    </x:row>
    <x:row r="2032">
      <x:c r="A2032" s="187" t="n">
        <x:v>45212</x:v>
      </x:c>
      <x:c r="B2032" s="197" t="n">
        <x:v>123.5954</x:v>
      </x:c>
    </x:row>
    <x:row r="2033">
      <x:c r="A2033" s="187" t="n">
        <x:v>45215</x:v>
      </x:c>
      <x:c r="B2033" s="197" t="n">
        <x:v>123.3185</x:v>
      </x:c>
    </x:row>
    <x:row r="2034">
      <x:c r="A2034" s="187" t="n">
        <x:v>45216</x:v>
      </x:c>
      <x:c r="B2034" s="197" t="n">
        <x:v>123.1202</x:v>
      </x:c>
    </x:row>
    <x:row r="2035">
      <x:c r="A2035" s="187" t="n">
        <x:v>45217</x:v>
      </x:c>
      <x:c r="B2035" s="197" t="n">
        <x:v>123.8148</x:v>
      </x:c>
    </x:row>
    <x:row r="2036">
      <x:c r="A2036" s="187" t="n">
        <x:v>45218</x:v>
      </x:c>
      <x:c r="B2036" s="197" t="n">
        <x:v>123.798</x:v>
      </x:c>
    </x:row>
    <x:row r="2037">
      <x:c r="A2037" s="187" t="n">
        <x:v>45219</x:v>
      </x:c>
      <x:c r="B2037" s="197" t="n">
        <x:v>123.612</x:v>
      </x:c>
    </x:row>
    <x:row r="2038">
      <x:c r="A2038" s="187" t="n">
        <x:v>45222</x:v>
      </x:c>
      <x:c r="B2038" s="197" t="n">
        <x:v>123.2846</x:v>
      </x:c>
    </x:row>
    <x:row r="2039">
      <x:c r="A2039" s="187" t="n">
        <x:v>45223</x:v>
      </x:c>
      <x:c r="B2039" s="197" t="n">
        <x:v>123.6416</x:v>
      </x:c>
    </x:row>
    <x:row r="2040">
      <x:c r="A2040" s="187" t="n">
        <x:v>45224</x:v>
      </x:c>
      <x:c r="B2040" s="197" t="n">
        <x:v>123.7871</x:v>
      </x:c>
    </x:row>
    <x:row r="2041">
      <x:c r="A2041" s="187" t="n">
        <x:v>45225</x:v>
      </x:c>
      <x:c r="B2041" s="197" t="n">
        <x:v>124.0064</x:v>
      </x:c>
    </x:row>
    <x:row r="2042">
      <x:c r="A2042" s="187" t="n">
        <x:v>45226</x:v>
      </x:c>
      <x:c r="B2042" s="197" t="n">
        <x:v>123.62</x:v>
      </x:c>
    </x:row>
    <x:row r="2043">
      <x:c r="A2043" s="187" t="n">
        <x:v>45229</x:v>
      </x:c>
      <x:c r="B2043" s="197" t="n">
        <x:v>123.4076</x:v>
      </x:c>
    </x:row>
    <x:row r="2044">
      <x:c r="A2044" s="187" t="n">
        <x:v>45230</x:v>
      </x:c>
      <x:c r="B2044" s="197" t="n">
        <x:v>123.8364</x:v>
      </x:c>
    </x:row>
    <x:row r="2045">
      <x:c r="A2045" s="187" t="n">
        <x:v>45231</x:v>
      </x:c>
      <x:c r="B2045" s="197" t="n">
        <x:v>123.7922</x:v>
      </x:c>
    </x:row>
    <x:row r="2046">
      <x:c r="A2046" s="187" t="n">
        <x:v>45232</x:v>
      </x:c>
      <x:c r="B2046" s="197" t="n">
        <x:v>122.8818</x:v>
      </x:c>
    </x:row>
    <x:row r="2047">
      <x:c r="A2047" s="187" t="n">
        <x:v>45233</x:v>
      </x:c>
      <x:c r="B2047" s="197" t="n">
        <x:v>121.7564</x:v>
      </x:c>
    </x:row>
    <x:row r="2048">
      <x:c r="A2048" s="187" t="n">
        <x:v>45236</x:v>
      </x:c>
      <x:c r="B2048" s="197" t="n">
        <x:v>121.6484</x:v>
      </x:c>
    </x:row>
    <x:row r="2049">
      <x:c r="A2049" s="187" t="n">
        <x:v>45237</x:v>
      </x:c>
      <x:c r="B2049" s="197" t="n">
        <x:v>122.0777</x:v>
      </x:c>
    </x:row>
    <x:row r="2050">
      <x:c r="A2050" s="187" t="n">
        <x:v>45238</x:v>
      </x:c>
      <x:c r="B2050" s="197" t="n">
        <x:v>122.0926</x:v>
      </x:c>
    </x:row>
    <x:row r="2051">
      <x:c r="A2051" s="187" t="n">
        <x:v>45239</x:v>
      </x:c>
      <x:c r="B2051" s="197" t="n">
        <x:v>122.1281</x:v>
      </x:c>
    </x:row>
    <x:row r="2052">
      <x:c r="A2052" s="187" t="n">
        <x:v>45240</x:v>
      </x:c>
      <x:c r="B2052" s="197"/>
    </x:row>
    <x:row r="2053">
      <x:c r="A2053" s="187" t="n">
        <x:v>45243</x:v>
      </x:c>
      <x:c r="B2053" s="197" t="n">
        <x:v>122.4264</x:v>
      </x:c>
    </x:row>
    <x:row r="2054">
      <x:c r="A2054" s="187" t="n">
        <x:v>45244</x:v>
      </x:c>
      <x:c r="B2054" s="197" t="n">
        <x:v>121.35</x:v>
      </x:c>
    </x:row>
    <x:row r="2055">
      <x:c r="A2055" s="187" t="n">
        <x:v>45245</x:v>
      </x:c>
      <x:c r="B2055" s="197" t="n">
        <x:v>121.0749</x:v>
      </x:c>
    </x:row>
    <x:row r="2056">
      <x:c r="A2056" s="187" t="n">
        <x:v>45246</x:v>
      </x:c>
      <x:c r="B2056" s="197" t="n">
        <x:v>121.1754</x:v>
      </x:c>
    </x:row>
    <x:row r="2057">
      <x:c r="A2057" s="187" t="n">
        <x:v>45247</x:v>
      </x:c>
      <x:c r="B2057" s="197" t="n">
        <x:v>120.8477</x:v>
      </x:c>
    </x:row>
    <x:row r="2058">
      <x:c r="A2058" s="187" t="n">
        <x:v>45250</x:v>
      </x:c>
      <x:c r="B2058" s="197" t="n">
        <x:v>120.2533</x:v>
      </x:c>
    </x:row>
    <x:row r="2059">
      <x:c r="A2059" s="187" t="n">
        <x:v>45251</x:v>
      </x:c>
      <x:c r="B2059" s="197" t="n">
        <x:v>120.2241</x:v>
      </x:c>
    </x:row>
    <x:row r="2060">
      <x:c r="A2060" s="187" t="n">
        <x:v>45252</x:v>
      </x:c>
      <x:c r="B2060" s="197" t="n">
        <x:v>120.6802</x:v>
      </x:c>
    </x:row>
    <x:row r="2061">
      <x:c r="A2061" s="187" t="n">
        <x:v>45253</x:v>
      </x:c>
      <x:c r="B2061" s="197"/>
    </x:row>
    <x:row r="2062">
      <x:c r="A2062" s="187" t="n">
        <x:v>45254</x:v>
      </x:c>
      <x:c r="B2062" s="197" t="n">
        <x:v>120.2105</x:v>
      </x:c>
    </x:row>
    <x:row r="2063">
      <x:c r="A2063" s="187" t="n">
        <x:v>45257</x:v>
      </x:c>
      <x:c r="B2063" s="197" t="n">
        <x:v>120.173</x:v>
      </x:c>
    </x:row>
    <x:row r="2064">
      <x:c r="A2064" s="187" t="n">
        <x:v>45258</x:v>
      </x:c>
      <x:c r="B2064" s="197" t="n">
        <x:v>119.5904</x:v>
      </x:c>
    </x:row>
    <x:row r="2065">
      <x:c r="A2065" s="187" t="n">
        <x:v>45259</x:v>
      </x:c>
      <x:c r="B2065" s="197" t="n">
        <x:v>119.8159</x:v>
      </x:c>
    </x:row>
    <x:row r="2066">
      <x:c r="A2066" s="187" t="n">
        <x:v>45260</x:v>
      </x:c>
      <x:c r="B2066" s="197" t="n">
        <x:v>120.2434</x:v>
      </x:c>
    </x:row>
    <x:row r="2067">
      <x:c r="A2067" s="187" t="n">
        <x:v>45261</x:v>
      </x:c>
      <x:c r="B2067" s="197" t="n">
        <x:v>119.9424</x:v>
      </x:c>
    </x:row>
    <x:row r="2068">
      <x:c r="A2068" s="187" t="n">
        <x:v>45264</x:v>
      </x:c>
      <x:c r="B2068" s="197" t="n">
        <x:v>120.4727</x:v>
      </x:c>
    </x:row>
    <x:row r="2069">
      <x:c r="A2069" s="187" t="n">
        <x:v>45265</x:v>
      </x:c>
      <x:c r="B2069" s="197" t="n">
        <x:v>120.7913</x:v>
      </x:c>
    </x:row>
    <x:row r="2070">
      <x:c r="A2070" s="187" t="n">
        <x:v>45266</x:v>
      </x:c>
      <x:c r="B2070" s="197" t="n">
        <x:v>120.5334</x:v>
      </x:c>
    </x:row>
    <x:row r="2071">
      <x:c r="A2071" s="187" t="n">
        <x:v>45267</x:v>
      </x:c>
      <x:c r="B2071" s="197" t="n">
        <x:v>120.6013</x:v>
      </x:c>
    </x:row>
    <x:row r="2072">
      <x:c r="A2072" s="187" t="n">
        <x:v>45268</x:v>
      </x:c>
      <x:c r="B2072" s="197" t="n">
        <x:v>120.7607</x:v>
      </x:c>
    </x:row>
    <x:row r="2073">
      <x:c r="A2073" s="187" t="n">
        <x:v>45271</x:v>
      </x:c>
      <x:c r="B2073" s="197" t="n">
        <x:v>120.9279</x:v>
      </x:c>
    </x:row>
    <x:row r="2074">
      <x:c r="A2074" s="187" t="n">
        <x:v>45272</x:v>
      </x:c>
      <x:c r="B2074" s="197" t="n">
        <x:v>120.6817</x:v>
      </x:c>
    </x:row>
    <x:row r="2075">
      <x:c r="A2075" s="187" t="n">
        <x:v>45273</x:v>
      </x:c>
      <x:c r="B2075" s="197" t="n">
        <x:v>121.1571</x:v>
      </x:c>
    </x:row>
    <x:row r="2076">
      <x:c r="A2076" s="187" t="n">
        <x:v>45274</x:v>
      </x:c>
      <x:c r="B2076" s="197" t="n">
        <x:v>119.5683</x:v>
      </x:c>
    </x:row>
    <x:row r="2077">
      <x:c r="A2077" s="187" t="n">
        <x:v>45275</x:v>
      </x:c>
      <x:c r="B2077" s="197" t="n">
        <x:v>119.7382</x:v>
      </x:c>
    </x:row>
    <x:row r="2078">
      <x:c r="A2078" s="187" t="n">
        <x:v>45278</x:v>
      </x:c>
      <x:c r="B2078" s="197" t="n">
        <x:v>119.9102</x:v>
      </x:c>
    </x:row>
    <x:row r="2079">
      <x:c r="A2079" s="187" t="n">
        <x:v>45279</x:v>
      </x:c>
      <x:c r="B2079" s="197" t="n">
        <x:v>119.4632</x:v>
      </x:c>
    </x:row>
    <x:row r="2080">
      <x:c r="A2080" s="187" t="n">
        <x:v>45280</x:v>
      </x:c>
      <x:c r="B2080" s="197" t="n">
        <x:v>119.5435</x:v>
      </x:c>
    </x:row>
    <x:row r="2081">
      <x:c r="A2081" s="187" t="n">
        <x:v>45281</x:v>
      </x:c>
      <x:c r="B2081" s="197" t="n">
        <x:v>119.3168</x:v>
      </x:c>
    </x:row>
    <x:row r="2082">
      <x:c r="A2082" s="187" t="n">
        <x:v>45282</x:v>
      </x:c>
      <x:c r="B2082" s="197" t="n">
        <x:v>119.0625</x:v>
      </x:c>
    </x:row>
    <x:row r="2083">
      <x:c r="A2083" s="187" t="n">
        <x:v>45285</x:v>
      </x:c>
      <x:c r="B2083" s="197"/>
    </x:row>
    <x:row r="2084">
      <x:c r="A2084" s="187" t="n">
        <x:v>45286</x:v>
      </x:c>
      <x:c r="B2084" s="197" t="n">
        <x:v>118.8875</x:v>
      </x:c>
    </x:row>
    <x:row r="2085">
      <x:c r="A2085" s="187" t="n">
        <x:v>45287</x:v>
      </x:c>
      <x:c r="B2085" s="197" t="n">
        <x:v>118.4729</x:v>
      </x:c>
    </x:row>
    <x:row r="2086">
      <x:c r="A2086" s="187" t="n">
        <x:v>45288</x:v>
      </x:c>
      <x:c r="B2086" s="197" t="n">
        <x:v>118.4104</x:v>
      </x:c>
    </x:row>
    <x:row r="2087">
      <x:c r="A2087" s="187" t="n">
        <x:v>45289</x:v>
      </x:c>
      <x:c r="B2087" s="197" t="n">
        <x:v>118.4208</x:v>
      </x:c>
    </x:row>
    <x:row r="2088">
      <x:c r="A2088" s="187" t="n">
        <x:v>45292</x:v>
      </x:c>
      <x:c r="B2088" s="197"/>
    </x:row>
    <x:row r="2089">
      <x:c r="A2089" s="187" t="n">
        <x:v>45293</x:v>
      </x:c>
      <x:c r="B2089" s="197" t="n">
        <x:v>119.2686</x:v>
      </x:c>
    </x:row>
    <x:row r="2090">
      <x:c r="A2090" s="187" t="n">
        <x:v>45294</x:v>
      </x:c>
      <x:c r="B2090" s="197" t="n">
        <x:v>119.6958</x:v>
      </x:c>
    </x:row>
    <x:row r="2091">
      <x:c r="A2091" s="187" t="n">
        <x:v>45295</x:v>
      </x:c>
      <x:c r="B2091" s="197" t="n">
        <x:v>119.6208</x:v>
      </x:c>
    </x:row>
    <x:row r="2092">
      <x:c r="A2092" s="187" t="n">
        <x:v>45296</x:v>
      </x:c>
      <x:c r="B2092" s="197" t="n">
        <x:v>119.388</x:v>
      </x:c>
    </x:row>
    <x:row r="2093">
      <x:c r="A2093" s="187" t="n">
        <x:v>45299</x:v>
      </x:c>
      <x:c r="B2093" s="197" t="n">
        <x:v>119.2506</x:v>
      </x:c>
    </x:row>
    <x:row r="2094">
      <x:c r="A2094" s="187" t="n">
        <x:v>45300</x:v>
      </x:c>
      <x:c r="B2094" s="197" t="n">
        <x:v>119.6666</x:v>
      </x:c>
    </x:row>
    <x:row r="2095">
      <x:c r="A2095" s="187" t="n">
        <x:v>45301</x:v>
      </x:c>
      <x:c r="B2095" s="197" t="n">
        <x:v>119.7614</x:v>
      </x:c>
    </x:row>
    <x:row r="2096">
      <x:c r="A2096" s="187" t="n">
        <x:v>45302</x:v>
      </x:c>
      <x:c r="B2096" s="197" t="n">
        <x:v>119.8916</x:v>
      </x:c>
    </x:row>
    <x:row r="2097">
      <x:c r="A2097" s="187" t="n">
        <x:v>45303</x:v>
      </x:c>
      <x:c r="B2097" s="197" t="n">
        <x:v>119.534</x:v>
      </x:c>
    </x:row>
    <x:row r="2098">
      <x:c r="A2098" s="187" t="n">
        <x:v>45306</x:v>
      </x:c>
      <x:c r="B2098" s="197"/>
    </x:row>
    <x:row r="2099">
      <x:c r="A2099" s="187" t="n">
        <x:v>45307</x:v>
      </x:c>
      <x:c r="B2099" s="197" t="n">
        <x:v>120.5759</x:v>
      </x:c>
    </x:row>
    <x:row r="2100">
      <x:c r="A2100" s="187" t="n">
        <x:v>45308</x:v>
      </x:c>
      <x:c r="B2100" s="197" t="n">
        <x:v>121.0402</x:v>
      </x:c>
    </x:row>
    <x:row r="2101">
      <x:c r="A2101" s="187" t="n">
        <x:v>45309</x:v>
      </x:c>
      <x:c r="B2101" s="197" t="n">
        <x:v>120.8895</x:v>
      </x:c>
    </x:row>
    <x:row r="2102">
      <x:c r="A2102" s="187" t="n">
        <x:v>45310</x:v>
      </x:c>
      <x:c r="B2102" s="197" t="n">
        <x:v>120.6442</x:v>
      </x:c>
    </x:row>
    <x:row r="2103">
      <x:c r="A2103" s="187" t="n">
        <x:v>45313</x:v>
      </x:c>
      <x:c r="B2103" s="197" t="n">
        <x:v>120.6178</x:v>
      </x:c>
    </x:row>
    <x:row r="2104">
      <x:c r="A2104" s="187" t="n">
        <x:v>45314</x:v>
      </x:c>
      <x:c r="B2104" s="197" t="n">
        <x:v>121.1001</x:v>
      </x:c>
    </x:row>
    <x:row r="2105">
      <x:c r="A2105" s="187" t="n">
        <x:v>45315</x:v>
      </x:c>
      <x:c r="B2105" s="197" t="n">
        <x:v>120.4916</x:v>
      </x:c>
    </x:row>
    <x:row r="2106">
      <x:c r="A2106" s="187" t="n">
        <x:v>45316</x:v>
      </x:c>
      <x:c r="B2106" s="197" t="n">
        <x:v>120.8311</x:v>
      </x:c>
    </x:row>
    <x:row r="2107">
      <x:c r="A2107" s="187" t="n">
        <x:v>45317</x:v>
      </x:c>
      <x:c r="B2107" s="197" t="n">
        <x:v>120.6173</x:v>
      </x:c>
    </x:row>
    <x:row r="2108">
      <x:c r="A2108" s="187" t="n">
        <x:v>45320</x:v>
      </x:c>
      <x:c r="B2108" s="197" t="n">
        <x:v>120.8538</x:v>
      </x:c>
    </x:row>
    <x:row r="2109">
      <x:c r="A2109" s="187" t="n">
        <x:v>45321</x:v>
      </x:c>
      <x:c r="B2109" s="197" t="n">
        <x:v>120.6025</x:v>
      </x:c>
    </x:row>
    <x:row r="2110">
      <x:c r="A2110" s="187" t="n">
        <x:v>45322</x:v>
      </x:c>
      <x:c r="B2110" s="197" t="n">
        <x:v>120.4331</x:v>
      </x:c>
    </x:row>
    <x:row r="2111">
      <x:c r="A2111" s="187" t="n">
        <x:v>45323</x:v>
      </x:c>
      <x:c r="B2111" s="197" t="n">
        <x:v>120.3335</x:v>
      </x:c>
    </x:row>
    <x:row r="2112">
      <x:c r="A2112" s="187" t="n">
        <x:v>45324</x:v>
      </x:c>
      <x:c r="B2112" s="197" t="n">
        <x:v>120.902</x:v>
      </x:c>
    </x:row>
    <x:row r="2113">
      <x:c r="A2113" s="187" t="n">
        <x:v>45327</x:v>
      </x:c>
      <x:c r="B2113" s="197" t="n">
        <x:v>121.349</x:v>
      </x:c>
    </x:row>
    <x:row r="2114">
      <x:c r="A2114" s="187" t="n">
        <x:v>45328</x:v>
      </x:c>
      <x:c r="B2114" s="197" t="n">
        <x:v>120.9588</x:v>
      </x:c>
    </x:row>
    <x:row r="2115">
      <x:c r="A2115" s="187" t="n">
        <x:v>45329</x:v>
      </x:c>
      <x:c r="B2115" s="197" t="n">
        <x:v>120.9049</x:v>
      </x:c>
    </x:row>
    <x:row r="2116">
      <x:c r="A2116" s="187" t="n">
        <x:v>45330</x:v>
      </x:c>
      <x:c r="B2116" s="197" t="n">
        <x:v>121.0798</x:v>
      </x:c>
    </x:row>
    <x:row r="2117">
      <x:c r="A2117" s="187" t="n">
        <x:v>45331</x:v>
      </x:c>
      <x:c r="B2117" s="197" t="n">
        <x:v>121.039</x:v>
      </x:c>
    </x:row>
    <x:row r="2118">
      <x:c r="A2118" s="187" t="n">
        <x:v>45334</x:v>
      </x:c>
      <x:c r="B2118" s="197" t="n">
        <x:v>120.9378</x:v>
      </x:c>
    </x:row>
    <x:row r="2119">
      <x:c r="A2119" s="187" t="n">
        <x:v>45335</x:v>
      </x:c>
      <x:c r="B2119" s="197" t="n">
        <x:v>121.5202</x:v>
      </x:c>
    </x:row>
    <x:row r="2120">
      <x:c r="A2120" s="187" t="n">
        <x:v>45336</x:v>
      </x:c>
      <x:c r="B2120" s="197" t="n">
        <x:v>121.4002</x:v>
      </x:c>
    </x:row>
    <x:row r="2121">
      <x:c r="A2121" s="187" t="n">
        <x:v>45337</x:v>
      </x:c>
      <x:c r="B2121" s="197" t="n">
        <x:v>121.2121</x:v>
      </x:c>
    </x:row>
    <x:row r="2122">
      <x:c r="A2122" s="187" t="n">
        <x:v>45338</x:v>
      </x:c>
      <x:c r="B2122" s="197" t="n">
        <x:v>121.1505</x:v>
      </x:c>
    </x:row>
    <x:row r="2123">
      <x:c r="A2123" s="187" t="n">
        <x:v>45341</x:v>
      </x:c>
      <x:c r="B2123" s="197"/>
    </x:row>
    <x:row r="2124">
      <x:c r="A2124" s="187" t="n">
        <x:v>45342</x:v>
      </x:c>
      <x:c r="B2124" s="197" t="n">
        <x:v>121.0199</x:v>
      </x:c>
    </x:row>
    <x:row r="2125">
      <x:c r="A2125" s="187" t="n">
        <x:v>45343</x:v>
      </x:c>
      <x:c r="B2125" s="197" t="n">
        <x:v>121.0379</x:v>
      </x:c>
    </x:row>
    <x:row r="2126">
      <x:c r="A2126" s="187" t="n">
        <x:v>45344</x:v>
      </x:c>
      <x:c r="B2126" s="197" t="n">
        <x:v>121.102</x:v>
      </x:c>
    </x:row>
    <x:row r="2127">
      <x:c r="A2127" s="187" t="n">
        <x:v>45345</x:v>
      </x:c>
      <x:c r="B2127" s="197" t="n">
        <x:v>121.0369</x:v>
      </x:c>
    </x:row>
    <x:row r="2128">
      <x:c r="A2128" s="187" t="n">
        <x:v>45348</x:v>
      </x:c>
      <x:c r="B2128" s="197" t="n">
        <x:v>121.0592</x:v>
      </x:c>
    </x:row>
    <x:row r="2129">
      <x:c r="A2129" s="187" t="n">
        <x:v>45349</x:v>
      </x:c>
      <x:c r="B2129" s="197" t="n">
        <x:v>120.9647</x:v>
      </x:c>
    </x:row>
    <x:row r="2130">
      <x:c r="A2130" s="187" t="n">
        <x:v>45350</x:v>
      </x:c>
      <x:c r="B2130" s="197" t="n">
        <x:v>121.128</x:v>
      </x:c>
    </x:row>
    <x:row r="2131">
      <x:c r="A2131" s="187" t="n">
        <x:v>45351</x:v>
      </x:c>
      <x:c r="B2131" s="197" t="n">
        <x:v>121.1824</x:v>
      </x:c>
    </x:row>
    <x:row r="2132">
      <x:c r="A2132" s="187" t="n">
        <x:v>45352</x:v>
      </x:c>
      <x:c r="B2132" s="197" t="n">
        <x:v>121.0111</x:v>
      </x:c>
    </x:row>
    <x:row r="2133">
      <x:c r="A2133" s="187" t="n">
        <x:v>45355</x:v>
      </x:c>
      <x:c r="B2133" s="197" t="n">
        <x:v>120.872</x:v>
      </x:c>
    </x:row>
    <x:row r="2134">
      <x:c r="A2134" s="187" t="n">
        <x:v>45356</x:v>
      </x:c>
      <x:c r="B2134" s="197" t="n">
        <x:v>120.8846</x:v>
      </x:c>
    </x:row>
    <x:row r="2135">
      <x:c r="A2135" s="187" t="n">
        <x:v>45357</x:v>
      </x:c>
      <x:c r="B2135" s="197" t="n">
        <x:v>120.4649</x:v>
      </x:c>
    </x:row>
    <x:row r="2136">
      <x:c r="A2136" s="187" t="n">
        <x:v>45358</x:v>
      </x:c>
      <x:c r="B2136" s="197" t="n">
        <x:v>120.1909</x:v>
      </x:c>
    </x:row>
    <x:row r="2137">
      <x:c r="A2137" s="187" t="n">
        <x:v>45359</x:v>
      </x:c>
      <x:c r="B2137" s="197" t="n">
        <x:v>119.975</x:v>
      </x:c>
    </x:row>
    <x:row r="2138">
      <x:c r="A2138" s="187" t="n">
        <x:v>45362</x:v>
      </x:c>
      <x:c r="B2138" s="197" t="n">
        <x:v>120.0394</x:v>
      </x:c>
    </x:row>
    <x:row r="2139">
      <x:c r="A2139" s="187" t="n">
        <x:v>45363</x:v>
      </x:c>
      <x:c r="B2139" s="197" t="n">
        <x:v>120.1668</x:v>
      </x:c>
    </x:row>
    <x:row r="2140">
      <x:c r="A2140" s="187" t="n">
        <x:v>45364</x:v>
      </x:c>
      <x:c r="B2140" s="197" t="n">
        <x:v>119.9642</x:v>
      </x:c>
    </x:row>
    <x:row r="2141">
      <x:c r="A2141" s="187" t="n">
        <x:v>45365</x:v>
      </x:c>
      <x:c r="B2141" s="197" t="n">
        <x:v>120.241</x:v>
      </x:c>
    </x:row>
    <x:row r="2142">
      <x:c r="A2142" s="187" t="n">
        <x:v>45366</x:v>
      </x:c>
      <x:c r="B2142" s="197" t="n">
        <x:v>120.4003</x:v>
      </x:c>
    </x:row>
    <x:row r="2143">
      <x:c r="A2143" s="187" t="n">
        <x:v>45369</x:v>
      </x:c>
      <x:c r="B2143" s="197" t="n">
        <x:v>120.5752</x:v>
      </x:c>
    </x:row>
    <x:row r="2144">
      <x:c r="A2144" s="187" t="n">
        <x:v>45370</x:v>
      </x:c>
      <x:c r="B2144" s="197" t="n">
        <x:v>120.9332</x:v>
      </x:c>
    </x:row>
    <x:row r="2145">
      <x:c r="A2145" s="187" t="n">
        <x:v>45371</x:v>
      </x:c>
      <x:c r="B2145" s="197" t="n">
        <x:v>120.9289</x:v>
      </x:c>
    </x:row>
    <x:row r="2146">
      <x:c r="A2146" s="187" t="n">
        <x:v>45372</x:v>
      </x:c>
      <x:c r="B2146" s="197" t="n">
        <x:v>120.8086</x:v>
      </x:c>
    </x:row>
    <x:row r="2147">
      <x:c r="A2147" s="187" t="n">
        <x:v>45373</x:v>
      </x:c>
      <x:c r="B2147" s="197" t="n">
        <x:v>121.1842</x:v>
      </x:c>
    </x:row>
    <x:row r="2148">
      <x:c r="A2148" s="187" t="n">
        <x:v>45376</x:v>
      </x:c>
      <x:c r="B2148" s="197" t="n">
        <x:v>121.0295</x:v>
      </x:c>
    </x:row>
    <x:row r="2149">
      <x:c r="A2149" s="187" t="n">
        <x:v>45377</x:v>
      </x:c>
      <x:c r="B2149" s="197" t="n">
        <x:v>121.0742</x:v>
      </x:c>
    </x:row>
    <x:row r="2150">
      <x:c r="A2150" s="187" t="n">
        <x:v>45378</x:v>
      </x:c>
      <x:c r="B2150" s="197" t="n">
        <x:v>121.0089</x:v>
      </x:c>
    </x:row>
    <x:row r="2151">
      <x:c r="A2151" s="187" t="n">
        <x:v>45379</x:v>
      </x:c>
      <x:c r="B2151" s="197" t="n">
        <x:v>121.0635</x:v>
      </x:c>
    </x:row>
    <x:row r="2152">
      <x:c r="A2152" s="187" t="n">
        <x:v>45380</x:v>
      </x:c>
      <x:c r="B2152" s="197" t="n">
        <x:v>121.0191</x:v>
      </x:c>
    </x:row>
    <x:row r="2153">
      <x:c r="A2153" s="187" t="n">
        <x:v>45383</x:v>
      </x:c>
      <x:c r="B2153" s="197" t="n">
        <x:v>121.5151</x:v>
      </x:c>
    </x:row>
    <x:row r="2154">
      <x:c r="A2154" s="187" t="n">
        <x:v>45384</x:v>
      </x:c>
      <x:c r="B2154" s="197" t="n">
        <x:v>121.3035</x:v>
      </x:c>
    </x:row>
    <x:row r="2155">
      <x:c r="A2155" s="187" t="n">
        <x:v>45385</x:v>
      </x:c>
      <x:c r="B2155" s="197" t="n">
        <x:v>121.0198</x:v>
      </x:c>
    </x:row>
    <x:row r="2156">
      <x:c r="A2156" s="187" t="n">
        <x:v>45386</x:v>
      </x:c>
      <x:c r="B2156" s="197" t="n">
        <x:v>120.7613</x:v>
      </x:c>
    </x:row>
    <x:row r="2157">
      <x:c r="A2157" s="187" t="n">
        <x:v>45387</x:v>
      </x:c>
      <x:c r="B2157" s="197" t="n">
        <x:v>120.9646</x:v>
      </x:c>
    </x:row>
    <x:row r="2158">
      <x:c r="A2158" s="187" t="n">
        <x:v>45390</x:v>
      </x:c>
      <x:c r="B2158" s="197" t="n">
        <x:v>120.7359</x:v>
      </x:c>
    </x:row>
    <x:row r="2159">
      <x:c r="A2159" s="187" t="n">
        <x:v>45391</x:v>
      </x:c>
      <x:c r="B2159" s="197" t="n">
        <x:v>120.7048</x:v>
      </x:c>
    </x:row>
    <x:row r="2160">
      <x:c r="A2160" s="187" t="n">
        <x:v>45392</x:v>
      </x:c>
      <x:c r="B2160" s="197" t="n">
        <x:v>121.5727</x:v>
      </x:c>
    </x:row>
    <x:row r="2161">
      <x:c r="A2161" s="187" t="n">
        <x:v>45393</x:v>
      </x:c>
      <x:c r="B2161" s="197" t="n">
        <x:v>121.6081</x:v>
      </x:c>
    </x:row>
    <x:row r="2162">
      <x:c r="A2162" s="187" t="n">
        <x:v>45394</x:v>
      </x:c>
      <x:c r="B2162" s="197" t="n">
        <x:v>122.2885</x:v>
      </x:c>
    </x:row>
    <x:row r="2163">
      <x:c r="A2163" s="187" t="n">
        <x:v>45397</x:v>
      </x:c>
      <x:c r="B2163" s="197" t="n">
        <x:v>122.425</x:v>
      </x:c>
    </x:row>
    <x:row r="2164">
      <x:c r="A2164" s="187" t="n">
        <x:v>45398</x:v>
      </x:c>
      <x:c r="B2164" s="197" t="n">
        <x:v>123.1234</x:v>
      </x:c>
    </x:row>
    <x:row r="2165">
      <x:c r="A2165" s="187" t="n">
        <x:v>45399</x:v>
      </x:c>
      <x:c r="B2165" s="197" t="n">
        <x:v>123.0207</x:v>
      </x:c>
    </x:row>
    <x:row r="2166">
      <x:c r="A2166" s="187" t="n">
        <x:v>45400</x:v>
      </x:c>
      <x:c r="B2166" s="197" t="n">
        <x:v>123.0017</x:v>
      </x:c>
    </x:row>
    <x:row r="2167">
      <x:c r="A2167" s="187" t="n">
        <x:v>45401</x:v>
      </x:c>
      <x:c r="B2167" s="197" t="n">
        <x:v>123.1075</x:v>
      </x:c>
    </x:row>
    <x:row r="2168">
      <x:c r="A2168" s="187" t="n">
        <x:v>45404</x:v>
      </x:c>
      <x:c r="B2168" s="197" t="n">
        <x:v>123.0609</x:v>
      </x:c>
    </x:row>
    <x:row r="2169">
      <x:c r="A2169" s="187" t="n">
        <x:v>45405</x:v>
      </x:c>
      <x:c r="B2169" s="197" t="n">
        <x:v>122.7227</x:v>
      </x:c>
    </x:row>
    <x:row r="2170">
      <x:c r="A2170" s="187" t="n">
        <x:v>45406</x:v>
      </x:c>
      <x:c r="B2170" s="197" t="n">
        <x:v>122.89</x:v>
      </x:c>
    </x:row>
    <x:row r="2171">
      <x:c r="A2171" s="187" t="n">
        <x:v>45407</x:v>
      </x:c>
      <x:c r="B2171" s="197" t="n">
        <x:v>122.8384</x:v>
      </x:c>
    </x:row>
    <x:row r="2172">
      <x:c r="A2172" s="187" t="n">
        <x:v>45408</x:v>
      </x:c>
      <x:c r="B2172" s="197" t="n">
        <x:v>122.9471</x:v>
      </x:c>
    </x:row>
    <x:row r="2173">
      <x:c r="A2173" s="187" t="n">
        <x:v>45411</x:v>
      </x:c>
      <x:c r="B2173" s="197" t="n">
        <x:v>122.5449</x:v>
      </x:c>
    </x:row>
    <x:row r="2174">
      <x:c r="A2174" s="187" t="n">
        <x:v>45412</x:v>
      </x:c>
      <x:c r="B2174" s="197" t="n">
        <x:v>122.9853</x:v>
      </x:c>
    </x:row>
    <x:row r="2175">
      <x:c r="A2175" s="187" t="n">
        <x:v>45413</x:v>
      </x:c>
      <x:c r="B2175" s="197" t="n">
        <x:v>123.0168</x:v>
      </x:c>
    </x:row>
    <x:row r="2176">
      <x:c r="A2176" s="187" t="n">
        <x:v>45414</x:v>
      </x:c>
      <x:c r="B2176" s="197" t="n">
        <x:v>122.4384</x:v>
      </x:c>
    </x:row>
    <x:row r="2177">
      <x:c r="A2177" s="187" t="n">
        <x:v>45415</x:v>
      </x:c>
      <x:c r="B2177" s="197" t="n">
        <x:v>122.1375</x:v>
      </x:c>
    </x:row>
    <x:row r="2178">
      <x:c r="A2178" s="187" t="n">
        <x:v>45418</x:v>
      </x:c>
      <x:c r="B2178" s="197" t="n">
        <x:v>121.8913</x:v>
      </x:c>
    </x:row>
    <x:row r="2179">
      <x:c r="A2179" s="187" t="n">
        <x:v>45419</x:v>
      </x:c>
      <x:c r="B2179" s="197" t="n">
        <x:v>122.093</x:v>
      </x:c>
    </x:row>
    <x:row r="2180">
      <x:c r="A2180" s="187" t="n">
        <x:v>45420</x:v>
      </x:c>
      <x:c r="B2180" s="197" t="n">
        <x:v>122.1926</x:v>
      </x:c>
    </x:row>
    <x:row r="2181">
      <x:c r="A2181" s="187" t="n">
        <x:v>45421</x:v>
      </x:c>
      <x:c r="B2181" s="197" t="n">
        <x:v>122.1634</x:v>
      </x:c>
    </x:row>
    <x:row r="2182">
      <x:c r="A2182" s="187" t="n">
        <x:v>45422</x:v>
      </x:c>
      <x:c r="B2182" s="197" t="n">
        <x:v>122.014</x:v>
      </x:c>
    </x:row>
    <x:row r="2183">
      <x:c r="A2183" s="187" t="n">
        <x:v>45425</x:v>
      </x:c>
      <x:c r="B2183" s="197" t="n">
        <x:v>122.0261</x:v>
      </x:c>
    </x:row>
    <x:row r="2184">
      <x:c r="A2184" s="187" t="n">
        <x:v>45426</x:v>
      </x:c>
      <x:c r="B2184" s="197" t="n">
        <x:v>121.9256</x:v>
      </x:c>
    </x:row>
    <x:row r="2185">
      <x:c r="A2185" s="187" t="n">
        <x:v>45427</x:v>
      </x:c>
      <x:c r="B2185" s="197" t="n">
        <x:v>121.3543</x:v>
      </x:c>
    </x:row>
    <x:row r="2186">
      <x:c r="A2186" s="187" t="n">
        <x:v>45428</x:v>
      </x:c>
      <x:c r="B2186" s="197" t="n">
        <x:v>121.2236</x:v>
      </x:c>
    </x:row>
    <x:row r="2187">
      <x:c r="A2187" s="187" t="n">
        <x:v>45429</x:v>
      </x:c>
      <x:c r="B2187" s="197" t="n">
        <x:v>121.2354</x:v>
      </x:c>
    </x:row>
    <x:row r="2188">
      <x:c r="A2188" s="187" t="n">
        <x:v>45432</x:v>
      </x:c>
      <x:c r="B2188" s="197" t="n">
        <x:v>121.2289</x:v>
      </x:c>
    </x:row>
    <x:row r="2189">
      <x:c r="A2189" s="187" t="n">
        <x:v>45433</x:v>
      </x:c>
      <x:c r="B2189" s="197" t="n">
        <x:v>121.3793</x:v>
      </x:c>
    </x:row>
    <x:row r="2190">
      <x:c r="A2190" s="187" t="n">
        <x:v>45434</x:v>
      </x:c>
      <x:c r="B2190" s="197" t="n">
        <x:v>121.5462</x:v>
      </x:c>
    </x:row>
    <x:row r="2191">
      <x:c r="A2191" s="187" t="n">
        <x:v>45435</x:v>
      </x:c>
      <x:c r="B2191" s="197" t="n">
        <x:v>121.7477</x:v>
      </x:c>
    </x:row>
    <x:row r="2192">
      <x:c r="A2192" s="187" t="n">
        <x:v>45436</x:v>
      </x:c>
      <x:c r="B2192" s="197" t="n">
        <x:v>121.6172</x:v>
      </x:c>
    </x:row>
    <x:row r="2193">
      <x:c r="A2193" s="187" t="n">
        <x:v>45439</x:v>
      </x:c>
      <x:c r="B2193" s="197"/>
    </x:row>
    <x:row r="2194">
      <x:c r="A2194" s="187" t="n">
        <x:v>45440</x:v>
      </x:c>
      <x:c r="B2194" s="197" t="n">
        <x:v>121.43</x:v>
      </x:c>
    </x:row>
    <x:row r="2195">
      <x:c r="A2195" s="187" t="n">
        <x:v>45441</x:v>
      </x:c>
      <x:c r="B2195" s="197" t="n">
        <x:v>122.1641</x:v>
      </x:c>
    </x:row>
    <x:row r="2196">
      <x:c r="A2196" s="187" t="n">
        <x:v>45442</x:v>
      </x:c>
      <x:c r="B2196" s="197" t="n">
        <x:v>121.9601</x:v>
      </x:c>
    </x:row>
    <x:row r="2197">
      <x:c r="A2197" s="187" t="n">
        <x:v>45443</x:v>
      </x:c>
      <x:c r="B2197" s="197" t="n">
        <x:v>122.098</x:v>
      </x:c>
    </x:row>
    <x:row r="2198">
      <x:c r="A2198" s="187" t="n">
        <x:v>45446</x:v>
      </x:c>
      <x:c r="B2198" s="197" t="n">
        <x:v>122.3509</x:v>
      </x:c>
    </x:row>
    <x:row r="2199">
      <x:c r="A2199" s="187" t="n">
        <x:v>45447</x:v>
      </x:c>
      <x:c r="B2199" s="197" t="n">
        <x:v>122.7256</x:v>
      </x:c>
    </x:row>
    <x:row r="2200">
      <x:c r="A2200" s="187" t="n">
        <x:v>45448</x:v>
      </x:c>
      <x:c r="B2200" s="197" t="n">
        <x:v>122.5339</x:v>
      </x:c>
    </x:row>
    <x:row r="2201">
      <x:c r="A2201" s="187" t="n">
        <x:v>45449</x:v>
      </x:c>
      <x:c r="B2201" s="197" t="n">
        <x:v>122.3713</x:v>
      </x:c>
    </x:row>
    <x:row r="2202">
      <x:c r="A2202" s="187" t="n">
        <x:v>45450</x:v>
      </x:c>
      <x:c r="B2202" s="197" t="n">
        <x:v>123.549</x:v>
      </x:c>
    </x:row>
    <x:row r="2203">
      <x:c r="A2203" s="187" t="n">
        <x:v>45453</x:v>
      </x:c>
      <x:c r="B2203" s="197" t="n">
        <x:v>123.9125</x:v>
      </x:c>
    </x:row>
    <x:row r="2204">
      <x:c r="A2204" s="187" t="n">
        <x:v>45454</x:v>
      </x:c>
      <x:c r="B2204" s="197" t="n">
        <x:v>124.0349</x:v>
      </x:c>
    </x:row>
    <x:row r="2205">
      <x:c r="A2205" s="187" t="n">
        <x:v>45455</x:v>
      </x:c>
      <x:c r="B2205" s="197" t="n">
        <x:v>123.8295</x:v>
      </x:c>
    </x:row>
    <x:row r="2206">
      <x:c r="A2206" s="187" t="n">
        <x:v>45456</x:v>
      </x:c>
      <x:c r="B2206" s="197" t="n">
        <x:v>124.0235</x:v>
      </x:c>
    </x:row>
    <x:row r="2207">
      <x:c r="A2207" s="187" t="n">
        <x:v>45457</x:v>
      </x:c>
      <x:c r="B2207" s="197" t="n">
        <x:v>124.1694</x:v>
      </x:c>
    </x:row>
    <x:row r="2208">
      <x:c r="A2208" s="187" t="n">
        <x:v>45460</x:v>
      </x:c>
      <x:c r="B2208" s="197" t="n">
        <x:v>124.239</x:v>
      </x:c>
    </x:row>
    <x:row r="2209">
      <x:c r="A2209" s="187" t="n">
        <x:v>45461</x:v>
      </x:c>
      <x:c r="B2209" s="197" t="n">
        <x:v>123.9776</x:v>
      </x:c>
    </x:row>
    <x:row r="2210">
      <x:c r="A2210" s="187" t="n">
        <x:v>45462</x:v>
      </x:c>
      <x:c r="B2210" s="197"/>
    </x:row>
    <x:row r="2211">
      <x:c r="A2211" s="187" t="n">
        <x:v>45463</x:v>
      </x:c>
      <x:c r="B2211" s="197" t="n">
        <x:v>124.192</x:v>
      </x:c>
    </x:row>
    <x:row r="2212">
      <x:c r="A2212" s="187" t="n">
        <x:v>45464</x:v>
      </x:c>
      <x:c r="B2212" s="197" t="n">
        <x:v>124.1086</x:v>
      </x:c>
    </x:row>
    <x:row r="2213">
      <x:c r="A2213" s="187" t="n">
        <x:v>45467</x:v>
      </x:c>
      <x:c r="B2213" s="197" t="n">
        <x:v>123.7125</x:v>
      </x:c>
    </x:row>
    <x:row r="2214">
      <x:c r="A2214" s="187" t="n">
        <x:v>45468</x:v>
      </x:c>
      <x:c r="B2214" s="197" t="n">
        <x:v>123.9417</x:v>
      </x:c>
    </x:row>
    <x:row r="2215">
      <x:c r="A2215" s="187" t="n">
        <x:v>45469</x:v>
      </x:c>
      <x:c r="B2215" s="197" t="n">
        <x:v>124.26</x:v>
      </x:c>
    </x:row>
    <x:row r="2216">
      <x:c r="A2216" s="187" t="n">
        <x:v>45470</x:v>
      </x:c>
      <x:c r="B2216" s="197" t="n">
        <x:v>124.3379</x:v>
      </x:c>
    </x:row>
    <x:row r="2217">
      <x:c r="A2217" s="187" t="n">
        <x:v>45471</x:v>
      </x:c>
      <x:c r="B2217" s="197" t="n">
        <x:v>124.2103</x:v>
      </x:c>
    </x:row>
    <x:row r="2218">
      <x:c r="A2218" s="187" t="n">
        <x:v>45474</x:v>
      </x:c>
      <x:c r="B2218" s="197" t="n">
        <x:v>124.4667</x:v>
      </x:c>
    </x:row>
    <x:row r="2219">
      <x:c r="A2219" s="187" t="n">
        <x:v>45475</x:v>
      </x:c>
      <x:c r="B2219" s="197" t="n">
        <x:v>124.2917</x:v>
      </x:c>
    </x:row>
    <x:row r="2220">
      <x:c r="A2220" s="187" t="n">
        <x:v>45476</x:v>
      </x:c>
      <x:c r="B2220" s="197" t="n">
        <x:v>123.7768</x:v>
      </x:c>
    </x:row>
    <x:row r="2221">
      <x:c r="A2221" s="187" t="n">
        <x:v>45477</x:v>
      </x:c>
      <x:c r="B2221" s="197"/>
    </x:row>
    <x:row r="2222">
      <x:c r="A2222" s="187" t="n">
        <x:v>45478</x:v>
      </x:c>
      <x:c r="B2222" s="197" t="n">
        <x:v>123.4762</x:v>
      </x:c>
    </x:row>
    <x:row r="2223">
      <x:c r="A2223" s="187" t="n">
        <x:v>45481</x:v>
      </x:c>
      <x:c r="B2223" s="197" t="n">
        <x:v>123.3576</x:v>
      </x:c>
    </x:row>
    <x:row r="2224">
      <x:c r="A2224" s="187" t="n">
        <x:v>45482</x:v>
      </x:c>
      <x:c r="B2224" s="197" t="n">
        <x:v>123.4071</x:v>
      </x:c>
    </x:row>
    <x:row r="2225">
      <x:c r="A2225" s="187" t="n">
        <x:v>45483</x:v>
      </x:c>
      <x:c r="B2225" s="197" t="n">
        <x:v>123.1895</x:v>
      </x:c>
    </x:row>
    <x:row r="2226">
      <x:c r="A2226" s="187" t="n">
        <x:v>45484</x:v>
      </x:c>
      <x:c r="B2226" s="197" t="n">
        <x:v>122.769</x:v>
      </x:c>
    </x:row>
    <x:row r="2227">
      <x:c r="A2227" s="187" t="n">
        <x:v>45485</x:v>
      </x:c>
      <x:c r="B2227" s="197" t="n">
        <x:v>122.4404</x:v>
      </x:c>
    </x:row>
    <x:row r="2228">
      <x:c r="A2228" s="187" t="n">
        <x:v>45488</x:v>
      </x:c>
      <x:c r="B2228" s="197" t="n">
        <x:v>122.6347</x:v>
      </x:c>
    </x:row>
    <x:row r="2229">
      <x:c r="A2229" s="187" t="n">
        <x:v>45489</x:v>
      </x:c>
      <x:c r="B2229" s="197" t="n">
        <x:v>122.7264</x:v>
      </x:c>
    </x:row>
    <x:row r="2230">
      <x:c r="A2230" s="187" t="n">
        <x:v>45490</x:v>
      </x:c>
      <x:c r="B2230" s="197" t="n">
        <x:v>122.518</x:v>
      </x:c>
    </x:row>
    <x:row r="2231">
      <x:c r="A2231" s="187" t="n">
        <x:v>45491</x:v>
      </x:c>
      <x:c r="B2231" s="197" t="n">
        <x:v>122.7909</x:v>
      </x:c>
    </x:row>
    <x:row r="2232">
      <x:c r="A2232" s="187" t="n">
        <x:v>45492</x:v>
      </x:c>
      <x:c r="B2232" s="197" t="n">
        <x:v>123.147</x:v>
      </x:c>
    </x:row>
    <x:row r="2233">
      <x:c r="A2233" s="187" t="n">
        <x:v>45495</x:v>
      </x:c>
      <x:c r="B2233" s="197" t="n">
        <x:v>123.2172</x:v>
      </x:c>
    </x:row>
    <x:row r="2234">
      <x:c r="A2234" s="187" t="n">
        <x:v>45496</x:v>
      </x:c>
      <x:c r="B2234" s="197" t="n">
        <x:v>123.3843</x:v>
      </x:c>
    </x:row>
    <x:row r="2235">
      <x:c r="A2235" s="187" t="n">
        <x:v>45497</x:v>
      </x:c>
      <x:c r="B2235" s="197" t="n">
        <x:v>123.5575</x:v>
      </x:c>
    </x:row>
    <x:row r="2236">
      <x:c r="A2236" s="187" t="n">
        <x:v>45498</x:v>
      </x:c>
      <x:c r="B2236" s="197" t="n">
        <x:v>123.5286</x:v>
      </x:c>
    </x:row>
    <x:row r="2237">
      <x:c r="A2237" s="187" t="n">
        <x:v>45499</x:v>
      </x:c>
      <x:c r="B2237" s="197" t="n">
        <x:v>123.672</x:v>
      </x:c>
    </x:row>
    <x:row r="2238">
      <x:c r="A2238" s="187" t="n">
        <x:v>45502</x:v>
      </x:c>
      <x:c r="B2238" s="197" t="n">
        <x:v>124.1392</x:v>
      </x:c>
    </x:row>
    <x:row r="2239">
      <x:c r="A2239" s="187" t="n">
        <x:v>45503</x:v>
      </x:c>
      <x:c r="B2239" s="197" t="n">
        <x:v>124.2855</x:v>
      </x:c>
    </x:row>
    <x:row r="2240">
      <x:c r="A2240" s="187" t="n">
        <x:v>45504</x:v>
      </x:c>
      <x:c r="B2240" s="197" t="n">
        <x:v>123.6373</x:v>
      </x:c>
    </x:row>
    <x:row r="2241">
      <x:c r="A2241" s="187" t="n">
        <x:v>45505</x:v>
      </x:c>
      <x:c r="B2241" s="197" t="n">
        <x:v>123.8693</x:v>
      </x:c>
    </x:row>
    <x:row r="2242">
      <x:c r="A2242" s="187" t="n">
        <x:v>45506</x:v>
      </x:c>
      <x:c r="B2242" s="197" t="n">
        <x:v>123.4681</x:v>
      </x:c>
    </x:row>
    <x:row r="2243">
      <x:c r="A2243" s="187" t="n">
        <x:v>45509</x:v>
      </x:c>
      <x:c r="B2243" s="197" t="n">
        <x:v>123.5787</x:v>
      </x:c>
    </x:row>
    <x:row r="2244">
      <x:c r="A2244" s="187" t="n">
        <x:v>45510</x:v>
      </x:c>
      <x:c r="B2244" s="197" t="n">
        <x:v>123.6532</x:v>
      </x:c>
    </x:row>
    <x:row r="2245">
      <x:c r="A2245" s="187" t="n">
        <x:v>45511</x:v>
      </x:c>
      <x:c r="B2245" s="197" t="n">
        <x:v>123.5698</x:v>
      </x:c>
    </x:row>
    <x:row r="2246">
      <x:c r="A2246" s="187" t="n">
        <x:v>45512</x:v>
      </x:c>
      <x:c r="B2246" s="197" t="n">
        <x:v>123.4466</x:v>
      </x:c>
    </x:row>
    <x:row r="2247">
      <x:c r="A2247" s="187" t="n">
        <x:v>45513</x:v>
      </x:c>
      <x:c r="B2247" s="197" t="n">
        <x:v>122.9276</x:v>
      </x:c>
    </x:row>
    <x:row r="2248">
      <x:c r="A2248" s="187" t="n">
        <x:v>45516</x:v>
      </x:c>
      <x:c r="B2248" s="197" t="n">
        <x:v>123.2204</x:v>
      </x:c>
    </x:row>
    <x:row r="2249">
      <x:c r="A2249" s="187" t="n">
        <x:v>45517</x:v>
      </x:c>
      <x:c r="B2249" s="197" t="n">
        <x:v>123.0146</x:v>
      </x:c>
    </x:row>
    <x:row r="2250">
      <x:c r="A2250" s="187" t="n">
        <x:v>45518</x:v>
      </x:c>
      <x:c r="B2250" s="197" t="n">
        <x:v>122.4297</x:v>
      </x:c>
    </x:row>
    <x:row r="2251">
      <x:c r="A2251" s="187" t="n">
        <x:v>45519</x:v>
      </x:c>
      <x:c r="B2251" s="197" t="n">
        <x:v>122.5844</x:v>
      </x:c>
    </x:row>
    <x:row r="2252">
      <x:c r="A2252" s="187" t="n">
        <x:v>45520</x:v>
      </x:c>
      <x:c r="B2252" s="197" t="n">
        <x:v>122.3972</x:v>
      </x:c>
    </x:row>
    <x:row r="2253">
      <x:c r="A2253" s="187" t="n">
        <x:v>45523</x:v>
      </x:c>
      <x:c r="B2253" s="197" t="n">
        <x:v>121.8788</x:v>
      </x:c>
    </x:row>
    <x:row r="2254">
      <x:c r="A2254" s="187" t="n">
        <x:v>45524</x:v>
      </x:c>
      <x:c r="B2254" s="197" t="n">
        <x:v>121.7728</x:v>
      </x:c>
    </x:row>
    <x:row r="2255">
      <x:c r="A2255" s="187" t="n">
        <x:v>45525</x:v>
      </x:c>
      <x:c r="B2255" s="197" t="n">
        <x:v>121.8535</x:v>
      </x:c>
    </x:row>
    <x:row r="2256">
      <x:c r="A2256" s="187" t="n">
        <x:v>45526</x:v>
      </x:c>
      <x:c r="B2256" s="197" t="n">
        <x:v>122.3626</x:v>
      </x:c>
    </x:row>
    <x:row r="2257">
      <x:c r="A2257" s="187" t="n">
        <x:v>45527</x:v>
      </x:c>
      <x:c r="B2257" s="197" t="n">
        <x:v>121.4597</x:v>
      </x:c>
    </x:row>
    <x:row r="2258">
      <x:c r="A2258" s="187" t="n">
        <x:v>45530</x:v>
      </x:c>
      <x:c r="B2258" s="197" t="n">
        <x:v>121.6943</x:v>
      </x:c>
    </x:row>
    <x:row r="2259">
      <x:c r="A2259" s="187" t="n">
        <x:v>45531</x:v>
      </x:c>
      <x:c r="B2259" s="197" t="n">
        <x:v>121.8672</x:v>
      </x:c>
    </x:row>
    <x:row r="2260">
      <x:c r="A2260" s="187" t="n">
        <x:v>45532</x:v>
      </x:c>
      <x:c r="B2260" s="197" t="n">
        <x:v>121.8943</x:v>
      </x:c>
    </x:row>
    <x:row r="2261">
      <x:c r="A2261" s="187" t="n">
        <x:v>45533</x:v>
      </x:c>
      <x:c r="B2261" s="197" t="n">
        <x:v>122.2333</x:v>
      </x:c>
    </x:row>
    <x:row r="2262">
      <x:c r="A2262" s="187" t="n">
        <x:v>45534</x:v>
      </x:c>
      <x:c r="B2262" s="197" t="n">
        <x:v>122.3262</x:v>
      </x:c>
    </x:row>
    <x:row r="2263">
      <x:c r="A2263" s="187" t="n">
        <x:v>45537</x:v>
      </x:c>
      <x:c r="B2263" s="197"/>
    </x:row>
    <x:row r="2264">
      <x:c r="A2264" s="187" t="n">
        <x:v>45538</x:v>
      </x:c>
      <x:c r="B2264" s="197" t="n">
        <x:v>122.7811</x:v>
      </x:c>
    </x:row>
    <x:row r="2265">
      <x:c r="A2265" s="187" t="n">
        <x:v>45539</x:v>
      </x:c>
      <x:c r="B2265" s="197" t="n">
        <x:v>122.5144</x:v>
      </x:c>
    </x:row>
    <x:row r="2266">
      <x:c r="A2266" s="187" t="n">
        <x:v>45540</x:v>
      </x:c>
      <x:c r="B2266" s="197" t="n">
        <x:v>122.4533</x:v>
      </x:c>
    </x:row>
    <x:row r="2267">
      <x:c r="A2267" s="187" t="n">
        <x:v>45541</x:v>
      </x:c>
      <x:c r="B2267" s="197" t="n">
        <x:v>122.4991</x:v>
      </x:c>
    </x:row>
    <x:row r="2268">
      <x:c r="A2268" s="187" t="n">
        <x:v>45544</x:v>
      </x:c>
      <x:c r="B2268" s="197" t="n">
        <x:v>122.7156</x:v>
      </x:c>
    </x:row>
    <x:row r="2269">
      <x:c r="A2269" s="187" t="n">
        <x:v>45545</x:v>
      </x:c>
      <x:c r="B2269" s="197" t="n">
        <x:v>123.0071</x:v>
      </x:c>
    </x:row>
    <x:row r="2270">
      <x:c r="A2270" s="187" t="n">
        <x:v>45546</x:v>
      </x:c>
      <x:c r="B2270" s="197" t="n">
        <x:v>122.7754</x:v>
      </x:c>
    </x:row>
    <x:row r="2271">
      <x:c r="A2271" s="187" t="n">
        <x:v>45547</x:v>
      </x:c>
      <x:c r="B2271" s="197" t="n">
        <x:v>122.4423</x:v>
      </x:c>
    </x:row>
    <x:row r="2272">
      <x:c r="A2272" s="187" t="n">
        <x:v>45548</x:v>
      </x:c>
      <x:c r="B2272" s="197" t="n">
        <x:v>121.6551</x:v>
      </x:c>
    </x:row>
    <x:row r="2273">
      <x:c r="A2273" s="187" t="n">
        <x:v>45551</x:v>
      </x:c>
      <x:c r="B2273" s="197" t="n">
        <x:v>121.4976</x:v>
      </x:c>
    </x:row>
    <x:row r="2274">
      <x:c r="A2274" s="187" t="n">
        <x:v>45552</x:v>
      </x:c>
      <x:c r="B2274" s="197" t="n">
        <x:v>121.6031</x:v>
      </x:c>
    </x:row>
    <x:row r="2275">
      <x:c r="A2275" s="187" t="n">
        <x:v>45553</x:v>
      </x:c>
      <x:c r="B2275" s="197" t="n">
        <x:v>121.5618</x:v>
      </x:c>
    </x:row>
    <x:row r="2276">
      <x:c r="A2276" s="187" t="n">
        <x:v>45554</x:v>
      </x:c>
      <x:c r="B2276" s="197" t="n">
        <x:v>121.3059</x:v>
      </x:c>
    </x:row>
    <x:row r="2277">
      <x:c r="A2277" s="187" t="n">
        <x:v>45555</x:v>
      </x:c>
      <x:c r="B2277" s="197" t="n">
        <x:v>121.4052</x:v>
      </x:c>
    </x:row>
    <x:row r="2278">
      <x:c r="A2278" s="187" t="n">
        <x:v>45558</x:v>
      </x:c>
      <x:c r="B2278" s="197" t="n">
        <x:v>121.4303</x:v>
      </x:c>
    </x:row>
    <x:row r="2279">
      <x:c r="A2279" s="187" t="n">
        <x:v>45559</x:v>
      </x:c>
      <x:c r="B2279" s="197" t="n">
        <x:v>121.1291</x:v>
      </x:c>
    </x:row>
    <x:row r="2280">
      <x:c r="A2280" s="187" t="n">
        <x:v>45560</x:v>
      </x:c>
      <x:c r="B2280" s="197" t="n">
        <x:v>121.4447</x:v>
      </x:c>
    </x:row>
    <x:row r="2281">
      <x:c r="A2281" s="187" t="n">
        <x:v>45561</x:v>
      </x:c>
      <x:c r="B2281" s="197" t="n">
        <x:v>121.0785</x:v>
      </x:c>
    </x:row>
    <x:row r="2282">
      <x:c r="A2282" s="187" t="n">
        <x:v>45562</x:v>
      </x:c>
      <x:c r="B2282" s="197" t="n">
        <x:v>121.1111</x:v>
      </x:c>
    </x:row>
    <x:row r="2283">
      <x:c r="A2283" s="187" t="n">
        <x:v>45565</x:v>
      </x:c>
      <x:c r="B2283" s="197" t="n">
        <x:v>121.2864</x:v>
      </x:c>
    </x:row>
    <x:row r="2284">
      <x:c r="A2284" s="187" t="n">
        <x:v>45566</x:v>
      </x:c>
      <x:c r="B2284" s="197" t="n">
        <x:v>121.6881</x:v>
      </x:c>
    </x:row>
    <x:row r="2285">
      <x:c r="A2285" s="187" t="n">
        <x:v>45567</x:v>
      </x:c>
      <x:c r="B2285" s="197" t="n">
        <x:v>121.5724</x:v>
      </x:c>
    </x:row>
    <x:row r="2286">
      <x:c r="A2286" s="187" t="n">
        <x:v>45568</x:v>
      </x:c>
      <x:c r="B2286" s="197" t="n">
        <x:v>122.1197</x:v>
      </x:c>
    </x:row>
    <x:row r="2287">
      <x:c r="A2287" s="187" t="n">
        <x:v>45569</x:v>
      </x:c>
      <x:c r="B2287" s="197" t="n">
        <x:v>122.2197</x:v>
      </x:c>
    </x:row>
    <x:row r="2288">
      <x:c r="A2288" s="187" t="n">
        <x:v>45572</x:v>
      </x:c>
      <x:c r="B2288" s="197" t="n">
        <x:v>122.4241</x:v>
      </x:c>
    </x:row>
    <x:row r="2289">
      <x:c r="A2289" s="187" t="n">
        <x:v>45573</x:v>
      </x:c>
      <x:c r="B2289" s="197" t="n">
        <x:v>122.6625</x:v>
      </x:c>
    </x:row>
    <x:row r="2290">
      <x:c r="A2290" s="187" t="n">
        <x:v>45574</x:v>
      </x:c>
      <x:c r="B2290" s="197" t="n">
        <x:v>122.8821</x:v>
      </x:c>
    </x:row>
    <x:row r="2291">
      <x:c r="A2291" s="187" t="n">
        <x:v>45575</x:v>
      </x:c>
      <x:c r="B2291" s="197" t="n">
        <x:v>123.0951</x:v>
      </x:c>
    </x:row>
    <x:row r="2292">
      <x:c r="A2292" s="187" t="n">
        <x:v>45576</x:v>
      </x:c>
      <x:c r="B2292" s="197" t="n">
        <x:v>122.9805</x:v>
      </x:c>
    </x:row>
    <x:row r="2293">
      <x:c r="A2293" s="187" t="n">
        <x:v>45579</x:v>
      </x:c>
      <x:c r="B2293" s="197"/>
    </x:row>
    <x:row r="2294">
      <x:c r="A2294" s="187" t="n">
        <x:v>45580</x:v>
      </x:c>
      <x:c r="B2294" s="197" t="n">
        <x:v>123.5124</x:v>
      </x:c>
    </x:row>
    <x:row r="2295">
      <x:c r="A2295" s="187" t="n">
        <x:v>45581</x:v>
      </x:c>
      <x:c r="B2295" s="197" t="n">
        <x:v>123.9235</x:v>
      </x:c>
    </x:row>
    <x:row r="2296">
      <x:c r="A2296" s="187" t="n">
        <x:v>45582</x:v>
      </x:c>
      <x:c r="B2296" s="197" t="n">
        <x:v>124.1122</x:v>
      </x:c>
    </x:row>
    <x:row r="2297">
      <x:c r="A2297" s="187" t="n">
        <x:v>45583</x:v>
      </x:c>
      <x:c r="B2297" s="197" t="n">
        <x:v>123.9185</x:v>
      </x:c>
    </x:row>
    <x:row r="2298">
      <x:c r="A2298" s="187" t="n">
        <x:v>45586</x:v>
      </x:c>
      <x:c r="B2298" s="197" t="n">
        <x:v>124.4757</x:v>
      </x:c>
    </x:row>
    <x:row r="2299">
      <x:c r="A2299" s="187" t="n">
        <x:v>45587</x:v>
      </x:c>
      <x:c r="B2299" s="197" t="n">
        <x:v>124.4107</x:v>
      </x:c>
    </x:row>
    <x:row r="2300">
      <x:c r="A2300" s="187" t="n">
        <x:v>45588</x:v>
      </x:c>
      <x:c r="B2300" s="197" t="n">
        <x:v>124.6931</x:v>
      </x:c>
    </x:row>
    <x:row r="2301">
      <x:c r="A2301" s="187" t="n">
        <x:v>45589</x:v>
      </x:c>
      <x:c r="B2301" s="197" t="n">
        <x:v>124.5127</x:v>
      </x:c>
    </x:row>
    <x:row r="2302">
      <x:c r="A2302" s="187" t="n">
        <x:v>45590</x:v>
      </x:c>
      <x:c r="B2302" s="197" t="n">
        <x:v>124.6105</x:v>
      </x:c>
    </x:row>
    <x:row r="2303">
      <x:c r="A2303" s="187" t="n">
        <x:v>45593</x:v>
      </x:c>
      <x:c r="B2303" s="197" t="n">
        <x:v>124.8076</x:v>
      </x:c>
    </x:row>
    <x:row r="2304">
      <x:c r="A2304" s="187" t="n">
        <x:v>45594</x:v>
      </x:c>
      <x:c r="B2304" s="197" t="n">
        <x:v>124.8612</x:v>
      </x:c>
    </x:row>
    <x:row r="2305">
      <x:c r="A2305" s="187" t="n">
        <x:v>45595</x:v>
      </x:c>
      <x:c r="B2305" s="197" t="n">
        <x:v>124.8153</x:v>
      </x:c>
    </x:row>
    <x:row r="2306">
      <x:c r="A2306" s="187" t="n">
        <x:v>45596</x:v>
      </x:c>
      <x:c r="B2306" s="197" t="n">
        <x:v>124.7988</x:v>
      </x:c>
    </x:row>
    <x:row r="2307">
      <x:c r="A2307" s="187" t="n">
        <x:v>45597</x:v>
      </x:c>
      <x:c r="B2307" s="197" t="n">
        <x:v>124.8076</x:v>
      </x:c>
    </x:row>
    <x:row r="2308">
      <x:c r="A2308" s="187" t="n">
        <x:v>45600</x:v>
      </x:c>
      <x:c r="B2308" s="197" t="n">
        <x:v>124.5903</x:v>
      </x:c>
    </x:row>
    <x:row r="2309">
      <x:c r="A2309" s="187" t="n">
        <x:v>45601</x:v>
      </x:c>
      <x:c r="B2309" s="197" t="n">
        <x:v>124.5532</x:v>
      </x:c>
    </x:row>
    <x:row r="2310">
      <x:c r="A2310" s="187" t="n">
        <x:v>45602</x:v>
      </x:c>
      <x:c r="B2310" s="197" t="n">
        <x:v>125.7035</x:v>
      </x:c>
    </x:row>
    <x:row r="2311">
      <x:c r="A2311" s="187" t="n">
        <x:v>45603</x:v>
      </x:c>
      <x:c r="B2311" s="197" t="n">
        <x:v>124.775</x:v>
      </x:c>
    </x:row>
    <x:row r="2312">
      <x:c r="A2312" s="187" t="n">
        <x:v>45604</x:v>
      </x:c>
      <x:c r="B2312" s="197" t="n">
        <x:v>125.5811</x:v>
      </x:c>
    </x:row>
    <x:row r="2313">
      <x:c r="A2313" s="187" t="n">
        <x:v>45607</x:v>
      </x:c>
      <x:c r="B2313" s="197"/>
    </x:row>
    <x:row r="2314">
      <x:c r="A2314" s="187" t="n">
        <x:v>45608</x:v>
      </x:c>
      <x:c r="B2314" s="197" t="n">
        <x:v>126.7762</x:v>
      </x:c>
    </x:row>
    <x:row r="2315">
      <x:c r="A2315" s="187" t="n">
        <x:v>45609</x:v>
      </x:c>
      <x:c r="B2315" s="197" t="n">
        <x:v>126.9572</x:v>
      </x:c>
    </x:row>
    <x:row r="2316">
      <x:c r="A2316" s="187" t="n">
        <x:v>45610</x:v>
      </x:c>
      <x:c r="B2316" s="197" t="n">
        <x:v>127.0015</x:v>
      </x:c>
    </x:row>
    <x:row r="2317">
      <x:c r="A2317" s="187" t="n">
        <x:v>45611</x:v>
      </x:c>
      <x:c r="B2317" s="197" t="n">
        <x:v>126.8848</x:v>
      </x:c>
    </x:row>
    <x:row r="2318">
      <x:c r="A2318" s="187" t="n">
        <x:v>45614</x:v>
      </x:c>
      <x:c r="B2318" s="197" t="n">
        <x:v>126.6045</x:v>
      </x:c>
    </x:row>
    <x:row r="2319">
      <x:c r="A2319" s="187" t="n">
        <x:v>45615</x:v>
      </x:c>
      <x:c r="B2319" s="197" t="n">
        <x:v>126.3994</x:v>
      </x:c>
    </x:row>
    <x:row r="2320">
      <x:c r="A2320" s="187" t="n">
        <x:v>45616</x:v>
      </x:c>
      <x:c r="B2320" s="197" t="n">
        <x:v>126.88</x:v>
      </x:c>
    </x:row>
    <x:row r="2321">
      <x:c r="A2321" s="187" t="n">
        <x:v>45617</x:v>
      </x:c>
      <x:c r="B2321" s="197" t="n">
        <x:v>127.1047</x:v>
      </x:c>
    </x:row>
    <x:row r="2322">
      <x:c r="A2322" s="187" t="n">
        <x:v>45618</x:v>
      </x:c>
      <x:c r="B2322" s="197" t="n">
        <x:v>127.4712</x:v>
      </x:c>
    </x:row>
    <x:row r="2323">
      <x:c r="A2323" s="187" t="n">
        <x:v>45621</x:v>
      </x:c>
      <x:c r="B2323" s="197" t="n">
        <x:v>126.9948</x:v>
      </x:c>
    </x:row>
    <x:row r="2324">
      <x:c r="A2324" s="187" t="n">
        <x:v>45622</x:v>
      </x:c>
      <x:c r="B2324" s="197" t="n">
        <x:v>127.4301</x:v>
      </x:c>
    </x:row>
    <x:row r="2325">
      <x:c r="A2325" s="187" t="n">
        <x:v>45623</x:v>
      </x:c>
      <x:c r="B2325" s="197" t="n">
        <x:v>126.8205</x:v>
      </x:c>
    </x:row>
    <x:row r="2326">
      <x:c r="A2326" s="187" t="n">
        <x:v>45624</x:v>
      </x:c>
      <x:c r="B2326" s="197"/>
    </x:row>
    <x:row r="2327">
      <x:c r="A2327" s="187" t="n">
        <x:v>45625</x:v>
      </x:c>
      <x:c r="B2327" s="197" t="n">
        <x:v>126.5798</x:v>
      </x:c>
    </x:row>
    <x:row r="2328">
      <x:c r="A2328" s="187" t="n">
        <x:v>45628</x:v>
      </x:c>
      <x:c r="B2328" s="197" t="n">
        <x:v>127.1272</x:v>
      </x:c>
    </x:row>
    <x:row r="2329">
      <x:c r="A2329" s="187" t="n">
        <x:v>45629</x:v>
      </x:c>
      <x:c r="B2329" s="197" t="n">
        <x:v>126.9565</x:v>
      </x:c>
    </x:row>
    <x:row r="2330">
      <x:c r="A2330" s="187" t="n">
        <x:v>45630</x:v>
      </x:c>
      <x:c r="B2330" s="197" t="n">
        <x:v>126.7574</x:v>
      </x:c>
    </x:row>
    <x:row r="2331">
      <x:c r="A2331" s="187" t="n">
        <x:v>45631</x:v>
      </x:c>
      <x:c r="B2331" s="197" t="n">
        <x:v>126.4286</x:v>
      </x:c>
    </x:row>
    <x:row r="2332">
      <x:c r="A2332" s="187" t="n">
        <x:v>45632</x:v>
      </x:c>
      <x:c r="B2332" s="197" t="n">
        <x:v>126.688</x:v>
      </x:c>
    </x:row>
    <x:row r="2333">
      <x:c r="A2333" s="187" t="n">
        <x:v>45635</x:v>
      </x:c>
      <x:c r="B2333" s="197" t="n">
        <x:v>126.5981</x:v>
      </x:c>
    </x:row>
    <x:row r="2334">
      <x:c r="A2334" s="187" t="n">
        <x:v>45636</x:v>
      </x:c>
      <x:c r="B2334" s="197" t="n">
        <x:v>126.957</x:v>
      </x:c>
    </x:row>
    <x:row r="2335">
      <x:c r="A2335" s="187" t="n">
        <x:v>45637</x:v>
      </x:c>
      <x:c r="B2335" s="197" t="n">
        <x:v>126.8483</x:v>
      </x:c>
    </x:row>
    <x:row r="2336">
      <x:c r="A2336" s="187" t="n">
        <x:v>45638</x:v>
      </x:c>
      <x:c r="B2336" s="197" t="n">
        <x:v>126.9556</x:v>
      </x:c>
    </x:row>
    <x:row r="2337">
      <x:c r="A2337" s="187" t="n">
        <x:v>45639</x:v>
      </x:c>
      <x:c r="B2337" s="197" t="n">
        <x:v>127.3096</x:v>
      </x:c>
    </x:row>
    <x:row r="2338">
      <x:c r="A2338" s="187" t="n">
        <x:v>45642</x:v>
      </x:c>
      <x:c r="B2338" s="197" t="n">
        <x:v>127.2687</x:v>
      </x:c>
    </x:row>
    <x:row r="2339">
      <x:c r="A2339" s="187" t="n">
        <x:v>45643</x:v>
      </x:c>
      <x:c r="B2339" s="197" t="n">
        <x:v>127.5043</x:v>
      </x:c>
    </x:row>
    <x:row r="2340">
      <x:c r="A2340" s="187" t="n">
        <x:v>45644</x:v>
      </x:c>
      <x:c r="B2340" s="197" t="n">
        <x:v>127.6418</x:v>
      </x:c>
    </x:row>
    <x:row r="2341">
      <x:c r="A2341" s="187" t="n">
        <x:v>45645</x:v>
      </x:c>
      <x:c r="B2341" s="197" t="n">
        <x:v>128.6366</x:v>
      </x:c>
    </x:row>
    <x:row r="2342">
      <x:c r="A2342" s="187" t="n">
        <x:v>45646</x:v>
      </x:c>
      <x:c r="B2342" s="197" t="n">
        <x:v>127.893</x:v>
      </x:c>
    </x:row>
    <x:row r="2343">
      <x:c r="A2343" s="187" t="n">
        <x:v>45649</x:v>
      </x:c>
      <x:c r="B2343" s="197" t="n">
        <x:v>128.3021</x:v>
      </x:c>
    </x:row>
    <x:row r="2344">
      <x:c r="A2344" s="187" t="n">
        <x:v>45650</x:v>
      </x:c>
      <x:c r="B2344" s="197" t="n">
        <x:v>128.3377</x:v>
      </x:c>
    </x:row>
    <x:row r="2345">
      <x:c r="A2345" s="187" t="n">
        <x:v>45651</x:v>
      </x:c>
      <x:c r="B2345" s="197"/>
    </x:row>
    <x:row r="2346">
      <x:c r="A2346" s="187" t="n">
        <x:v>45652</x:v>
      </x:c>
      <x:c r="B2346" s="197" t="n">
        <x:v>128.3329</x:v>
      </x:c>
    </x:row>
    <x:row r="2347">
      <x:c r="A2347" s="187" t="n">
        <x:v>45653</x:v>
      </x:c>
      <x:c r="B2347" s="197" t="n">
        <x:v>128.45</x:v>
      </x:c>
    </x:row>
    <x:row r="2348">
      <x:c r="A2348" s="187" t="n">
        <x:v>45656</x:v>
      </x:c>
      <x:c r="B2348" s="197" t="n">
        <x:v>128.8205</x:v>
      </x:c>
    </x:row>
    <x:row r="2349">
      <x:c r="A2349" s="187" t="n">
        <x:v>45657</x:v>
      </x:c>
      <x:c r="B2349" s="197" t="n">
        <x:v>129.2775</x:v>
      </x:c>
    </x:row>
    <x:row r="2350">
      <x:c r="A2350" s="187" t="n">
        <x:v>45658</x:v>
      </x:c>
      <x:c r="B2350" s="197"/>
    </x:row>
    <x:row r="2351">
      <x:c r="A2351" s="187" t="n">
        <x:v>45659</x:v>
      </x:c>
      <x:c r="B2351" s="197" t="n">
        <x:v>129.4598</x:v>
      </x:c>
    </x:row>
    <x:row r="2352">
      <x:c r="A2352" s="187" t="n">
        <x:v>45660</x:v>
      </x:c>
      <x:c r="B2352" s="197" t="n">
        <x:v>129.4535</x:v>
      </x:c>
    </x:row>
    <x:row r="2353">
      <x:c r="A2353" s="187" t="n">
        <x:v>45663</x:v>
      </x:c>
      <x:c r="B2353" s="197" t="n">
        <x:v>128.538</x:v>
      </x:c>
    </x:row>
    <x:row r="2354">
      <x:c r="A2354" s="187" t="n">
        <x:v>45664</x:v>
      </x:c>
      <x:c r="B2354" s="197" t="n">
        <x:v>128.613</x:v>
      </x:c>
    </x:row>
    <x:row r="2355">
      <x:c r="A2355" s="187" t="n">
        <x:v>45665</x:v>
      </x:c>
      <x:c r="B2355" s="197" t="n">
        <x:v>129.0785</x:v>
      </x:c>
    </x:row>
    <x:row r="2356">
      <x:c r="A2356" s="187" t="n">
        <x:v>45666</x:v>
      </x:c>
      <x:c r="B2356" s="197" t="n">
        <x:v>129.2827</x:v>
      </x:c>
    </x:row>
    <x:row r="2357">
      <x:c r="A2357" s="187" t="n">
        <x:v>45667</x:v>
      </x:c>
      <x:c r="B2357" s="197" t="n">
        <x:v>129.8664</x:v>
      </x:c>
    </x:row>
    <x:row r="2358">
      <x:c r="A2358" s="187" t="n">
        <x:v>45670</x:v>
      </x:c>
      <x:c r="B2358" s="197" t="n">
        <x:v>130.0413</x:v>
      </x:c>
    </x:row>
    <x:row r="2359">
      <x:c r="A2359" s="187" t="n">
        <x:v>45671</x:v>
      </x:c>
      <x:c r="B2359" s="197" t="n">
        <x:v>129.3812</x:v>
      </x:c>
    </x:row>
    <x:row r="2360">
      <x:c r="A2360" s="187" t="n">
        <x:v>45672</x:v>
      </x:c>
      <x:c r="B2360" s="197" t="n">
        <x:v>129.2092</x:v>
      </x:c>
    </x:row>
    <x:row r="2361">
      <x:c r="A2361" s="187" t="n">
        <x:v>45673</x:v>
      </x:c>
      <x:c r="B2361" s="197" t="n">
        <x:v>129.436</x:v>
      </x:c>
    </x:row>
    <x:row r="2362">
      <x:c r="A2362" s="187" t="n">
        <x:v>45674</x:v>
      </x:c>
      <x:c r="B2362" s="197" t="n">
        <x:v>129.4859</x:v>
      </x:c>
    </x:row>
    <x:row r="2363">
      <x:c r="A2363" s="187" t="n">
        <x:v>45677</x:v>
      </x:c>
      <x:c r="B2363" s="197"/>
    </x:row>
    <x:row r="2364">
      <x:c r="A2364" s="187" t="n">
        <x:v>45678</x:v>
      </x:c>
      <x:c r="B2364" s="197" t="n">
        <x:v>128.4151</x:v>
      </x:c>
    </x:row>
    <x:row r="2365">
      <x:c r="A2365" s="187" t="n">
        <x:v>45679</x:v>
      </x:c>
      <x:c r="B2365" s="197" t="n">
        <x:v>128.3402</x:v>
      </x:c>
    </x:row>
    <x:row r="2366">
      <x:c r="A2366" s="187" t="n">
        <x:v>45680</x:v>
      </x:c>
      <x:c r="B2366" s="197" t="n">
        <x:v>128.2162</x:v>
      </x:c>
    </x:row>
    <x:row r="2367">
      <x:c r="A2367" s="187" t="n">
        <x:v>45681</x:v>
      </x:c>
      <x:c r="B2367" s="197" t="n">
        <x:v>127.4611</x:v>
      </x:c>
    </x:row>
    <x:row r="2368">
      <x:c r="A2368" s="187" t="n">
        <x:v>45684</x:v>
      </x:c>
      <x:c r="B2368" s="197" t="n">
        <x:v>128.0912</x:v>
      </x:c>
    </x:row>
    <x:row r="2369">
      <x:c r="A2369" s="187" t="n">
        <x:v>45685</x:v>
      </x:c>
      <x:c r="B2369" s="197" t="n">
        <x:v>128.2817</x:v>
      </x:c>
    </x:row>
    <x:row r="2370">
      <x:c r="A2370" s="187" t="n">
        <x:v>45686</x:v>
      </x:c>
      <x:c r="B2370" s="197" t="n">
        <x:v>128.3418</x:v>
      </x:c>
    </x:row>
    <x:row r="2371">
      <x:c r="A2371" s="187" t="n">
        <x:v>45687</x:v>
      </x:c>
      <x:c r="B2371" s="197" t="n">
        <x:v>128.1004</x:v>
      </x:c>
    </x:row>
    <x:row r="2372">
      <x:c r="A2372" s="187" t="n">
        <x:v>45688</x:v>
      </x:c>
      <x:c r="B2372" s="197" t="n">
        <x:v>128.4828</x:v>
      </x:c>
    </x:row>
    <x:row r="2373">
      <x:c r="A2373" s="187" t="n">
        <x:v>45691</x:v>
      </x:c>
      <x:c r="B2373" s="197" t="n">
        <x:v>129.109</x:v>
      </x:c>
    </x:row>
    <x:row r="2374">
      <x:c r="A2374" s="187" t="n">
        <x:v>45692</x:v>
      </x:c>
      <x:c r="B2374" s="197" t="n">
        <x:v>128.1083</x:v>
      </x:c>
    </x:row>
    <x:row r="2375">
      <x:c r="A2375" s="187" t="n">
        <x:v>45693</x:v>
      </x:c>
      <x:c r="B2375" s="197" t="n">
        <x:v>127.9751</x:v>
      </x:c>
    </x:row>
    <x:row r="2376">
      <x:c r="A2376" s="187" t="n">
        <x:v>45694</x:v>
      </x:c>
      <x:c r="B2376" s="197" t="n">
        <x:v>128.2017</x:v>
      </x:c>
    </x:row>
    <x:row r="2377">
      <x:c r="A2377" s="187" t="n">
        <x:v>45695</x:v>
      </x:c>
      <x:c r="B2377" s="197" t="n">
        <x:v>128.4292</x:v>
      </x:c>
    </x:row>
    <x:row r="2378">
      <x:c r="A2378" s="187" t="n">
        <x:v>45698</x:v>
      </x:c>
      <x:c r="B2378" s="197" t="n">
        <x:v>128.6382</x:v>
      </x:c>
    </x:row>
    <x:row r="2379">
      <x:c r="A2379" s="187" t="n">
        <x:v>45699</x:v>
      </x:c>
      <x:c r="B2379" s="197" t="n">
        <x:v>128.4322</x:v>
      </x:c>
    </x:row>
    <x:row r="2380">
      <x:c r="A2380" s="187" t="n">
        <x:v>45700</x:v>
      </x:c>
      <x:c r="B2380" s="197" t="n">
        <x:v>128.3288</x:v>
      </x:c>
    </x:row>
    <x:row r="2381">
      <x:c r="A2381" s="187" t="n">
        <x:v>45701</x:v>
      </x:c>
      <x:c r="B2381" s="197" t="n">
        <x:v>127.8931</x:v>
      </x:c>
    </x:row>
    <x:row r="2382">
      <x:c r="A2382" s="187" t="n">
        <x:v>45702</x:v>
      </x:c>
      <x:c r="B2382" s="197" t="n">
        <x:v>127.1491</x:v>
      </x:c>
    </x:row>
    <x:row r="2383">
      <x:c r="A2383" s="187" t="n">
        <x:v>45705</x:v>
      </x:c>
      <x:c r="B2383" s="197"/>
    </x:row>
    <x:row r="2384">
      <x:c r="A2384" s="187" t="n">
        <x:v>45706</x:v>
      </x:c>
      <x:c r="B2384" s="197" t="n">
        <x:v>127.2906</x:v>
      </x:c>
    </x:row>
    <x:row r="2385">
      <x:c r="A2385" s="187" t="n">
        <x:v>45707</x:v>
      </x:c>
      <x:c r="B2385" s="197" t="n">
        <x:v>127.7317</x:v>
      </x:c>
    </x:row>
    <x:row r="2386">
      <x:c r="A2386" s="187" t="n">
        <x:v>45708</x:v>
      </x:c>
      <x:c r="B2386" s="197" t="n">
        <x:v>127.1126</x:v>
      </x:c>
    </x:row>
    <x:row r="2387">
      <x:c r="A2387" s="187" t="n">
        <x:v>45709</x:v>
      </x:c>
      <x:c r="B2387" s="197" t="n">
        <x:v>127.1408</x:v>
      </x:c>
    </x:row>
    <x:row r="2388">
      <x:c r="A2388" s="187" t="n">
        <x:v>45712</x:v>
      </x:c>
      <x:c r="B2388" s="197" t="n">
        <x:v>127.1921</x:v>
      </x:c>
    </x:row>
    <x:row r="2389">
      <x:c r="A2389" s="187" t="n">
        <x:v>45713</x:v>
      </x:c>
      <x:c r="B2389" s="197" t="n">
        <x:v>127.3752</x:v>
      </x:c>
    </x:row>
    <x:row r="2390">
      <x:c r="A2390" s="187" t="n">
        <x:v>45714</x:v>
      </x:c>
      <x:c r="B2390" s="197" t="n">
        <x:v>127.2822</x:v>
      </x:c>
    </x:row>
    <x:row r="2391">
      <x:c r="A2391" s="187" t="n">
        <x:v>45715</x:v>
      </x:c>
      <x:c r="B2391" s="197" t="n">
        <x:v>127.9704</x:v>
      </x:c>
    </x:row>
    <x:row r="2392">
      <x:c r="A2392" s="187" t="n">
        <x:v>45716</x:v>
      </x:c>
      <x:c r="B2392" s="197" t="n">
        <x:v>128.2805</x:v>
      </x:c>
    </x:row>
    <x:row r="2393">
      <x:c r="A2393" s="187" t="n">
        <x:v>45719</x:v>
      </x:c>
      <x:c r="B2393" s="197" t="n">
        <x:v>127.75</x:v>
      </x:c>
    </x:row>
    <x:row r="2394">
      <x:c r="A2394" s="187" t="n">
        <x:v>45720</x:v>
      </x:c>
      <x:c r="B2394" s="197" t="n">
        <x:v>127.9966</x:v>
      </x:c>
    </x:row>
    <x:row r="2395">
      <x:c r="A2395" s="187" t="n">
        <x:v>45721</x:v>
      </x:c>
      <x:c r="B2395" s="197" t="n">
        <x:v>126.504</x:v>
      </x:c>
    </x:row>
    <x:row r="2396">
      <x:c r="A2396" s="187" t="n">
        <x:v>45722</x:v>
      </x:c>
      <x:c r="B2396" s="197" t="n">
        <x:v>126.1099</x:v>
      </x:c>
    </x:row>
    <x:row r="2397">
      <x:c r="A2397" s="187" t="n">
        <x:v>45723</x:v>
      </x:c>
      <x:c r="B2397" s="197" t="n">
        <x:v>125.9814</x:v>
      </x:c>
    </x:row>
    <x:row r="2398">
      <x:c r="A2398" s="187" t="n">
        <x:v>45726</x:v>
      </x:c>
      <x:c r="B2398" s="197" t="n">
        <x:v>126.268</x:v>
      </x:c>
    </x:row>
    <x:row r="2399">
      <x:c r="A2399" s="187" t="n">
        <x:v>45727</x:v>
      </x:c>
      <x:c r="B2399" s="197" t="n">
        <x:v>126.0457</x:v>
      </x:c>
    </x:row>
    <x:row r="2400">
      <x:c r="A2400" s="187" t="n">
        <x:v>45728</x:v>
      </x:c>
      <x:c r="B2400" s="197" t="n">
        <x:v>125.8664</x:v>
      </x:c>
    </x:row>
    <x:row r="2401">
      <x:c r="A2401" s="187" t="n">
        <x:v>45729</x:v>
      </x:c>
      <x:c r="B2401" s="197" t="n">
        <x:v>126.0031</x:v>
      </x:c>
    </x:row>
    <x:row r="2402">
      <x:c r="A2402" s="187" t="n">
        <x:v>45730</x:v>
      </x:c>
      <x:c r="B2402" s="197" t="n">
        <x:v>125.6942</x:v>
      </x:c>
    </x:row>
    <x:row r="2403">
      <x:c r="A2403" s="187" t="n">
        <x:v>45733</x:v>
      </x:c>
      <x:c r="B2403" s="197" t="n">
        <x:v>125.3688</x:v>
      </x:c>
    </x:row>
    <x:row r="2404">
      <x:c r="A2404" s="187" t="n">
        <x:v>45734</x:v>
      </x:c>
      <x:c r="B2404" s="197" t="n">
        <x:v>125.488</x:v>
      </x:c>
    </x:row>
    <x:row r="2405">
      <x:c r="A2405" s="187" t="n">
        <x:v>45735</x:v>
      </x:c>
      <x:c r="B2405" s="197" t="n">
        <x:v>125.8006</x:v>
      </x:c>
    </x:row>
    <x:row r="2406">
      <x:c r="A2406" s="187" t="n">
        <x:v>45736</x:v>
      </x:c>
      <x:c r="B2406" s="197" t="n">
        <x:v>125.985</x:v>
      </x:c>
    </x:row>
    <x:row r="2407">
      <x:c r="A2407" s="187" t="n">
        <x:v>45737</x:v>
      </x:c>
      <x:c r="B2407" s="197" t="n">
        <x:v>126.2679</x:v>
      </x:c>
    </x:row>
    <x:row r="2408">
      <x:c r="A2408" s="187" t="n">
        <x:v>45740</x:v>
      </x:c>
      <x:c r="B2408" s="197" t="n">
        <x:v>126.1956</x:v>
      </x:c>
    </x:row>
    <x:row r="2409">
      <x:c r="A2409" s="187" t="n">
        <x:v>45741</x:v>
      </x:c>
      <x:c r="B2409" s="197" t="n">
        <x:v>126.0535</x:v>
      </x:c>
    </x:row>
    <x:row r="2410">
      <x:c r="A2410" s="187" t="n">
        <x:v>45742</x:v>
      </x:c>
      <x:c r="B2410" s="197" t="n">
        <x:v>126.2364</x:v>
      </x:c>
    </x:row>
    <x:row r="2411">
      <x:c r="A2411" s="187" t="n">
        <x:v>45743</x:v>
      </x:c>
      <x:c r="B2411" s="197" t="n">
        <x:v>126.3626</x:v>
      </x:c>
    </x:row>
    <x:row r="2412">
      <x:c r="A2412" s="187" t="n">
        <x:v>45744</x:v>
      </x:c>
      <x:c r="B2412" s="197" t="n">
        <x:v>126.4187</x:v>
      </x:c>
    </x:row>
    <x:row r="2413">
      <x:c r="A2413" s="187" t="n">
        <x:v>45747</x:v>
      </x:c>
      <x:c r="B2413" s="197" t="n">
        <x:v>126.7075</x:v>
      </x:c>
    </x:row>
    <x:row r="2414">
      <x:c r="A2414" s="187" t="n">
        <x:v>45748</x:v>
      </x:c>
      <x:c r="B2414" s="197" t="n">
        <x:v>126.4338</x:v>
      </x:c>
    </x:row>
    <x:row r="2415">
      <x:c r="A2415" s="187" t="n">
        <x:v>45749</x:v>
      </x:c>
      <x:c r="B2415" s="197" t="n">
        <x:v>126.3811</x:v>
      </x:c>
    </x:row>
    <x:row r="2416">
      <x:c r="A2416" s="187" t="n">
        <x:v>45750</x:v>
      </x:c>
      <x:c r="B2416" s="197" t="n">
        <x:v>124.7316</x:v>
      </x:c>
    </x:row>
    <x:row r="2417">
      <x:c r="A2417" s="187" t="n">
        <x:v>45751</x:v>
      </x:c>
      <x:c r="B2417" s="197" t="n">
        <x:v>125.8129</x:v>
      </x:c>
    </x:row>
    <x:row r="2418">
      <x:c r="A2418" s="187" t="n">
        <x:v>45754</x:v>
      </x:c>
      <x:c r="B2418" s="197" t="n">
        <x:v>126.8282</x:v>
      </x:c>
    </x:row>
    <x:row r="2419">
      <x:c r="A2419" s="187" t="n">
        <x:v>45755</x:v>
      </x:c>
      <x:c r="B2419" s="197" t="n">
        <x:v>126.8668</x:v>
      </x:c>
    </x:row>
    <x:row r="2420">
      <x:c r="A2420" s="187" t="n">
        <x:v>45756</x:v>
      </x:c>
      <x:c r="B2420" s="197" t="n">
        <x:v>126.628</x:v>
      </x:c>
    </x:row>
    <x:row r="2421">
      <x:c r="A2421" s="187" t="n">
        <x:v>45757</x:v>
      </x:c>
      <x:c r="B2421" s="197" t="n">
        <x:v>125.089</x:v>
      </x:c>
    </x:row>
    <x:row r="2422">
      <x:c r="A2422" s="187" t="n">
        <x:v>45758</x:v>
      </x:c>
      <x:c r="B2422" s="197" t="n">
        <x:v>124.0163</x:v>
      </x:c>
    </x:row>
    <x:row r="2423">
      <x:c r="A2423" s="187" t="n">
        <x:v>45761</x:v>
      </x:c>
      <x:c r="B2423" s="197" t="n">
        <x:v>123.6598</x:v>
      </x:c>
    </x:row>
    <x:row r="2424">
      <x:c r="A2424" s="187" t="n">
        <x:v>45762</x:v>
      </x:c>
      <x:c r="B2424" s="197" t="n">
        <x:v>123.776</x:v>
      </x:c>
    </x:row>
    <x:row r="2425">
      <x:c r="A2425" s="187" t="n">
        <x:v>45763</x:v>
      </x:c>
      <x:c r="B2425" s="197" t="n">
        <x:v>123.2724</x:v>
      </x:c>
    </x:row>
    <x:row r="2426">
      <x:c r="A2426" s="187" t="n">
        <x:v>45764</x:v>
      </x:c>
      <x:c r="B2426" s="197" t="n">
        <x:v>123.1298</x:v>
      </x:c>
    </x:row>
    <x:row r="2427">
      <x:c r="A2427" s="187" t="n">
        <x:v>45765</x:v>
      </x:c>
      <x:c r="B2427" s="197" t="n">
        <x:v>122.9865</x:v>
      </x:c>
    </x:row>
    <x:row r="2428">
      <x:c r="A2428" s="187" t="n">
        <x:v>45768</x:v>
      </x:c>
      <x:c r="B2428" s="197" t="n">
        <x:v>122.3145</x:v>
      </x:c>
    </x:row>
    <x:row r="2429">
      <x:c r="A2429" s="187" t="n">
        <x:v>45769</x:v>
      </x:c>
      <x:c r="B2429" s="197" t="n">
        <x:v>122.4175</x:v>
      </x:c>
    </x:row>
    <x:row r="2430">
      <x:c r="A2430" s="187" t="n">
        <x:v>45770</x:v>
      </x:c>
      <x:c r="B2430" s="197" t="n">
        <x:v>123.0252</x:v>
      </x:c>
    </x:row>
    <x:row r="2431">
      <x:c r="A2431" s="187" t="n">
        <x:v>45771</x:v>
      </x:c>
      <x:c r="B2431" s="197" t="n">
        <x:v>122.9251</x:v>
      </x:c>
    </x:row>
    <x:row r="2432">
      <x:c r="A2432" s="187" t="n">
        <x:v>45772</x:v>
      </x:c>
      <x:c r="B2432" s="197" t="n">
        <x:v>122.8858</x:v>
      </x:c>
    </x:row>
    <x:row r="2433">
      <x:c r="A2433" s="187" t="n">
        <x:v>45775</x:v>
      </x:c>
      <x:c r="B2433" s="197" t="n">
        <x:v>122.7176</x:v>
      </x:c>
    </x:row>
    <x:row r="2434">
      <x:c r="A2434" s="187" t="n">
        <x:v>45776</x:v>
      </x:c>
      <x:c r="B2434" s="197" t="n">
        <x:v>122.5944</x:v>
      </x:c>
    </x:row>
    <x:row r="2435">
      <x:c r="A2435" s="187" t="n">
        <x:v>45777</x:v>
      </x:c>
      <x:c r="B2435" s="197" t="n">
        <x:v>122.5921</x:v>
      </x:c>
    </x:row>
    <x:row r="2436">
      <x:c r="A2436" s="187" t="n">
        <x:v>45778</x:v>
      </x:c>
      <x:c r="B2436" s="197" t="n">
        <x:v>123.1405</x:v>
      </x:c>
    </x:row>
    <x:row r="2437">
      <x:c r="A2437" s="187" t="n">
        <x:v>45779</x:v>
      </x:c>
      <x:c r="B2437" s="197" t="n">
        <x:v>122.4962</x:v>
      </x:c>
    </x:row>
    <x:row r="2438">
      <x:c r="A2438" s="187" t="n">
        <x:v>45782</x:v>
      </x:c>
      <x:c r="B2438" s="197" t="n">
        <x:v>122.2613</x:v>
      </x:c>
    </x:row>
    <x:row r="2439">
      <x:c r="A2439" s="187" t="n">
        <x:v>45783</x:v>
      </x:c>
      <x:c r="B2439" s="197" t="n">
        <x:v>122.0417</x:v>
      </x:c>
    </x:row>
    <x:row r="2440">
      <x:c r="A2440" s="187" t="n">
        <x:v>45784</x:v>
      </x:c>
      <x:c r="B2440" s="197" t="n">
        <x:v>122.117</x:v>
      </x:c>
    </x:row>
    <x:row r="2441">
      <x:c r="A2441" s="187" t="n">
        <x:v>45785</x:v>
      </x:c>
      <x:c r="B2441" s="197" t="n">
        <x:v>122.7568</x:v>
      </x:c>
    </x:row>
    <x:row r="2442">
      <x:c r="A2442" s="187" t="n">
        <x:v>45786</x:v>
      </x:c>
      <x:c r="B2442" s="197" t="n">
        <x:v>122.5191</x:v>
      </x:c>
    </x:row>
    <x:row r="2443">
      <x:c r="A2443" s="187" t="n">
        <x:v>45789</x:v>
      </x:c>
      <x:c r="B2443" s="197" t="n">
        <x:v>123.4863</x:v>
      </x:c>
    </x:row>
    <x:row r="2444">
      <x:c r="A2444" s="187" t="n">
        <x:v>45790</x:v>
      </x:c>
      <x:c r="B2444" s="197" t="n">
        <x:v>122.9583</x:v>
      </x:c>
    </x:row>
    <x:row r="2445">
      <x:c r="A2445" s="187" t="n">
        <x:v>45791</x:v>
      </x:c>
      <x:c r="B2445" s="197" t="n">
        <x:v>122.6746</x:v>
      </x:c>
    </x:row>
    <x:row r="2446">
      <x:c r="A2446" s="187" t="n">
        <x:v>45792</x:v>
      </x:c>
      <x:c r="B2446" s="197" t="n">
        <x:v>122.8174</x:v>
      </x:c>
    </x:row>
    <x:row r="2447">
      <x:c r="A2447" s="187" t="n">
        <x:v>45793</x:v>
      </x:c>
      <x:c r="B2447" s="197" t="n">
        <x:v>123.0737</x:v>
      </x:c>
    </x:row>
    <x:row r="2448">
      <x:c r="A2448" s="187" t="n">
        <x:v>45796</x:v>
      </x:c>
      <x:c r="B2448" s="197" t="n">
        <x:v>122.4186</x:v>
      </x:c>
    </x:row>
    <x:row r="2449">
      <x:c r="A2449" s="187" t="n">
        <x:v>45797</x:v>
      </x:c>
      <x:c r="B2449" s="197" t="n">
        <x:v>122.3199</x:v>
      </x:c>
    </x:row>
    <x:row r="2450">
      <x:c r="A2450" s="187" t="n">
        <x:v>45798</x:v>
      </x:c>
      <x:c r="B2450" s="197" t="n">
        <x:v>121.7496</x:v>
      </x:c>
    </x:row>
    <x:row r="2451">
      <x:c r="A2451" s="187" t="n">
        <x:v>45799</x:v>
      </x:c>
      <x:c r="B2451" s="197" t="n">
        <x:v>122.0429</x:v>
      </x:c>
    </x:row>
    <x:row r="2452">
      <x:c r="A2452" s="187" t="n">
        <x:v>45800</x:v>
      </x:c>
      <x:c r="B2452" s="197" t="n">
        <x:v>121.3837</x:v>
      </x:c>
    </x:row>
    <x:row r="2453">
      <x:c r="A2453" s="187" t="n">
        <x:v>45803</x:v>
      </x:c>
      <x:c r="B2453" s="197"/>
    </x:row>
    <x:row r="2454">
      <x:c r="A2454" s="187" t="n">
        <x:v>45804</x:v>
      </x:c>
      <x:c r="B2454" s="197" t="n">
        <x:v>121.6099</x:v>
      </x:c>
    </x:row>
    <x:row r="2455">
      <x:c r="A2455" s="187" t="n">
        <x:v>45805</x:v>
      </x:c>
      <x:c r="B2455" s="197" t="n">
        <x:v>121.9888</x:v>
      </x:c>
    </x:row>
    <x:row r="2456">
      <x:c r="A2456" s="187" t="n">
        <x:v>45806</x:v>
      </x:c>
      <x:c r="B2456" s="197" t="n">
        <x:v>121.5617</x:v>
      </x:c>
    </x:row>
    <x:row r="2457">
      <x:c r="A2457" s="187" t="n">
        <x:v>45807</x:v>
      </x:c>
      <x:c r="B2457" s="197" t="n">
        <x:v>121.7674</x:v>
      </x:c>
    </x:row>
    <x:row r="2458">
      <x:c r="A2458" s="187" t="n">
        <x:v>45810</x:v>
      </x:c>
      <x:c r="B2458" s="197" t="n">
        <x:v>121.1881</x:v>
      </x:c>
    </x:row>
    <x:row r="2459">
      <x:c r="A2459" s="187" t="n">
        <x:v>45811</x:v>
      </x:c>
      <x:c r="B2459" s="197" t="n">
        <x:v>121.4592</x:v>
      </x:c>
    </x:row>
    <x:row r="2460">
      <x:c r="A2460" s="187" t="n">
        <x:v>45812</x:v>
      </x:c>
      <x:c r="B2460" s="197" t="n">
        <x:v>121.0539</x:v>
      </x:c>
    </x:row>
    <x:row r="2461">
      <x:c r="A2461" s="187" t="n">
        <x:v>45813</x:v>
      </x:c>
      <x:c r="B2461" s="197" t="n">
        <x:v>120.9596</x:v>
      </x:c>
    </x:row>
    <x:row r="2462">
      <x:c r="A2462" s="187" t="n">
        <x:v>45814</x:v>
      </x:c>
      <x:c r="B2462" s="197" t="n">
        <x:v>121.161</x:v>
      </x:c>
    </x:row>
    <x:row r="2463">
      <x:c r="A2463" s="187" t="n">
        <x:v>45817</x:v>
      </x:c>
      <x:c r="B2463" s="197" t="n">
        <x:v>120.9103</x:v>
      </x:c>
    </x:row>
    <x:row r="2464">
      <x:c r="A2464" s="187" t="n">
        <x:v>45818</x:v>
      </x:c>
      <x:c r="B2464" s="197" t="n">
        <x:v>121.0485</x:v>
      </x:c>
    </x:row>
    <x:row r="2465">
      <x:c r="A2465" s="187" t="n">
        <x:v>45819</x:v>
      </x:c>
      <x:c r="B2465" s="197" t="n">
        <x:v>120.587</x:v>
      </x:c>
    </x:row>
    <x:row r="2466">
      <x:c r="A2466" s="187" t="n">
        <x:v>45820</x:v>
      </x:c>
      <x:c r="B2466" s="197" t="n">
        <x:v>120.1723</x:v>
      </x:c>
    </x:row>
    <x:row r="2467">
      <x:c r="A2467" s="187" t="n">
        <x:v>45821</x:v>
      </x:c>
      <x:c r="B2467" s="197" t="n">
        <x:v>120.3245</x:v>
      </x:c>
    </x:row>
    <x:row r="2468">
      <x:c r="A2468" s="187" t="n">
        <x:v>45824</x:v>
      </x:c>
      <x:c r="B2468" s="197" t="n">
        <x:v>120.1565</x:v>
      </x:c>
    </x:row>
    <x:row r="2469">
      <x:c r="A2469" s="187" t="n">
        <x:v>45825</x:v>
      </x:c>
      <x:c r="B2469" s="197" t="n">
        <x:v>120.5048</x:v>
      </x:c>
    </x:row>
    <x:row r="2470">
      <x:c r="A2470" s="187" t="n">
        <x:v>45826</x:v>
      </x:c>
      <x:c r="B2470" s="197" t="n">
        <x:v>120.7305</x:v>
      </x:c>
    </x:row>
    <x:row r="2471">
      <x:c r="A2471" s="187" t="n">
        <x:v>45827</x:v>
      </x:c>
      <x:c r="B2471" s="197"/>
    </x:row>
    <x:row r="2472">
      <x:c r="A2472" s="187" t="n">
        <x:v>45828</x:v>
      </x:c>
      <x:c r="B2472" s="197" t="n">
        <x:v>121.0408</x:v>
      </x:c>
    </x:row>
    <x:row r="2473">
      <x:c r="A2473" s="187" t="n">
        <x:v>45831</x:v>
      </x:c>
      <x:c r="B2473" s="197" t="n">
        <x:v>121.1694</x:v>
      </x:c>
    </x:row>
    <x:row r="2474">
      <x:c r="A2474" s="187" t="n">
        <x:v>45832</x:v>
      </x:c>
      <x:c r="B2474" s="197" t="n">
        <x:v>120.3645</x:v>
      </x:c>
    </x:row>
    <x:row r="2475">
      <x:c r="A2475" s="187" t="n">
        <x:v>45833</x:v>
      </x:c>
      <x:c r="B2475" s="197" t="n">
        <x:v>120.3336</x:v>
      </x:c>
    </x:row>
    <x:row r="2476">
      <x:c r="A2476" s="187" t="n">
        <x:v>45834</x:v>
      </x:c>
      <x:c r="B2476" s="197" t="n">
        <x:v>119.6451</x:v>
      </x:c>
    </x:row>
    <x:row r="2477">
      <x:c r="A2477" s="187" t="n">
        <x:v>45835</x:v>
      </x:c>
      <x:c r="B2477" s="197" t="n">
        <x:v>119.659</x:v>
      </x:c>
    </x:row>
    <x:row r="2478">
      <x:c r="A2478" s="187" t="n">
        <x:v>45838</x:v>
      </x:c>
      <x:c r="B2478" s="197" t="n">
        <x:v>119.4088</x:v>
      </x:c>
    </x:row>
    <x:row r="2479">
      <x:c r="A2479" s="187" t="n">
        <x:v>45839</x:v>
      </x:c>
      <x:c r="B2479" s="197" t="n">
        <x:v>119.3436</x:v>
      </x:c>
    </x:row>
    <x:row r="2480">
      <x:c r="A2480" s="187" t="n">
        <x:v>45840</x:v>
      </x:c>
      <x:c r="B2480" s="197" t="n">
        <x:v>119.3037</x:v>
      </x:c>
    </x:row>
    <x:row r="2481">
      <x:c r="A2481" s="187" t="n">
        <x:v>45841</x:v>
      </x:c>
      <x:c r="B2481" s="197" t="n">
        <x:v>119.2382</x:v>
      </x:c>
    </x:row>
    <x:row r="2482">
      <x:c r="A2482" s="187" t="n">
        <x:v>45842</x:v>
      </x:c>
      <x:c r="B2482" s="197"/>
    </x:row>
    <x:row r="2483">
      <x:c r="A2483" s="187" t="n">
        <x:v>45845</x:v>
      </x:c>
      <x:c r="B2483" s="197" t="n">
        <x:v>119.6201</x:v>
      </x:c>
    </x:row>
    <x:row r="2484">
      <x:c r="A2484" s="187" t="n">
        <x:v>45846</x:v>
      </x:c>
      <x:c r="B2484" s="197" t="n">
        <x:v>119.8371</x:v>
      </x:c>
    </x:row>
    <x:row r="2485">
      <x:c r="A2485" s="187" t="n">
        <x:v>45847</x:v>
      </x:c>
      <x:c r="B2485" s="197" t="n">
        <x:v>119.7311</x:v>
      </x:c>
    </x:row>
    <x:row r="2486">
      <x:c r="A2486" s="187" t="n">
        <x:v>45848</x:v>
      </x:c>
      <x:c r="B2486" s="197" t="n">
        <x:v>119.8343</x:v>
      </x:c>
    </x:row>
    <x:row r="2487">
      <x:c r="A2487" s="187" t="n">
        <x:v>45849</x:v>
      </x:c>
      <x:c r="B2487" s="197" t="n">
        <x:v>119.9214</x:v>
      </x:c>
    </x:row>
    <x:row r="2488">
      <x:c r="A2488" s="187" t="n">
        <x:v>45852</x:v>
      </x:c>
      <x:c r="B2488" s="197" t="n">
        <x:v>120.2209</x:v>
      </x:c>
    </x:row>
    <x:row r="2489">
      <x:c r="A2489" s="187" t="n">
        <x:v>45853</x:v>
      </x:c>
      <x:c r="B2489" s="197" t="n">
        <x:v>120.5105</x:v>
      </x:c>
    </x:row>
    <x:row r="2490">
      <x:c r="A2490" s="187" t="n">
        <x:v>45854</x:v>
      </x:c>
      <x:c r="B2490" s="197" t="n">
        <x:v>120.4175</x:v>
      </x:c>
    </x:row>
    <x:row r="2491">
      <x:c r="A2491" s="187" t="n">
        <x:v>45855</x:v>
      </x:c>
      <x:c r="B2491" s="197" t="n">
        <x:v>120.6384</x:v>
      </x:c>
    </x:row>
    <x:row r="2492">
      <x:c r="A2492" s="187" t="n">
        <x:v>45856</x:v>
      </x:c>
      <x:c r="B2492" s="197" t="n">
        <x:v>120.356</x:v>
      </x:c>
    </x:row>
    <x:row r="2493">
      <x:c r="A2493" s="187" t="n">
        <x:v>45859</x:v>
      </x:c>
      <x:c r="B2493" s="197" t="n">
        <x:v>119.9961</x:v>
      </x:c>
    </x:row>
    <x:row r="2494">
      <x:c r="A2494" s="187" t="n">
        <x:v>45860</x:v>
      </x:c>
      <x:c r="B2494" s="197" t="n">
        <x:v>119.681</x:v>
      </x:c>
    </x:row>
    <x:row r="2495">
      <x:c r="A2495" s="187" t="n">
        <x:v>45861</x:v>
      </x:c>
      <x:c r="B2495" s="197" t="n">
        <x:v>119.5697</x:v>
      </x:c>
    </x:row>
    <x:row r="2496">
      <x:c r="A2496" s="187" t="n">
        <x:v>45862</x:v>
      </x:c>
      <x:c r="B2496" s="197" t="n">
        <x:v>119.5664</x:v>
      </x:c>
    </x:row>
    <x:row r="2497">
      <x:c r="A2497" s="187" t="n">
        <x:v>45863</x:v>
      </x:c>
      <x:c r="B2497" s="197" t="n">
        <x:v>119.9857</x:v>
      </x:c>
    </x:row>
    <x:row r="2498">
      <x:c r="A2498" s="187" t="n">
        <x:v>45866</x:v>
      </x:c>
      <x:c r="B2498" s="197" t="n">
        <x:v>120.6149</x:v>
      </x:c>
    </x:row>
    <x:row r="2499">
      <x:c r="A2499" s="187" t="n">
        <x:v>45867</x:v>
      </x:c>
      <x:c r="B2499" s="197" t="n">
        <x:v>120.9674</x:v>
      </x:c>
    </x:row>
    <x:row r="2500">
      <x:c r="A2500" s="187" t="n">
        <x:v>45868</x:v>
      </x:c>
      <x:c r="B2500" s="197" t="n">
        <x:v>121.4042</x:v>
      </x:c>
    </x:row>
    <x:row r="2501">
      <x:c r="A2501" s="187" t="n">
        <x:v>45869</x:v>
      </x:c>
      <x:c r="B2501" s="197" t="n">
        <x:v>121.721</x:v>
      </x:c>
    </x:row>
    <x:row r="2502">
      <x:c r="A2502" s="187" t="n">
        <x:v>45870</x:v>
      </x:c>
      <x:c r="B2502" s="197" t="n">
        <x:v>121.2122</x:v>
      </x:c>
    </x:row>
    <x:row r="2503">
      <x:c r="A2503" s="187" t="n">
        <x:v>45873</x:v>
      </x:c>
      <x:c r="B2503" s="197" t="n">
        <x:v>120.9859</x:v>
      </x:c>
    </x:row>
    <x:row r="2504">
      <x:c r="A2504" s="187" t="n">
        <x:v>45874</x:v>
      </x:c>
      <x:c r="B2504" s="197" t="n">
        <x:v>120.9082</x:v>
      </x:c>
    </x:row>
    <x:row r="2505">
      <x:c r="A2505" s="187" t="n">
        <x:v>45875</x:v>
      </x:c>
      <x:c r="B2505" s="197" t="n">
        <x:v>120.5082</x:v>
      </x:c>
    </x:row>
    <x:row r="2506">
      <x:c r="A2506" s="187" t="n">
        <x:v>45876</x:v>
      </x:c>
      <x:c r="B2506" s="197" t="n">
        <x:v>120.5043</x:v>
      </x:c>
    </x:row>
    <x:row r="2507">
      <x:c r="A2507" s="187" t="n">
        <x:v>45877</x:v>
      </x:c>
      <x:c r="B2507" s="197" t="n">
        <x:v>120.3329</x:v>
      </x:c>
    </x:row>
    <x:row r="2508">
      <x:c r="A2508" s="187" t="n">
        <x:v>45880</x:v>
      </x:c>
      <x:c r="B2508" s="197" t="n">
        <x:v>120.6892</x:v>
      </x:c>
    </x:row>
    <x:row r="2509">
      <x:c r="A2509" s="187" t="n">
        <x:v>45881</x:v>
      </x:c>
      <x:c r="B2509" s="197" t="n">
        <x:v>120.2736</x:v>
      </x:c>
    </x:row>
    <x:row r="2510">
      <x:c r="A2510" s="187" t="n">
        <x:v>45882</x:v>
      </x:c>
      <x:c r="B2510" s="197" t="n">
        <x:v>120.13</x:v>
      </x:c>
    </x:row>
    <x:row r="2511">
      <x:c r="A2511" s="187" t="n">
        <x:v>45883</x:v>
      </x:c>
      <x:c r="B2511" s="197" t="n">
        <x:v>120.6446</x:v>
      </x:c>
    </x:row>
    <x:row r="2512">
      <x:c r="A2512" s="187" t="n">
        <x:v>45884</x:v>
      </x:c>
      <x:c r="B2512" s="197" t="n">
        <x:v>120.3377</x:v>
      </x:c>
    </x:row>
    <x:row r="2513">
      <x:c r="A2513" s="187" t="n">
        <x:v>45887</x:v>
      </x:c>
      <x:c r="B2513" s="197" t="n">
        <x:v>120.5622</x:v>
      </x:c>
    </x:row>
    <x:row r="2514">
      <x:c r="A2514" s="187" t="n">
        <x:v>45888</x:v>
      </x:c>
      <x:c r="B2514" s="197" t="n">
        <x:v>120.7224</x:v>
      </x:c>
    </x:row>
    <x:row r="2515">
      <x:c r="A2515" s="187" t="n">
        <x:v>45889</x:v>
      </x:c>
      <x:c r="B2515" s="197" t="n">
        <x:v>120.7757</x:v>
      </x:c>
    </x:row>
    <x:row r="2516">
      <x:c r="A2516" s="187" t="n">
        <x:v>45890</x:v>
      </x:c>
      <x:c r="B2516" s="197" t="n">
        <x:v>121.0843</x:v>
      </x:c>
    </x:row>
    <x:row r="2517">
      <x:c r="A2517" s="187" t="n">
        <x:v>45891</x:v>
      </x:c>
      <x:c r="B2517" s="197" t="n">
        <x:v>120.2774</x:v>
      </x:c>
    </x:row>
    <x:row r="2518">
      <x:c r="A2518" s="187" t="n">
        <x:v>45894</x:v>
      </x:c>
      <x:c r="B2518" s="197" t="n">
        <x:v>120.4214</x:v>
      </x:c>
    </x:row>
    <x:row r="2519">
      <x:c r="A2519" s="187" t="n">
        <x:v>45895</x:v>
      </x:c>
      <x:c r="B2519" s="197" t="n">
        <x:v>120.5274</x:v>
      </x:c>
    </x:row>
    <x:row r="2520">
      <x:c r="A2520" s="187" t="n">
        <x:v>45896</x:v>
      </x:c>
      <x:c r="B2520" s="197" t="n">
        <x:v>120.7274</x:v>
      </x:c>
    </x:row>
    <x:row r="2521">
      <x:c r="A2521" s="187" t="n">
        <x:v>45897</x:v>
      </x:c>
      <x:c r="B2521" s="197" t="n">
        <x:v>120.2595</x:v>
      </x:c>
    </x:row>
    <x:row r="2522">
      <x:c r="A2522" s="187" t="n">
        <x:v>45898</x:v>
      </x:c>
      <x:c r="B2522" s="197" t="n">
        <x:v>120.2082</x:v>
      </x:c>
    </x:row>
    <x:row r="2523">
      <x:c r="A2523" s="187" t="n">
        <x:v>45901</x:v>
      </x:c>
      <x:c r="B2523" s="197"/>
    </x:row>
    <x:row r="2524">
      <x:c r="A2524" s="187" t="n">
        <x:v>45902</x:v>
      </x:c>
      <x:c r="B2524" s="197" t="n">
        <x:v>120.6837</x:v>
      </x:c>
    </x:row>
    <x:row r="2525">
      <x:c r="A2525" s="187" t="n">
        <x:v>45903</x:v>
      </x:c>
      <x:c r="B2525" s="197" t="n">
        <x:v>120.5052</x:v>
      </x:c>
    </x:row>
    <x:row r="2526">
      <x:c r="A2526" s="187" t="n">
        <x:v>45904</x:v>
      </x:c>
      <x:c r="B2526" s="197" t="n">
        <x:v>120.7629</x:v>
      </x:c>
    </x:row>
    <x:row r="2527">
      <x:c r="A2527" s="187" t="n">
        <x:v>45905</x:v>
      </x:c>
      <x:c r="B2527" s="197" t="n">
        <x:v>120.1282</x:v>
      </x:c>
    </x:row>
    <x:row r="2528">
      <x:c r="A2528" s="187" t="n">
        <x:v>45908</x:v>
      </x:c>
      <x:c r="B2528" s="197" t="n">
        <x:v>120.0971</x:v>
      </x:c>
    </x:row>
    <x:row r="2529">
      <x:c r="A2529" s="187" t="n">
        <x:v>45909</x:v>
      </x:c>
      <x:c r="B2529" s="197" t="n">
        <x:v>120.1569</x:v>
      </x:c>
    </x:row>
    <x:row r="2530">
      <x:c r="A2530" s="187" t="n">
        <x:v>45910</x:v>
      </x:c>
      <x:c r="B2530" s="197" t="n">
        <x:v>120.1223</x:v>
      </x:c>
    </x:row>
    <x:row r="2531">
      <x:c r="A2531" s="187" t="n">
        <x:v>45911</x:v>
      </x:c>
      <x:c r="B2531" s="197" t="n">
        <x:v>119.9534</x:v>
      </x:c>
    </x:row>
    <x:row r="2532">
      <x:c r="A2532" s="187" t="n">
        <x:v>45912</x:v>
      </x:c>
      <x:c r="B2532" s="197" t="n">
        <x:v>120.0611</x:v>
      </x:c>
    </x:row>
    <x:row r="2533">
      <x:c r="A2533" s="187" t="n">
        <x:v>45915</x:v>
      </x:c>
      <x:c r="B2533" s="197" t="n">
        <x:v>119.5644</x:v>
      </x:c>
    </x:row>
    <x:row r="2534">
      <x:c r="A2534" s="187" t="n">
        <x:v>45916</x:v>
      </x:c>
      <x:c r="B2534" s="197" t="n">
        <x:v>119.1348</x:v>
      </x:c>
    </x:row>
    <x:row r="2535">
      <x:c r="A2535" s="187" t="n">
        <x:v>45917</x:v>
      </x:c>
      <x:c r="B2535" s="197" t="n">
        <x:v>119.1582</x:v>
      </x:c>
    </x:row>
    <x:row r="2536">
      <x:c r="A2536" s="187" t="n">
        <x:v>45918</x:v>
      </x:c>
      <x:c r="B2536" s="197" t="n">
        <x:v>119.6616</x:v>
      </x:c>
    </x:row>
    <x:row r="2537">
      <x:c r="A2537" s="187" t="n">
        <x:v>45919</x:v>
      </x:c>
      <x:c r="B2537" s="197" t="n">
        <x:v>119.7858</x:v>
      </x:c>
    </x:row>
    <x:row r="2538">
      <x:c r="A2538" s="187" t="n">
        <x:v>45922</x:v>
      </x:c>
      <x:c r="B2538" s="197" t="n">
        <x:v>119.8152</x:v>
      </x:c>
    </x:row>
    <x:row r="2539">
      <x:c r="A2539" s="187" t="n">
        <x:v>45923</x:v>
      </x:c>
      <x:c r="B2539" s="197" t="n">
        <x:v>119.6202</x:v>
      </x:c>
    </x:row>
    <x:row r="2540">
      <x:c r="A2540" s="187" t="n">
        <x:v>45924</x:v>
      </x:c>
      <x:c r="B2540" s="197" t="n">
        <x:v>120.1707</x:v>
      </x:c>
    </x:row>
    <x:row r="2541">
      <x:c r="A2541" s="187" t="n">
        <x:v>45925</x:v>
      </x:c>
      <x:c r="B2541" s="197" t="n">
        <x:v>120.5419</x:v>
      </x:c>
    </x:row>
    <x:row r="2542">
      <x:c r="A2542" s="187" t="n">
        <x:v>45926</x:v>
      </x:c>
      <x:c r="B2542" s="197" t="n">
        <x:v>120.4349</x:v>
      </x:c>
    </x:row>
    <x:row r="2543">
      <x:c r="A2543" s="187" t="n">
        <x:v>45929</x:v>
      </x:c>
      <x:c r="B2543" s="197" t="n">
        <x:v>120.115</x:v>
      </x:c>
    </x:row>
    <x:row r="2544">
      <x:c r="A2544" s="187" t="n">
        <x:v>45930</x:v>
      </x:c>
      <x:c r="B2544" s="197" t="n">
        <x:v>120.1368</x:v>
      </x:c>
    </x:row>
    <x:row r="2545">
      <x:c r="A2545" s="187" t="n">
        <x:v>45931</x:v>
      </x:c>
      <x:c r="B2545" s="197" t="n">
        <x:v>120.1502</x:v>
      </x:c>
    </x:row>
    <x:row r="2546">
      <x:c r="A2546" s="187" t="n">
        <x:v>45932</x:v>
      </x:c>
      <x:c r="B2546" s="197" t="n">
        <x:v>120.4296</x:v>
      </x:c>
    </x:row>
    <x:row r="2547">
      <x:c r="A2547" s="187" t="n">
        <x:v>45933</x:v>
      </x:c>
      <x:c r="B2547" s="197" t="n">
        <x:v>120.0881</x:v>
      </x:c>
    </x:row>
    <x:row r="2548">
      <x:c r="A2548" s="187" t="n">
        <x:v>45936</x:v>
      </x:c>
      <x:c r="B2548" s="197" t="n">
        <x:v>120.2722</x:v>
      </x:c>
    </x:row>
    <x:row r="2549">
      <x:c r="A2549" s="187" t="n">
        <x:v>45937</x:v>
      </x:c>
      <x:c r="B2549" s="197" t="n">
        <x:v>120.4884</x:v>
      </x:c>
    </x:row>
    <x:row r="2550">
      <x:c r="A2550" s="187" t="n">
        <x:v>45938</x:v>
      </x:c>
      <x:c r="B2550" s="197" t="n">
        <x:v>120.7766</x:v>
      </x:c>
    </x:row>
    <x:row r="2551">
      <x:c r="A2551" s="187" t="n">
        <x:v>45939</x:v>
      </x:c>
      <x:c r="B2551" s="197" t="n">
        <x:v>121.0902</x:v>
      </x:c>
    </x:row>
    <x:row r="2552">
      <x:c r="A2552" s="187" t="n">
        <x:v>45940</x:v>
      </x:c>
      <x:c r="B2552" s="197" t="n">
        <x:v>121.1163</x:v>
      </x:c>
    </x:row>
    <x:row r="2553">
      <x:c r="A2553" s="187" t="n">
        <x:v>45943</x:v>
      </x:c>
      <x:c r="B2553" s="197"/>
    </x:row>
    <x:row r="2554">
      <x:c r="A2554" s="187" t="n">
        <x:v>45944</x:v>
      </x:c>
      <x:c r="B2554" s="197" t="n">
        <x:v>121.1822</x:v>
      </x:c>
    </x:row>
    <x:row r="2555">
      <x:c r="A2555" s="187" t="n">
        <x:v>45945</x:v>
      </x:c>
      <x:c r="B2555" s="197" t="n">
        <x:v>120.8642</x:v>
      </x:c>
    </x:row>
    <x:row r="2556">
      <x:c r="A2556" s="187" t="n">
        <x:v>45946</x:v>
      </x:c>
      <x:c r="B2556" s="197" t="n">
        <x:v>120.6698</x:v>
      </x:c>
    </x:row>
    <x:row r="2557">
      <x:c r="A2557" s="187" t="n">
        <x:v>45947</x:v>
      </x:c>
      <x:c r="B2557" s="197" t="n">
        <x:v>120.7028</x:v>
      </x:c>
    </x:row>
    <x:row r="2558">
      <x:c r="A2558" s="187" t="n">
        <x:v>45950</x:v>
      </x:c>
      <x:c r="B2558" s="197" t="n">
        <x:v>120.6209</x:v>
      </x:c>
    </x:row>
    <x:row r="2559">
      <x:c r="A2559" s="187" t="n">
        <x:v>45951</x:v>
      </x:c>
      <x:c r="B2559" s="197" t="n">
        <x:v>120.8895</x:v>
      </x:c>
    </x:row>
    <x:row r="2560">
      <x:c r="A2560" s="187" t="n">
        <x:v>45952</x:v>
      </x:c>
      <x:c r="B2560" s="197" t="n">
        <x:v>120.8958</x:v>
      </x:c>
    </x:row>
    <x:row r="2561">
      <x:c r="A2561" s="187" t="n">
        <x:v>45953</x:v>
      </x:c>
      <x:c r="B2561" s="197" t="n">
        <x:v>120.9531</x:v>
      </x:c>
    </x:row>
    <x:row r="2562">
      <x:c r="A2562" s="187" t="n">
        <x:v>45954</x:v>
      </x:c>
      <x:c r="B2562" s="197" t="n">
        <x:v>120.9345</x:v>
      </x:c>
    </x:row>
    <x:row r="2563">
      <x:c r="A2563" s="187" t="n">
        <x:v>45957</x:v>
      </x:c>
      <x:c r="B2563" s="197" t="n">
        <x:v>120.7988</x:v>
      </x:c>
    </x:row>
    <x:row r="2564">
      <x:c r="A2564" s="187" t="n">
        <x:v>45958</x:v>
      </x:c>
      <x:c r="B2564" s="197" t="n">
        <x:v>120.6361</x:v>
      </x:c>
    </x:row>
    <x:row r="2565">
      <x:c r="A2565" s="187" t="n">
        <x:v>45959</x:v>
      </x:c>
      <x:c r="B2565" s="197" t="n">
        <x:v>120.5312</x:v>
      </x:c>
    </x:row>
    <x:row r="2566">
      <x:c r="A2566" s="187" t="n">
        <x:v>45960</x:v>
      </x:c>
      <x:c r="B2566" s="197" t="n">
        <x:v>121.2832</x:v>
      </x:c>
    </x:row>
    <x:row r="2567">
      <x:c r="A2567" s="187" t="n">
        <x:v>45961</x:v>
      </x:c>
      <x:c r="B2567" s="197" t="n">
        <x:v>121.3859</x:v>
      </x:c>
    </x:row>
    <x:row r="2568">
      <x:c r="A2568" s="187" t="n">
        <x:v>45964</x:v>
      </x:c>
      <x:c r="B2568" s="197" t="n">
        <x:v>121.4512</x:v>
      </x:c>
    </x:row>
    <x:row r="2569">
      <x:c r="A2569" s="187" t="n">
        <x:v>45965</x:v>
      </x:c>
      <x:c r="B2569" s="197" t="n">
        <x:v>121.8271</x:v>
      </x:c>
    </x:row>
    <x:row r="2570">
      <x:c r="A2570" s="187" t="n">
        <x:v>45966</x:v>
      </x:c>
      <x:c r="B2570" s="197" t="n">
        <x:v>121.8482</x:v>
      </x:c>
    </x:row>
    <x:row r="2571">
      <x:c r="A2571" s="187" t="n">
        <x:v>45967</x:v>
      </x:c>
      <x:c r="B2571" s="197" t="n">
        <x:v>121.6948</x:v>
      </x:c>
    </x:row>
    <x:row r="2572">
      <x:c r="A2572" s="187" t="n">
        <x:v>45968</x:v>
      </x:c>
      <x:c r="B2572" s="197" t="n">
        <x:v>121.388</x:v>
      </x:c>
    </x:row>
    <x:row r="2573">
      <x:c r="A2573" s="187" t="n">
        <x:v>45971</x:v>
      </x:c>
      <x:c r="B2573" s="197" t="n">
        <x:v>121.2984</x:v>
      </x:c>
    </x:row>
    <x:row r="2574">
      <x:c r="A2574" s="187" t="n">
        <x:v>45972</x:v>
      </x:c>
      <x:c r="B2574" s="197"/>
    </x:row>
    <x:row r="2575">
      <x:c r="A2575" s="187" t="n">
        <x:v>45973</x:v>
      </x:c>
      <x:c r="B2575" s="197" t="n">
        <x:v>121.0458</x:v>
      </x:c>
    </x:row>
    <x:row r="2576">
      <x:c r="A2576" s="187" t="n">
        <x:v>45974</x:v>
      </x:c>
      <x:c r="B2576" s="197" t="n">
        <x:v>120.7725</x:v>
      </x:c>
    </x:row>
    <x:row r="2577">
      <x:c r="A2577" s="187" t="n">
        <x:v>45975</x:v>
      </x:c>
      <x:c r="B2577" s="197" t="n">
        <x:v>120.9666</x:v>
      </x:c>
    </x:row>
    <x:row r="2578">
      <x:c r="A2578" s="187" t="n">
        <x:v>45978</x:v>
      </x:c>
      <x:c r="B2578" s="197" t="n">
        <x:v>121.1146</x:v>
      </x:c>
    </x:row>
    <x:row r="2579">
      <x:c r="A2579" s="187" t="n">
        <x:v>45979</x:v>
      </x:c>
      <x:c r="B2579" s="197" t="n">
        <x:v>121.2127</x:v>
      </x:c>
    </x:row>
    <x:row r="2580">
      <x:c r="A2580" s="187" t="n">
        <x:v>45980</x:v>
      </x:c>
      <x:c r="B2580" s="197" t="n">
        <x:v>121.4978</x:v>
      </x:c>
    </x:row>
    <x:row r="2581">
      <x:c r="A2581" s="187" t="n">
        <x:v>45981</x:v>
      </x:c>
      <x:c r="B2581" s="197" t="n">
        <x:v>121.6889</x:v>
      </x:c>
    </x:row>
    <x:row r="2582">
      <x:c r="A2582" s="187" t="n">
        <x:v>45982</x:v>
      </x:c>
      <x:c r="B2582" s="197" t="n">
        <x:v>121.8653</x:v>
      </x:c>
    </x:row>
    <x:row r="2583">
      <x:c r="A2583" s="187" t="n">
        <x:v>45985</x:v>
      </x:c>
      <x:c r="B2583" s="197" t="n">
        <x:v>121.9171</x:v>
      </x:c>
    </x:row>
    <x:row r="2584">
      <x:c r="A2584" s="187" t="n">
        <x:v>45986</x:v>
      </x:c>
      <x:c r="B2584" s="197" t="n">
        <x:v>121.6335</x:v>
      </x:c>
    </x:row>
    <x:row r="2585">
      <x:c r="A2585" s="187" t="n">
        <x:v>45987</x:v>
      </x:c>
      <x:c r="B2585" s="197" t="n">
        <x:v>121.2437</x:v>
      </x:c>
    </x:row>
    <x:row r="2586">
      <x:c r="A2586" s="187" t="n">
        <x:v>45988</x:v>
      </x:c>
      <x:c r="B2586" s="197"/>
    </x:row>
    <x:row r="2587">
      <x:c r="A2587" s="187" t="n">
        <x:v>45989</x:v>
      </x:c>
      <x:c r="B2587" s="197" t="n">
        <x:v>121.0527</x:v>
      </x:c>
    </x:row>
    <x:row r="2588">
      <x:c r="A2588" s="187" t="n">
        <x:v>45992</x:v>
      </x:c>
      <x:c r="B2588" s="197" t="n">
        <x:v>120.9862</x:v>
      </x:c>
    </x:row>
    <x:row r="2589">
      <x:c r="A2589" s="187" t="n">
        <x:v>45993</x:v>
      </x:c>
      <x:c r="B2589" s="197" t="n">
        <x:v>121.1467</x:v>
      </x:c>
    </x:row>
    <x:row r="2590">
      <x:c r="A2590" s="187" t="n">
        <x:v>45994</x:v>
      </x:c>
      <x:c r="B2590" s="197" t="n">
        <x:v>120.7336</x:v>
      </x:c>
    </x:row>
    <x:row r="2591">
      <x:c r="A2591" s="187" t="n">
        <x:v>45995</x:v>
      </x:c>
      <x:c r="B2591" s="197" t="n">
        <x:v>120.6766</x:v>
      </x:c>
    </x:row>
    <x:row r="2592">
      <x:c r="A2592" s="187" t="n">
        <x:v>45996</x:v>
      </x:c>
      <x:c r="B2592" s="197" t="n">
        <x:v>120.6863</x:v>
      </x:c>
    </x:row>
    <x:row r="2593">
      <x:c r="A2593" s="187" t="n">
        <x:v>45999</x:v>
      </x:c>
      <x:c r="B2593" s="197" t="n">
        <x:v>120.776</x:v>
      </x:c>
    </x:row>
    <x:row r="2594">
      <x:c r="A2594" s="187" t="n">
        <x:v>46000</x:v>
      </x:c>
      <x:c r="B2594" s="197" t="n">
        <x:v>120.6832</x:v>
      </x:c>
    </x:row>
    <x:row r="2595">
      <x:c r="A2595" s="187" t="n">
        <x:v>46001</x:v>
      </x:c>
      <x:c r="B2595" s="197" t="n">
        <x:v>120.6752</x:v>
      </x:c>
    </x:row>
    <x:row r="2596">
      <x:c r="A2596" s="187" t="n">
        <x:v>46002</x:v>
      </x:c>
      <x:c r="B2596" s="197" t="n">
        <x:v>119.98</x:v>
      </x:c>
    </x:row>
    <x:row r="2597">
      <x:c r="A2597" s="187" t="n">
        <x:v>46003</x:v>
      </x:c>
      <x:c r="B2597" s="197" t="n">
        <x:v>120.1442</x:v>
      </x:c>
    </x:row>
    <x:row r="2598">
      <x:c r="A2598" s="187" t="n">
        <x:v>46006</x:v>
      </x:c>
      <x:c r="B2598" s="197" t="n">
        <x:v>119.9561</x:v>
      </x:c>
    </x:row>
    <x:row r="2599">
      <x:c r="A2599" s="187" t="n">
        <x:v>46007</x:v>
      </x:c>
      <x:c r="B2599" s="197" t="n">
        <x:v>119.8902</x:v>
      </x:c>
    </x:row>
    <x:row r="2600">
      <x:c r="A2600" s="187" t="n">
        <x:v>46008</x:v>
      </x:c>
      <x:c r="B2600" s="197" t="n">
        <x:v>120.155</x:v>
      </x:c>
    </x:row>
    <x:row r="2601">
      <x:c r="A2601" s="187" t="n">
        <x:v>46009</x:v>
      </x:c>
      <x:c r="B2601" s="197" t="n">
        <x:v>120.0528</x:v>
      </x:c>
    </x:row>
    <x:row r="2602">
      <x:c r="A2602" s="187" t="n">
        <x:v>46010</x:v>
      </x:c>
      <x:c r="B2602" s="197" t="n">
        <x:v>120.1652</x:v>
      </x:c>
    </x:row>
    <x:row r="2603">
      <x:c r="A2603" s="187" t="n">
        <x:v>46013</x:v>
      </x:c>
      <x:c r="B2603" s="197" t="n">
        <x:v>119.9912</x:v>
      </x:c>
    </x:row>
    <x:row r="2604">
      <x:c r="A2604" s="187" t="n">
        <x:v>46014</x:v>
      </x:c>
      <x:c r="B2604" s="197" t="n">
        <x:v>119.7057</x:v>
      </x:c>
    </x:row>
    <x:row r="2605">
      <x:c r="A2605" s="187" t="n">
        <x:v>46015</x:v>
      </x:c>
      <x:c r="B2605" s="197" t="n">
        <x:v>119.4372</x:v>
      </x:c>
    </x:row>
    <x:row r="2606">
      <x:c r="A2606" s="187" t="n">
        <x:v>46016</x:v>
      </x:c>
      <x:c r="B2606" s="197"/>
    </x:row>
    <x:row r="2607">
      <x:c r="A2607" s="187" t="n">
        <x:v>46017</x:v>
      </x:c>
      <x:c r="B2607" s="197" t="n">
        <x:v>119.4723</x:v>
      </x:c>
    </x:row>
    <x:row r="2608">
      <x:c r="A2608" s="187" t="n">
        <x:v>46020</x:v>
      </x:c>
      <x:c r="B2608" s="197" t="n">
        <x:v>119.5899</x:v>
      </x:c>
    </x:row>
    <x:row r="2609">
      <x:c r="A2609" s="187" t="n">
        <x:v>46021</x:v>
      </x:c>
      <x:c r="B2609" s="197" t="n">
        <x:v>119.4939</x:v>
      </x:c>
    </x:row>
    <x:row r="2610">
      <x:c r="A2610" s="187" t="n">
        <x:v>46022</x:v>
      </x:c>
      <x:c r="B2610" s="197" t="n">
        <x:v>119.7456</x:v>
      </x:c>
    </x:row>
    <x:row r="2611">
      <x:c r="A2611" s="187" t="n">
        <x:v>46023</x:v>
      </x:c>
      <x:c r="B2611" s="197"/>
    </x:row>
    <x:row r="2612">
      <x:c r="A2612" s="187" t="n">
        <x:v>46024</x:v>
      </x:c>
      <x:c r="B2612" s="197" t="n">
        <x:v>119.6059</x:v>
      </x:c>
    </x:row>
    <x:row r="2613">
      <x:c r="A2613" s="187" t="n">
        <x:v>46027</x:v>
      </x:c>
      <x:c r="B2613" s="197" t="n">
        <x:v>119.6192</x:v>
      </x:c>
    </x:row>
    <x:row r="2614">
      <x:c r="A2614" s="187" t="n">
        <x:v>46028</x:v>
      </x:c>
      <x:c r="B2614" s="197" t="n">
        <x:v>119.7807</x:v>
      </x:c>
    </x:row>
    <x:row r="2615">
      <x:c r="A2615" s="187" t="n">
        <x:v>46029</x:v>
      </x:c>
      <x:c r="B2615" s="197" t="n">
        <x:v>119.8719</x:v>
      </x:c>
    </x:row>
    <x:row r="2616">
      <x:c r="A2616" s="187" t="n">
        <x:v>46030</x:v>
      </x:c>
      <x:c r="B2616" s="197" t="n">
        <x:v>120.0904</x:v>
      </x:c>
    </x:row>
    <x:row r="2617">
      <x:c r="A2617" s="187" t="n">
        <x:v>46031</x:v>
      </x:c>
      <x:c r="B2617" s="197" t="n">
        <x:v>120.2215</x:v>
      </x:c>
    </x:row>
    <x:row r="2618">
      <x:c r="A2618" s="187" t="n">
        <x:v>46034</x:v>
      </x:c>
      <x:c r="B2618" s="197" t="n">
        <x:v>119.9958</x:v>
      </x:c>
    </x:row>
    <x:row r="2619">
      <x:c r="A2619" s="187" t="n">
        <x:v>46035</x:v>
      </x:c>
      <x:c r="B2619" s="197" t="n">
        <x:v>120.1401</x:v>
      </x:c>
    </x:row>
    <x:row r="2620">
      <x:c r="A2620" s="187" t="n">
        <x:v>46036</x:v>
      </x:c>
      <x:c r="B2620" s="197" t="n">
        <x:v>119.9537</x:v>
      </x:c>
    </x:row>
    <x:row r="2621">
      <x:c r="A2621" s="187" t="n">
        <x:v>46037</x:v>
      </x:c>
      <x:c r="B2621" s="197" t="n">
        <x:v>119.9951</x:v>
      </x:c>
    </x:row>
    <x:row r="2622">
      <x:c r="A2622" s="187" t="n">
        <x:v>46038</x:v>
      </x:c>
      <x:c r="B2622" s="197" t="n">
        <x:v>120.0838</x:v>
      </x:c>
    </x:row>
    <x:row r="2623">
      <x:c r="A2623" s="187" t="n">
        <x:v>46041</x:v>
      </x:c>
      <x:c r="B2623" s="197"/>
    </x:row>
    <x:row r="2624">
      <x:c r="A2624" s="187" t="n">
        <x:v>46042</x:v>
      </x:c>
      <x:c r="B2624" s="197" t="n">
        <x:v>119.4455</x:v>
      </x:c>
    </x:row>
    <x:row r="2625">
      <x:c r="A2625" s="187" t="n">
        <x:v>46043</x:v>
      </x:c>
      <x:c r="B2625" s="197" t="n">
        <x:v>119.3431</x:v>
      </x:c>
    </x:row>
    <x:row r="2626">
      <x:c r="A2626" s="187" t="n">
        <x:v>46044</x:v>
      </x:c>
      <x:c r="B2626" s="197" t="n">
        <x:v>119.1962</x:v>
      </x:c>
    </x:row>
    <x:row r="2627">
      <x:c r="A2627" s="187" t="n">
        <x:v>46045</x:v>
      </x:c>
      <x:c r="B2627" s="197" t="n">
        <x:v>118.8976</x:v>
      </x:c>
    </x:row>
    <x:row r="2628">
      <x:c r="A2628" s="187" t="n">
        <x:v>46048</x:v>
      </x:c>
      <x:c r="B2628" s="197" t="n">
        <x:v>118.0525</x:v>
      </x:c>
    </x:row>
    <x:row r="2629">
      <x:c r="A2629" s="187" t="n">
        <x:v>46049</x:v>
      </x:c>
      <x:c r="B2629" s="197" t="n">
        <x:v>117.4523</x:v>
      </x:c>
    </x:row>
    <x:row r="2630">
      <x:c r="A2630" s="187" t="n">
        <x:v>46050</x:v>
      </x:c>
      <x:c r="B2630" s="197" t="n">
        <x:v>117.5117</x:v>
      </x:c>
    </x:row>
    <x:row r="2631">
      <x:c r="A2631" s="187" t="n">
        <x:v>46051</x:v>
      </x:c>
      <x:c r="B2631" s="197" t="n">
        <x:v>117.4396</x:v>
      </x:c>
    </x:row>
    <x:row r="2632">
      <x:c r="A2632" s="187" t="n">
        <x:v>46052</x:v>
      </x:c>
      <x:c r="B2632" s="197" t="n">
        <x:v>117.8996</x:v>
      </x:c>
    </x:row>
    <x:row r="2633">
      <x:c r="A2633" s="187" t="n">
        <x:v>46055</x:v>
      </x:c>
      <x:c r="B2633" s="197" t="n">
        <x:v>118.3609</x:v>
      </x:c>
    </x:row>
    <x:row r="2634">
      <x:c r="A2634" s="187" t="n">
        <x:v>46056</x:v>
      </x:c>
      <x:c r="B2634" s="197" t="n">
        <x:v>117.9764</x:v>
      </x:c>
    </x:row>
    <x:row r="2635">
      <x:c r="A2635" s="187" t="n">
        <x:v>46057</x:v>
      </x:c>
      <x:c r="B2635" s="197" t="n">
        <x:v>118.2602</x:v>
      </x:c>
    </x:row>
    <x:row r="2636">
      <x:c r="A2636" s="187" t="n">
        <x:v>46058</x:v>
      </x:c>
      <x:c r="B2636" s="197" t="n">
        <x:v>118.5034</x:v>
      </x:c>
    </x:row>
    <x:row r="2637">
      <x:c r="A2637" s="187" t="n">
        <x:v>46059</x:v>
      </x:c>
      <x:c r="B2637" s="197" t="n">
        <x:v>118.2407</x:v>
      </x:c>
    </x:row>
    <x:row r="2638">
      <x:c r="A2638" s="187" t="n">
        <x:v>46062</x:v>
      </x:c>
      <x:c r="B2638" s="197" t="n">
        <x:v>117.6392</x:v>
      </x:c>
    </x:row>
    <x:row r="2639">
      <x:c r="A2639" s="187" t="n">
        <x:v>46063</x:v>
      </x:c>
      <x:c r="B2639" s="197" t="n">
        <x:v>117.5216</x:v>
      </x:c>
    </x:row>
    <x:row r="2640">
      <x:c r="A2640" s="187" t="n">
        <x:v>46064</x:v>
      </x:c>
      <x:c r="B2640" s="197" t="n">
        <x:v>117.4601</x:v>
      </x:c>
    </x:row>
    <x:row r="2641">
      <x:c r="A2641" s="187" t="n">
        <x:v>46065</x:v>
      </x:c>
      <x:c r="B2641" s="197" t="n">
        <x:v>117.5376</x:v>
      </x:c>
    </x:row>
    <x:row r="2642">
      <x:c r="A2642" s="187" t="n">
        <x:v>46066</x:v>
      </x:c>
      <x:c r="B2642" s="197" t="n">
        <x:v>117.5258</x:v>
      </x:c>
    </x:row>
    <x:row r="2643">
      <x:c r="A2643" s="187" t="n">
        <x:v>46069</x:v>
      </x:c>
      <x:c r="B2643" s="197"/>
    </x:row>
    <x:row r="2644">
      <x:c r="A2644" s="187" t="n">
        <x:v>46070</x:v>
      </x:c>
      <x:c r="B2644" s="197" t="n">
        <x:v>117.7375</x:v>
      </x:c>
    </x:row>
    <x:row r="2645">
      <x:c r="A2645" s="187" t="n">
        <x:v>46071</x:v>
      </x:c>
      <x:c r="B2645" s="197" t="n">
        <x:v>117.8426</x:v>
      </x:c>
    </x:row>
    <x:row r="2646">
      <x:c r="A2646" s="187" t="n">
        <x:v>46072</x:v>
      </x:c>
      <x:c r="B2646" s="197" t="n">
        <x:v>118.2354</x:v>
      </x:c>
    </x:row>
    <x:row r="2647">
      <x:c r="A2647" s="187" t="n">
        <x:v>46073</x:v>
      </x:c>
      <x:c r="B2647" s="197" t="n">
        <x:v>117.9917</x:v>
      </x:c>
    </x:row>
    <x:row r="2648">
      <x:c r="A2648" s="187" t="n">
        <x:v>46076</x:v>
      </x:c>
      <x:c r="B2648" s="197" t="n">
        <x:v>117.9395</x:v>
      </x:c>
    </x:row>
    <x:row r="2649">
      <x:c r="A2649" s="187" t="n">
        <x:v>46077</x:v>
      </x:c>
      <x:c r="B2649" s="197" t="n">
        <x:v>117.9463</x:v>
      </x:c>
    </x:row>
    <x:row r="2650">
      <x:c r="A2650" s="187" t="n">
        <x:v>46078</x:v>
      </x:c>
      <x:c r="B2650" s="197" t="n">
        <x:v>117.769</x:v>
      </x:c>
    </x:row>
    <x:row r="2651">
      <x:c r="A2651" s="187" t="n">
        <x:v>46079</x:v>
      </x:c>
      <x:c r="B2651" s="197" t="n">
        <x:v>117.9042</x:v>
      </x:c>
    </x:row>
    <x:row r="2652">
      <x:c r="A2652" s="187" t="n">
        <x:v>46080</x:v>
      </x:c>
      <x:c r="B2652" s="197" t="n">
        <x:v>117.8223</x:v>
      </x:c>
    </x:row>
    <x:row r="2653">
      <x:c r="A2653" s="187" t="n">
        <x:v>46083</x:v>
      </x:c>
      <x:c r="B2653" s="197" t="n">
        <x:v>118.667</x:v>
      </x:c>
    </x:row>
    <x:row r="2654">
      <x:c r="A2654" s="187" t="n">
        <x:v>46084</x:v>
      </x:c>
      <x:c r="B2654" s="197" t="n">
        <x:v>119.4341</x:v>
      </x:c>
    </x:row>
    <x:row r="2655">
      <x:c r="A2655" s="187" t="n">
        <x:v>46085</x:v>
      </x:c>
      <x:c r="B2655" s="197" t="n">
        <x:v>119.0705</x:v>
      </x:c>
    </x:row>
    <x:row r="2656">
      <x:c r="A2656" s="187" t="n">
        <x:v>46086</x:v>
      </x:c>
      <x:c r="B2656" s="197" t="n">
        <x:v>119.5683</x:v>
      </x:c>
    </x:row>
    <x:row r="2657">
      <x:c r="A2657" s="187" t="n">
        <x:v>46087</x:v>
      </x:c>
      <x:c r="B2657" s="197" t="n">
        <x:v>119.491</x:v>
      </x:c>
    </x:row>
    <x:row r="2658">
      <x:c r="A2658" s="187" t="n">
        <x:v>46090</x:v>
      </x:c>
      <x:c r="B2658" s="197" t="n">
        <x:v>119.5151</x:v>
      </x:c>
    </x:row>
    <x:row r="2659">
      <x:c r="A2659" s="187" t="n">
        <x:v>46091</x:v>
      </x:c>
      <x:c r="B2659" s="197" t="n">
        <x:v>118.7255</x:v>
      </x:c>
    </x:row>
    <x:row r="2660">
      <x:c r="A2660" s="187" t="n">
        <x:v>46092</x:v>
      </x:c>
      <x:c r="B2660" s="197" t="n">
        <x:v>119.2885</x:v>
      </x:c>
    </x:row>
    <x:row r="2661">
      <x:c r="A2661" s="187" t="n">
        <x:v>46093</x:v>
      </x:c>
      <x:c r="B2661" s="197" t="n">
        <x:v>119.8227</x:v>
      </x:c>
    </x:row>
    <x:row r="2662">
      <x:c r="A2662" s="187" t="n">
        <x:v>46094</x:v>
      </x:c>
      <x:c r="B2662" s="197" t="n">
        <x:v>120.5518</x:v>
      </x:c>
    </x:row>
    <x:row r="2663">
      <x:c r="A2663" s="187" t="n">
        <x:v>46097</x:v>
      </x:c>
      <x:c r="B2663" s="197" t="n">
        <x:v>120.097</x:v>
      </x:c>
    </x:row>
    <x:row r="2664">
      <x:c r="A2664" s="187" t="n">
        <x:v>46098</x:v>
      </x:c>
      <x:c r="B2664" s="197" t="n">
        <x:v>119.8328</x:v>
      </x:c>
    </x:row>
    <x:row r="2665">
      <x:c r="A2665" s="187" t="n">
        <x:v>46099</x:v>
      </x:c>
      <x:c r="B2665" s="197" t="n">
        <x:v>119.9276</x:v>
      </x:c>
    </x:row>
    <x:row r="2666">
      <x:c r="A2666" s="187" t="n">
        <x:v>46100</x:v>
      </x:c>
      <x:c r="B2666" s="197" t="n">
        <x:v>120.1802</x:v>
      </x:c>
    </x:row>
    <x:row r="2667">
      <x:c r="A2667" s="187" t="n">
        <x:v>46101</x:v>
      </x:c>
      <x:c r="B2667" s="197" t="n">
        <x:v>120.2757</x:v>
      </x:c>
    </x:row>
    <x:row r="2668">
      <x:c r="A2668" s="187" t="n">
        <x:v>46104</x:v>
      </x:c>
      <x:c r="B2668" s="197" t="n">
        <x:v>119.9371</x:v>
      </x:c>
    </x:row>
    <x:row r="2669">
      <x:c r="A2669" s="187" t="n">
        <x:v>46105</x:v>
      </x:c>
      <x:c r="B2669" s="197" t="n">
        <x:v>120.1295</x:v>
      </x:c>
    </x:row>
    <x:row r="2670">
      <x:c r="A2670" s="187" t="n">
        <x:v>46106</x:v>
      </x:c>
      <x:c r="B2670" s="197" t="n">
        <x:v>120.1282</x:v>
      </x:c>
    </x:row>
    <x:row r="2671">
      <x:c r="A2671" s="187" t="n">
        <x:v>46107</x:v>
      </x:c>
      <x:c r="B2671" s="197" t="n">
        <x:v>120.389</x:v>
      </x:c>
    </x:row>
    <x:row r="2672">
      <x:c r="A2672" s="187" t="n">
        <x:v>46108</x:v>
      </x:c>
      <x:c r="B2672" s="197" t="n">
        <x:v>120.8851</x:v>
      </x:c>
    </x:row>
    <x:row r="2673">
      <x:c r="A2673" s="187" t="n">
        <x:v>46111</x:v>
      </x:c>
      <x:c r="B2673" s="197" t="n">
        <x:v>121.2851</x:v>
      </x:c>
    </x:row>
    <x:row r="2674">
      <x:c r="A2674" s="187" t="n">
        <x:v>46112</x:v>
      </x:c>
      <x:c r="B2674" s="197" t="n">
        <x:v>121.035</x:v>
      </x:c>
    </x:row>
    <x:row r="2675">
      <x:c r="A2675" s="187" t="n">
        <x:v>46113</x:v>
      </x:c>
      <x:c r="B2675" s="197" t="n">
        <x:v>120.1198</x:v>
      </x:c>
    </x:row>
    <x:row r="2676">
      <x:c r="A2676" s="187" t="n">
        <x:v>46114</x:v>
      </x:c>
      <x:c r="B2676" s="197" t="n">
        <x:v>120.503</x:v>
      </x:c>
    </x:row>
    <x:row r="2677">
      <x:c r="A2677" s="187" t="n">
        <x:v>46115</x:v>
      </x:c>
      <x:c r="B2677" s="197" t="n">
        <x:v>120.6565</x:v>
      </x:c>
    </x:row>
    <x:row r="2678">
      <x:c r="A2678" s="187" t="n">
        <x:v>46118</x:v>
      </x:c>
      <x:c r="B2678" s="197" t="n">
        <x:v>120.4302</x:v>
      </x:c>
    </x:row>
    <x:row r="2679">
      <x:c r="A2679" s="187" t="n">
        <x:v>46119</x:v>
      </x:c>
      <x:c r="B2679" s="197" t="n">
        <x:v>120.32</x:v>
      </x:c>
    </x:row>
    <x:row r="2680">
      <x:c r="A2680" s="187" t="n">
        <x:v>46120</x:v>
      </x:c>
      <x:c r="B2680" s="197" t="n">
        <x:v>119.0596</x:v>
      </x:c>
    </x:row>
    <x:row r="2681">
      <x:c r="A2681" s="187" t="n">
        <x:v>46121</x:v>
      </x:c>
      <x:c r="B2681" s="197" t="n">
        <x:v>118.8998</x:v>
      </x:c>
    </x:row>
    <x:row r="2682">
      <x:c r="A2682" s="187" t="n">
        <x:v>46122</x:v>
      </x:c>
      <x:c r="B2682" s="197" t="n">
        <x:v>118.8552</x:v>
      </x:c>
    </x:row>
    <x:row r="2683">
      <x:c r="A2683" s="187" t="n">
        <x:v>46125</x:v>
      </x:c>
      <x:c r="B2683" s="197" t="n">
        <x:v>118.9916</x:v>
      </x:c>
    </x:row>
    <x:row r="2684">
      <x:c r="A2684" s="187" t="n">
        <x:v>46126</x:v>
      </x:c>
      <x:c r="B2684" s="197" t="n">
        <x:v>118.3581</x:v>
      </x:c>
    </x:row>
    <x:row r="2685">
      <x:c r="A2685" s="187" t="n">
        <x:v>46127</x:v>
      </x:c>
      <x:c r="B2685" s="197" t="n">
        <x:v>118.3623</x:v>
      </x:c>
    </x:row>
    <x:row r="2686">
      <x:c r="A2686" s="187" t="n">
        <x:v>46128</x:v>
      </x:c>
      <x:c r="B2686" s="197" t="n">
        <x:v>118.3616</x:v>
      </x:c>
    </x:row>
    <x:row r="2687">
      <x:c r="A2687" s="187" t="n">
        <x:v>46129</x:v>
      </x:c>
      <x:c r="B2687" s="197" t="n">
        <x:v>118.0795</x:v>
      </x:c>
    </x:row>
    <x:row r="2688">
      <x:c r="A2688" s="187" t="n">
        <x:v>46132</x:v>
      </x:c>
      <x:c r="B2688" s="197" t="n">
        <x:v>118.2374</x:v>
      </x:c>
    </x:row>
    <x:row r="2689">
      <x:c r="A2689" s="187" t="n">
        <x:v>46133</x:v>
      </x:c>
      <x:c r="B2689" s="197" t="n">
        <x:v>118.4331</x:v>
      </x:c>
    </x:row>
    <x:row r="2690">
      <x:c r="A2690" s="187" t="n">
        <x:v>46134</x:v>
      </x:c>
      <x:c r="B2690" s="197" t="n">
        <x:v>118.6004</x:v>
      </x:c>
    </x:row>
    <x:row r="2691">
      <x:c r="A2691" s="187" t="n">
        <x:v>46135</x:v>
      </x:c>
      <x:c r="B2691" s="197" t="n">
        <x:v>118.7155</x:v>
      </x:c>
    </x:row>
    <x:row r="2692">
      <x:c r="A2692" s="187" t="n">
        <x:v>46136</x:v>
      </x:c>
      <x:c r="B2692" s="197" t="n">
        <x:v>118.7294</x:v>
      </x:c>
    </x:row>
    <x:row r="2693">
      <x:c r="A2693" s="187" t="n">
        <x:v>46139</x:v>
      </x:c>
      <x:c r="B2693" s="197" t="n">
        <x:v>118.5458</x:v>
      </x:c>
    </x:row>
    <x:row r="2694">
      <x:c r="A2694" s="187" t="n">
        <x:v>46140</x:v>
      </x:c>
      <x:c r="B2694" s="197" t="n">
        <x:v>118.7717</x:v>
      </x:c>
    </x:row>
    <x:row r="2695">
      <x:c r="A2695" s="187" t="n">
        <x:v>46141</x:v>
      </x:c>
      <x:c r="B2695" s="197" t="n">
        <x:v>119.0975</x:v>
      </x:c>
    </x:row>
    <x:row r="2696">
      <x:c r="A2696" s="187" t="n">
        <x:v>46142</x:v>
      </x:c>
      <x:c r="B2696" s="197" t="n">
        <x:v>118.671</x:v>
      </x:c>
    </x:row>
    <x:row r="2697">
      <x:c r="A2697" s="187" t="n">
        <x:v>46143</x:v>
      </x:c>
      <x:c r="B2697" s="197" t="n">
        <x:v>118.3926</x:v>
      </x:c>
    </x:row>
    <x:row r="2698">
      <x:c r="A2698" s="187" t="n">
        <x:v>46146</x:v>
      </x:c>
      <x:c r="B2698" s="197" t="n">
        <x:v>118.8264</x:v>
      </x:c>
    </x:row>
    <x:row r="2699">
      <x:c r="A2699" s="187" t="n">
        <x:v>46147</x:v>
      </x:c>
      <x:c r="B2699" s="197" t="n">
        <x:v>118.6207</x:v>
      </x:c>
    </x:row>
    <x:row r="2700">
      <x:c r="A2700" s="187" t="n">
        <x:v>46148</x:v>
      </x:c>
      <x:c r="B2700" s="197" t="n">
        <x:v>118.0982</x:v>
      </x:c>
    </x:row>
    <x:row r="2701">
      <x:c r="A2701" s="187" t="n">
        <x:v>46149</x:v>
      </x:c>
      <x:c r="B2701" s="197" t="n">
        <x:v>118.0116</x:v>
      </x:c>
    </x:row>
    <x:row r="2702">
      <x:c r="A2702" s="187" t="n">
        <x:v>46150</x:v>
      </x:c>
      <x:c r="B2702" s="197" t="n">
        <x:v>118.0392</x:v>
      </x:c>
    </x:row>
    <x:row r="2703">
      <x:c r="A2703" s="187" t="n">
        <x:v>46153</x:v>
      </x:c>
      <x:c r="B2703" s="197" t="n">
        <x:v>118.0562</x:v>
      </x:c>
    </x:row>
    <x:row r="2704">
      <x:c r="A2704" s="187" t="n">
        <x:v>46154</x:v>
      </x:c>
      <x:c r="B2704" s="197" t="n">
        <x:v>118.5238</x:v>
      </x:c>
    </x:row>
    <x:row r="2705">
      <x:c r="A2705" s="187" t="n">
        <x:v>46155</x:v>
      </x:c>
      <x:c r="B2705" s="197" t="n">
        <x:v>118.4737</x:v>
      </x:c>
    </x:row>
    <x:row r="2706">
      <x:c r="A2706" s="187" t="n">
        <x:v>46156</x:v>
      </x:c>
      <x:c r="B2706" s="197" t="n">
        <x:v>118.6696</x:v>
      </x:c>
    </x:row>
    <x:row r="2707">
      <x:c r="A2707" s="187" t="n">
        <x:v>46157</x:v>
      </x:c>
      <x:c r="B2707" s="197" t="n">
        <x:v>119.2825</x:v>
      </x:c>
    </x:row>
    <x:row r="2708">
      <x:c r="A2708" s="187" t="n">
        <x:v>46160</x:v>
      </x:c>
      <x:c r="B2708" s="197" t="n">
        <x:v>119.0574</x:v>
      </x:c>
    </x:row>
    <x:row r="2709">
      <x:c r="A2709" s="187" t="n">
        <x:v>46161</x:v>
      </x:c>
      <x:c r="B2709" s="197" t="n">
        <x:v>119.451</x:v>
      </x:c>
    </x:row>
    <x:row r="2710">
      <x:c r="A2710" s="187" t="n">
        <x:v>46162</x:v>
      </x:c>
      <x:c r="B2710" s="197" t="n">
        <x:v>119.1624</x:v>
      </x:c>
    </x:row>
    <x:row r="2711">
      <x:c r="A2711" s="187" t="n">
        <x:v>46163</x:v>
      </x:c>
      <x:c r="B2711" s="197" t="n">
        <x:v>119.369</x:v>
      </x:c>
    </x:row>
    <x:row r="2712">
      <x:c r="A2712" s="187" t="n">
        <x:v>46164</x:v>
      </x:c>
      <x:c r="B2712" s="197" t="n">
        <x:v>119.2868</x:v>
      </x:c>
    </x:row>
    <x:row r="2713">
      <x:c r="A2713" s="187" t="n">
        <x:v>46167</x:v>
      </x:c>
      <x:c r="B2713" s="197"/>
    </x:row>
    <x:row r="2714">
      <x:c r="A2714" s="187" t="n">
        <x:v>46168</x:v>
      </x:c>
      <x:c r="B2714" s="197" t="n">
        <x:v>119.1696</x:v>
      </x:c>
    </x:row>
    <x:row r="2715">
      <x:c r="A2715" s="187" t="n">
        <x:v>46169</x:v>
      </x:c>
      <x:c r="B2715" s="197" t="n">
        <x:v>119.1829</x:v>
      </x:c>
    </x:row>
    <x:row r="2716">
      <x:c r="A2716" s="187" t="n">
        <x:v>46170</x:v>
      </x:c>
      <x:c r="B2716" s="197" t="n">
        <x:v>119.0318</x:v>
      </x:c>
    </x:row>
    <x:row r="2717">
      <x:c r="A2717" s="187" t="n">
        <x:v>46171</x:v>
      </x:c>
      <x:c r="B2717" s="197" t="n">
        <x:v>118.8783</x:v>
      </x:c>
    </x:row>
    <x:row r="2718">
      <x:c r="A2718" s="187" t="n">
        <x:v>46174</x:v>
      </x:c>
      <x:c r="B2718" s="197" t="n">
        <x:v>119.1653</x:v>
      </x:c>
    </x:row>
    <x:row r="2719">
      <x:c r="A2719" s="187" t="n">
        <x:v>46175</x:v>
      </x:c>
      <x:c r="B2719" s="197" t="n">
        <x:v>119.0359</x:v>
      </x:c>
    </x:row>
    <x:row r="2720">
      <x:c r="A2720" s="187" t="n">
        <x:v>46176</x:v>
      </x:c>
      <x:c r="B2720" s="197" t="n">
        <x:v>119.3848</x:v>
      </x:c>
    </x:row>
    <x:row r="2721">
      <x:c r="A2721" s="187" t="n">
        <x:v>46177</x:v>
      </x:c>
      <x:c r="B2721" s="197" t="n">
        <x:v>119.3615</x:v>
      </x:c>
    </x:row>
    <x:row r="2722">
      <x:c r="A2722" s="187" t="n">
        <x:v>46178</x:v>
      </x:c>
      <x:c r="B2722" s="197" t="n">
        <x:v>120.0831</x:v>
      </x:c>
    </x:row>
    <x:row r="2723">
      <x:c r="A2723" s="187" t="n">
        <x:v>46181</x:v>
      </x:c>
      <x:c r="B2723" s="197" t="n">
        <x:v>120.034</x:v>
      </x:c>
    </x:row>
    <x:row r="2724">
      <x:c r="A2724" s="187" t="n">
        <x:v>46182</x:v>
      </x:c>
      <x:c r="B2724" s="197" t="n">
        <x:v>119.9617</x:v>
      </x:c>
    </x:row>
    <x:row r="2725">
      <x:c r="A2725" s="187" t="n">
        <x:v>46183</x:v>
      </x:c>
      <x:c r="B2725" s="197" t="n">
        <x:v>119.9134</x:v>
      </x:c>
    </x:row>
    <x:row r="2726">
      <x:c r="A2726" s="187" t="n">
        <x:v>46184</x:v>
      </x:c>
      <x:c r="B2726" s="197" t="n">
        <x:v>120.1174</x:v>
      </x:c>
    </x:row>
    <x:row r="2727">
      <x:c r="A2727" s="187" t="n">
        <x:v>46185</x:v>
      </x:c>
      <x:c r="B2727" s="197" t="n">
        <x:v>119.5073</x:v>
      </x:c>
    </x:row>
    <x:row r="2728">
      <x:c r="A2728" s="187" t="n">
        <x:v>46188</x:v>
      </x:c>
      <x:c r="B2728" s="197" t="n">
        <x:v>119.3158</x:v>
      </x:c>
    </x:row>
    <x:row r="2729">
      <x:c r="A2729" s="187" t="n">
        <x:v>46189</x:v>
      </x:c>
      <x:c r="B2729" s="197" t="n">
        <x:v>119.256</x:v>
      </x:c>
    </x:row>
    <x:row r="2730">
      <x:c r="A2730" s="187" t="n">
        <x:v>46190</x:v>
      </x:c>
      <x:c r="B2730" s="197" t="n">
        <x:v>119.3871</x:v>
      </x:c>
    </x:row>
    <x:row r="2731">
      <x:c r="A2731" s="187" t="n">
        <x:v>46191</x:v>
      </x:c>
      <x:c r="B2731" s="197" t="n">
        <x:v>120.3958</x:v>
      </x:c>
    </x:row>
    <x:row r="2732">
      <x:c r="A2732" s="187" t="n">
        <x:v>46192</x:v>
      </x:c>
      <x:c r="B2732" s="197"/>
    </x:row>
    <x:row r="2733">
      <x:c r="A2733" s="187" t="n">
        <x:v>46195</x:v>
      </x:c>
      <x:c r="B2733" s="197" t="n">
        <x:v>120.5463</x:v>
      </x:c>
    </x:row>
    <x:row r="2734">
      <x:c r="A2734" s="187" t="n">
        <x:v>46196</x:v>
      </x:c>
      <x:c r="B2734" s="197" t="n">
        <x:v>121.0552</x:v>
      </x:c>
    </x:row>
    <x:row r="2735">
      <x:c r="A2735" s="187" t="n">
        <x:v>46197</x:v>
      </x:c>
      <x:c r="B2735" s="197" t="n">
        <x:v>121.412</x:v>
      </x:c>
    </x:row>
    <x:row r="2736">
      <x:c r="A2736" s="187" t="n">
        <x:v>46198</x:v>
      </x:c>
      <x:c r="B2736" s="197" t="n">
        <x:v>121.0559</x:v>
      </x:c>
    </x:row>
    <x:row r="2737">
      <x:c r="A2737" s="187" t="n">
        <x:v>46199</x:v>
      </x:c>
      <x:c r="B2737" s="197" t="n">
        <x:v>120.8866</x:v>
      </x:c>
    </x:row>
    <x:row r="2738">
      <x:c r="A2738" s="187" t="n">
        <x:v>46202</x:v>
      </x:c>
      <x:c r="B2738" s="197" t="n">
        <x:v>120.9525</x:v>
      </x:c>
    </x:row>
    <x:row r="2739">
      <x:c r="A2739" s="187" t="n">
        <x:v>46203</x:v>
      </x:c>
      <x:c r="B2739" s="197" t="n">
        <x:v>120.9248</x:v>
      </x:c>
    </x:row>
    <x:row r="2740">
      <x:c r="A2740" s="187" t="n">
        <x:v>46204</x:v>
      </x:c>
      <x:c r="B2740" s="197" t="n">
        <x:v>121.1455</x:v>
      </x:c>
    </x:row>
    <x:row r="2741">
      <x:c r="A2741" s="187" t="n">
        <x:v>46205</x:v>
      </x:c>
      <x:c r="B2741" s="197" t="n">
        <x:v>120.6902</x:v>
      </x:c>
    </x:row>
    <x:row r="2742">
      <x:c r="A2742" s="187" t="n">
        <x:v>46206</x:v>
      </x:c>
      <x:c r="B2742" s="197"/>
    </x:row>
  </x:sheetData>
  <x:pageMargins left="0.7" right="0.7" top="0.75" bottom="0.75" header="0.3" footer="0.3"/>
  <x:tableParts count="1">
    <x:tablePart xmlns:r="http://schemas.openxmlformats.org/officeDocument/2006/relationships" r:id="R9bf0162b8b2f46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4" hidden="0" customWidth="1"/>
    <x:col min="5" max="5" width="3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0" hidden="0" customWidth="1"/>
    <x:col min="23" max="23" width="20" hidden="0" customWidth="1"/>
  </x:cols>
  <x:sheetData>
    <x:row r="1" ht="48" hidden="0" customHeight="1">
      <x:c r="A1" s="185" t="str">
        <x:v>asset</x:v>
      </x:c>
      <x:c r="B1" s="185" t="str">
        <x:v>report_date</x:v>
      </x:c>
      <x:c r="C1" s="185" t="str">
        <x:v>assumed_release_date</x:v>
      </x:c>
      <x:c r="D1" s="198" t="str">
        <x:v>contract_code_text</x:v>
      </x:c>
      <x:c r="E1" s="185" t="str">
        <x:v>market_name</x:v>
      </x:c>
      <x:c r="F1" s="185" t="str">
        <x:v>open_interest</x:v>
      </x:c>
      <x:c r="G1" s="185" t="str">
        <x:v>producer_long</x:v>
      </x:c>
      <x:c r="H1" s="185" t="str">
        <x:v>producer_short</x:v>
      </x:c>
      <x:c r="I1" s="185" t="str">
        <x:v>producer_net</x:v>
      </x:c>
      <x:c r="J1" s="185" t="str">
        <x:v>swap_long</x:v>
      </x:c>
      <x:c r="K1" s="185" t="str">
        <x:v>swap_short</x:v>
      </x:c>
      <x:c r="L1" s="185" t="str">
        <x:v>swap_net</x:v>
      </x:c>
      <x:c r="M1" s="185" t="str">
        <x:v>managed_money_long</x:v>
      </x:c>
      <x:c r="N1" s="185" t="str">
        <x:v>managed_money_short</x:v>
      </x:c>
      <x:c r="O1" s="185" t="str">
        <x:v>managed_money_net</x:v>
      </x:c>
      <x:c r="P1" s="185" t="str">
        <x:v>other_reportable_long</x:v>
      </x:c>
      <x:c r="Q1" s="185" t="str">
        <x:v>other_reportable_short</x:v>
      </x:c>
      <x:c r="R1" s="185" t="str">
        <x:v>other_reportable_net</x:v>
      </x:c>
      <x:c r="S1" s="185" t="str">
        <x:v>nonreportable_long</x:v>
      </x:c>
      <x:c r="T1" s="185" t="str">
        <x:v>nonreportable_short</x:v>
      </x:c>
      <x:c r="U1" s="185" t="str">
        <x:v>nonreportable_net</x:v>
      </x:c>
      <x:c r="V1" s="185" t="str">
        <x:v>managed_money_net_pct_oi</x:v>
      </x:c>
      <x:c r="W1" s="185" t="str">
        <x:v>producer_net_pct_oi</x:v>
      </x:c>
    </x:row>
    <x:row r="2" ht="15" hidden="0" customHeight="1">
      <x:c r="A2" s="186" t="str">
        <x:v>Gold</x:v>
      </x:c>
      <x:c r="B2" s="187" t="n">
        <x:v>42374</x:v>
      </x:c>
      <x:c r="C2" s="187" t="n">
        <x:v>42377</x:v>
      </x:c>
      <x:c r="D2" s="186" t="str">
        <x:v>088691-GOLD</x:v>
      </x:c>
      <x:c r="E2" s="186" t="str">
        <x:v>GOLD - COMMODITY EXCHANGE INC.</x:v>
      </x:c>
      <x:c r="F2" s="186" t="n">
        <x:v>413688</x:v>
      </x:c>
      <x:c r="G2" s="186" t="n">
        <x:v>22948</x:v>
      </x:c>
      <x:c r="H2" s="186" t="n">
        <x:v>67800</x:v>
      </x:c>
      <x:c r="I2" s="186" t="n">
        <x:f>G2-H2</x:f>
        <x:v>-44852</x:v>
      </x:c>
      <x:c r="J2" s="186" t="n">
        <x:v>62783</x:v>
      </x:c>
      <x:c r="K2" s="186" t="n">
        <x:v>37206</x:v>
      </x:c>
      <x:c r="L2" s="186" t="n">
        <x:f>J2-K2</x:f>
        <x:v>25577</x:v>
      </x:c>
      <x:c r="M2" s="186" t="n">
        <x:v>79732</x:v>
      </x:c>
      <x:c r="N2" s="186" t="n">
        <x:v>95659</x:v>
      </x:c>
      <x:c r="O2" s="186" t="n">
        <x:f>M2-N2</x:f>
        <x:v>-15927</x:v>
      </x:c>
      <x:c r="P2" s="186" t="n">
        <x:v>73800</x:v>
      </x:c>
      <x:c r="Q2" s="186" t="n">
        <x:v>31313</x:v>
      </x:c>
      <x:c r="R2" s="186" t="n">
        <x:f>P2-Q2</x:f>
        <x:v>42487</x:v>
      </x:c>
      <x:c r="S2" s="186" t="n">
        <x:v>33921</x:v>
      </x:c>
      <x:c r="T2" s="186" t="n">
        <x:v>41206</x:v>
      </x:c>
      <x:c r="U2" s="186" t="n">
        <x:f>S2-T2</x:f>
        <x:v>-7285</x:v>
      </x:c>
      <x:c r="V2" s="196" t="n">
        <x:f>IFERROR(O2/F2,"")</x:f>
        <x:v>-0.03850002900736787</x:v>
      </x:c>
      <x:c r="W2" s="196" t="n">
        <x:f>IFERROR(I2/F2,"")</x:f>
        <x:v>-0.10841987198081646</x:v>
      </x:c>
    </x:row>
    <x:row r="3" ht="15" hidden="0" customHeight="1">
      <x:c r="A3" s="186" t="str">
        <x:v>Silver</x:v>
      </x:c>
      <x:c r="B3" s="187" t="n">
        <x:v>42374</x:v>
      </x:c>
      <x:c r="C3" s="187" t="n">
        <x:v>42377</x:v>
      </x:c>
      <x:c r="D3" s="186" t="str">
        <x:v>084691-SILVER</x:v>
      </x:c>
      <x:c r="E3" s="186" t="str">
        <x:v>SILVER - COMMODITY EXCHANGE INC.</x:v>
      </x:c>
      <x:c r="F3" s="186" t="n">
        <x:v>167520</x:v>
      </x:c>
      <x:c r="G3" s="186" t="n">
        <x:v>17895</x:v>
      </x:c>
      <x:c r="H3" s="186" t="n">
        <x:v>39793</x:v>
      </x:c>
      <x:c r="I3" s="186" t="n">
        <x:f>G3-H3</x:f>
        <x:v>-21898</x:v>
      </x:c>
      <x:c r="J3" s="186" t="n">
        <x:v>27239</x:v>
      </x:c>
      <x:c r="K3" s="186" t="n">
        <x:v>34140</x:v>
      </x:c>
      <x:c r="L3" s="186" t="n">
        <x:f>J3-K3</x:f>
        <x:v>-6901</x:v>
      </x:c>
      <x:c r="M3" s="186" t="n">
        <x:v>49088</x:v>
      </x:c>
      <x:c r="N3" s="186" t="n">
        <x:v>41197</x:v>
      </x:c>
      <x:c r="O3" s="186" t="n">
        <x:f>M3-N3</x:f>
        <x:v>7891</x:v>
      </x:c>
      <x:c r="P3" s="186" t="n">
        <x:v>20691</x:v>
      </x:c>
      <x:c r="Q3" s="186" t="n">
        <x:v>6956</x:v>
      </x:c>
      <x:c r="R3" s="186" t="n">
        <x:f>P3-Q3</x:f>
        <x:v>13735</x:v>
      </x:c>
      <x:c r="S3" s="186" t="n">
        <x:v>22889</x:v>
      </x:c>
      <x:c r="T3" s="186" t="n">
        <x:v>15716</x:v>
      </x:c>
      <x:c r="U3" s="186" t="n">
        <x:f>S3-T3</x:f>
        <x:v>7173</x:v>
      </x:c>
      <x:c r="V3" s="196" t="n">
        <x:f>IFERROR(O3/F3,"")</x:f>
        <x:v>0.047104823304680035</x:v>
      </x:c>
      <x:c r="W3" s="196" t="n">
        <x:f>IFERROR(I3/F3,"")</x:f>
        <x:v>-0.13071872015281757</x:v>
      </x:c>
    </x:row>
    <x:row r="4" ht="15" hidden="0" customHeight="1">
      <x:c r="A4" s="186" t="str">
        <x:v>Gold</x:v>
      </x:c>
      <x:c r="B4" s="187" t="n">
        <x:v>42381</x:v>
      </x:c>
      <x:c r="C4" s="187" t="n">
        <x:v>42384</x:v>
      </x:c>
      <x:c r="D4" s="186" t="str">
        <x:v>088691-GOLD</x:v>
      </x:c>
      <x:c r="E4" s="186" t="str">
        <x:v>GOLD - COMMODITY EXCHANGE INC.</x:v>
      </x:c>
      <x:c r="F4" s="186" t="n">
        <x:v>397565</x:v>
      </x:c>
      <x:c r="G4" s="186" t="n">
        <x:v>23309</x:v>
      </x:c>
      <x:c r="H4" s="186" t="n">
        <x:v>75124</x:v>
      </x:c>
      <x:c r="I4" s="186" t="n">
        <x:f>G4-H4</x:f>
        <x:v>-51815</x:v>
      </x:c>
      <x:c r="J4" s="186" t="n">
        <x:v>52700</x:v>
      </x:c>
      <x:c r="K4" s="186" t="n">
        <x:v>44470</x:v>
      </x:c>
      <x:c r="L4" s="186" t="n">
        <x:f>J4-K4</x:f>
        <x:v>8230</x:v>
      </x:c>
      <x:c r="M4" s="186" t="n">
        <x:v>82908</x:v>
      </x:c>
      <x:c r="N4" s="186" t="n">
        <x:v>82816</x:v>
      </x:c>
      <x:c r="O4" s="186" t="n">
        <x:f>M4-N4</x:f>
        <x:v>92</x:v>
      </x:c>
      <x:c r="P4" s="186" t="n">
        <x:v>75747</x:v>
      </x:c>
      <x:c r="Q4" s="186" t="n">
        <x:v>31121</x:v>
      </x:c>
      <x:c r="R4" s="186" t="n">
        <x:f>P4-Q4</x:f>
        <x:v>44626</x:v>
      </x:c>
      <x:c r="S4" s="186" t="n">
        <x:v>37852</x:v>
      </x:c>
      <x:c r="T4" s="186" t="n">
        <x:v>38985</x:v>
      </x:c>
      <x:c r="U4" s="186" t="n">
        <x:f>S4-T4</x:f>
        <x:v>-1133</x:v>
      </x:c>
      <x:c r="V4" s="196" t="n">
        <x:f>IFERROR(O4/F4,"")</x:f>
        <x:v>0.00023140870046407507</x:v>
      </x:c>
      <x:c r="W4" s="196" t="n">
        <x:f>IFERROR(I4/F4,"")</x:f>
        <x:v>-0.130330889288544</x:v>
      </x:c>
    </x:row>
    <x:row r="5" ht="15" hidden="0" customHeight="1">
      <x:c r="A5" s="186" t="str">
        <x:v>Silver</x:v>
      </x:c>
      <x:c r="B5" s="187" t="n">
        <x:v>42381</x:v>
      </x:c>
      <x:c r="C5" s="187" t="n">
        <x:v>42384</x:v>
      </x:c>
      <x:c r="D5" s="186" t="str">
        <x:v>084691-SILVER</x:v>
      </x:c>
      <x:c r="E5" s="186" t="str">
        <x:v>SILVER - COMMODITY EXCHANGE INC.</x:v>
      </x:c>
      <x:c r="F5" s="186" t="n">
        <x:v>166172</x:v>
      </x:c>
      <x:c r="G5" s="186" t="n">
        <x:v>15934</x:v>
      </x:c>
      <x:c r="H5" s="186" t="n">
        <x:v>38809</x:v>
      </x:c>
      <x:c r="I5" s="186" t="n">
        <x:f>G5-H5</x:f>
        <x:v>-22875</x:v>
      </x:c>
      <x:c r="J5" s="186" t="n">
        <x:v>27600</x:v>
      </x:c>
      <x:c r="K5" s="186" t="n">
        <x:v>35287</x:v>
      </x:c>
      <x:c r="L5" s="186" t="n">
        <x:f>J5-K5</x:f>
        <x:v>-7687</x:v>
      </x:c>
      <x:c r="M5" s="186" t="n">
        <x:v>50421</x:v>
      </x:c>
      <x:c r="N5" s="186" t="n">
        <x:v>41872</x:v>
      </x:c>
      <x:c r="O5" s="186" t="n">
        <x:f>M5-N5</x:f>
        <x:v>8549</x:v>
      </x:c>
      <x:c r="P5" s="186" t="n">
        <x:v>20834</x:v>
      </x:c>
      <x:c r="Q5" s="186" t="n">
        <x:v>6900</x:v>
      </x:c>
      <x:c r="R5" s="186" t="n">
        <x:f>P5-Q5</x:f>
        <x:v>13934</x:v>
      </x:c>
      <x:c r="S5" s="186" t="n">
        <x:v>24531</x:v>
      </x:c>
      <x:c r="T5" s="186" t="n">
        <x:v>16452</x:v>
      </x:c>
      <x:c r="U5" s="186" t="n">
        <x:f>S5-T5</x:f>
        <x:v>8079</x:v>
      </x:c>
      <x:c r="V5" s="196" t="n">
        <x:f>IFERROR(O5/F5,"")</x:f>
        <x:v>0.05144669378716029</x:v>
      </x:c>
      <x:c r="W5" s="196" t="n">
        <x:f>IFERROR(I5/F5,"")</x:f>
        <x:v>-0.13765857063765255</x:v>
      </x:c>
    </x:row>
    <x:row r="6" ht="15" hidden="0" customHeight="1">
      <x:c r="A6" s="186" t="str">
        <x:v>Gold</x:v>
      </x:c>
      <x:c r="B6" s="187" t="n">
        <x:v>42388</x:v>
      </x:c>
      <x:c r="C6" s="187" t="n">
        <x:v>42391</x:v>
      </x:c>
      <x:c r="D6" s="186" t="str">
        <x:v>088691-GOLD</x:v>
      </x:c>
      <x:c r="E6" s="186" t="str">
        <x:v>GOLD - COMMODITY EXCHANGE INC.</x:v>
      </x:c>
      <x:c r="F6" s="186" t="n">
        <x:v>408835</x:v>
      </x:c>
      <x:c r="G6" s="186" t="n">
        <x:v>24206</x:v>
      </x:c>
      <x:c r="H6" s="186" t="n">
        <x:v>73168</x:v>
      </x:c>
      <x:c r="I6" s="186" t="n">
        <x:f>G6-H6</x:f>
        <x:v>-48962</x:v>
      </x:c>
      <x:c r="J6" s="186" t="n">
        <x:v>53388</x:v>
      </x:c>
      <x:c r="K6" s="186" t="n">
        <x:v>44569</x:v>
      </x:c>
      <x:c r="L6" s="186" t="n">
        <x:f>J6-K6</x:f>
        <x:v>8819</x:v>
      </x:c>
      <x:c r="M6" s="186" t="n">
        <x:v>84054</x:v>
      </x:c>
      <x:c r="N6" s="186" t="n">
        <x:v>83615</x:v>
      </x:c>
      <x:c r="O6" s="186" t="n">
        <x:f>M6-N6</x:f>
        <x:v>439</x:v>
      </x:c>
      <x:c r="P6" s="186" t="n">
        <x:v>74266</x:v>
      </x:c>
      <x:c r="Q6" s="186" t="n">
        <x:v>31011</x:v>
      </x:c>
      <x:c r="R6" s="186" t="n">
        <x:f>P6-Q6</x:f>
        <x:v>43255</x:v>
      </x:c>
      <x:c r="S6" s="186" t="n">
        <x:v>33749</x:v>
      </x:c>
      <x:c r="T6" s="186" t="n">
        <x:v>37300</x:v>
      </x:c>
      <x:c r="U6" s="186" t="n">
        <x:f>S6-T6</x:f>
        <x:v>-3551</x:v>
      </x:c>
      <x:c r="V6" s="196" t="n">
        <x:f>IFERROR(O6/F6,"")</x:f>
        <x:v>0.0010737828219208238</x:v>
      </x:c>
      <x:c r="W6" s="196" t="n">
        <x:f>IFERROR(I6/F6,"")</x:f>
        <x:v>-0.11975980530042682</x:v>
      </x:c>
    </x:row>
    <x:row r="7" ht="15" hidden="0" customHeight="1">
      <x:c r="A7" s="186" t="str">
        <x:v>Silver</x:v>
      </x:c>
      <x:c r="B7" s="187" t="n">
        <x:v>42388</x:v>
      </x:c>
      <x:c r="C7" s="187" t="n">
        <x:v>42391</x:v>
      </x:c>
      <x:c r="D7" s="186" t="str">
        <x:v>084691-SILVER</x:v>
      </x:c>
      <x:c r="E7" s="186" t="str">
        <x:v>SILVER - COMMODITY EXCHANGE INC.</x:v>
      </x:c>
      <x:c r="F7" s="186" t="n">
        <x:v>159521</x:v>
      </x:c>
      <x:c r="G7" s="186" t="n">
        <x:v>15167</x:v>
      </x:c>
      <x:c r="H7" s="186" t="n">
        <x:v>39947</x:v>
      </x:c>
      <x:c r="I7" s="186" t="n">
        <x:f>G7-H7</x:f>
        <x:v>-24780</x:v>
      </x:c>
      <x:c r="J7" s="186" t="n">
        <x:v>26255</x:v>
      </x:c>
      <x:c r="K7" s="186" t="n">
        <x:v>37509</x:v>
      </x:c>
      <x:c r="L7" s="186" t="n">
        <x:f>J7-K7</x:f>
        <x:v>-11254</x:v>
      </x:c>
      <x:c r="M7" s="186" t="n">
        <x:v>49199</x:v>
      </x:c>
      <x:c r="N7" s="186" t="n">
        <x:v>32750</x:v>
      </x:c>
      <x:c r="O7" s="186" t="n">
        <x:f>M7-N7</x:f>
        <x:v>16449</x:v>
      </x:c>
      <x:c r="P7" s="186" t="n">
        <x:v>18997</x:v>
      </x:c>
      <x:c r="Q7" s="186" t="n">
        <x:v>6488</x:v>
      </x:c>
      <x:c r="R7" s="186" t="n">
        <x:f>P7-Q7</x:f>
        <x:v>12509</x:v>
      </x:c>
      <x:c r="S7" s="186" t="n">
        <x:v>22543</x:v>
      </x:c>
      <x:c r="T7" s="186" t="n">
        <x:v>15467</x:v>
      </x:c>
      <x:c r="U7" s="186" t="n">
        <x:f>S7-T7</x:f>
        <x:v>7076</x:v>
      </x:c>
      <x:c r="V7" s="196" t="n">
        <x:f>IFERROR(O7/F7,"")</x:f>
        <x:v>0.10311495038270824</x:v>
      </x:c>
      <x:c r="W7" s="196" t="n">
        <x:f>IFERROR(I7/F7,"")</x:f>
        <x:v>-0.15534004927250958</x:v>
      </x:c>
    </x:row>
    <x:row r="8" ht="15" hidden="0" customHeight="1">
      <x:c r="A8" s="186" t="str">
        <x:v>Gold</x:v>
      </x:c>
      <x:c r="B8" s="187" t="n">
        <x:v>42395</x:v>
      </x:c>
      <x:c r="C8" s="187" t="n">
        <x:v>42398</x:v>
      </x:c>
      <x:c r="D8" s="186" t="str">
        <x:v>088691-GOLD</x:v>
      </x:c>
      <x:c r="E8" s="186" t="str">
        <x:v>GOLD - COMMODITY EXCHANGE INC.</x:v>
      </x:c>
      <x:c r="F8" s="186" t="n">
        <x:v>385350</x:v>
      </x:c>
      <x:c r="G8" s="186" t="n">
        <x:v>19845</x:v>
      </x:c>
      <x:c r="H8" s="186" t="n">
        <x:v>72454</x:v>
      </x:c>
      <x:c r="I8" s="186" t="n">
        <x:f>G8-H8</x:f>
        <x:v>-52609</x:v>
      </x:c>
      <x:c r="J8" s="186" t="n">
        <x:v>47192</x:v>
      </x:c>
      <x:c r="K8" s="186" t="n">
        <x:v>54416</x:v>
      </x:c>
      <x:c r="L8" s="186" t="n">
        <x:f>J8-K8</x:f>
        <x:v>-7224</x:v>
      </x:c>
      <x:c r="M8" s="186" t="n">
        <x:v>95745</x:v>
      </x:c>
      <x:c r="N8" s="186" t="n">
        <x:v>78942</x:v>
      </x:c>
      <x:c r="O8" s="186" t="n">
        <x:f>M8-N8</x:f>
        <x:v>16803</x:v>
      </x:c>
      <x:c r="P8" s="186" t="n">
        <x:v>74726</x:v>
      </x:c>
      <x:c r="Q8" s="186" t="n">
        <x:v>32489</x:v>
      </x:c>
      <x:c r="R8" s="186" t="n">
        <x:f>P8-Q8</x:f>
        <x:v>42237</x:v>
      </x:c>
      <x:c r="S8" s="186" t="n">
        <x:v>38543</x:v>
      </x:c>
      <x:c r="T8" s="186" t="n">
        <x:v>37750</x:v>
      </x:c>
      <x:c r="U8" s="186" t="n">
        <x:f>S8-T8</x:f>
        <x:v>793</x:v>
      </x:c>
      <x:c r="V8" s="196" t="n">
        <x:f>IFERROR(O8/F8,"")</x:f>
        <x:v>0.04360451537563254</x:v>
      </x:c>
      <x:c r="W8" s="196" t="n">
        <x:f>IFERROR(I8/F8,"")</x:f>
        <x:v>-0.13652264175424939</x:v>
      </x:c>
    </x:row>
    <x:row r="9" ht="15" hidden="0" customHeight="1">
      <x:c r="A9" s="186" t="str">
        <x:v>Silver</x:v>
      </x:c>
      <x:c r="B9" s="187" t="n">
        <x:v>42395</x:v>
      </x:c>
      <x:c r="C9" s="187" t="n">
        <x:v>42398</x:v>
      </x:c>
      <x:c r="D9" s="186" t="str">
        <x:v>084691-SILVER</x:v>
      </x:c>
      <x:c r="E9" s="186" t="str">
        <x:v>SILVER - COMMODITY EXCHANGE INC.</x:v>
      </x:c>
      <x:c r="F9" s="186" t="n">
        <x:v>154734</x:v>
      </x:c>
      <x:c r="G9" s="186" t="n">
        <x:v>13982</x:v>
      </x:c>
      <x:c r="H9" s="186" t="n">
        <x:v>42708</x:v>
      </x:c>
      <x:c r="I9" s="186" t="n">
        <x:f>G9-H9</x:f>
        <x:v>-28726</x:v>
      </x:c>
      <x:c r="J9" s="186" t="n">
        <x:v>25869</x:v>
      </x:c>
      <x:c r="K9" s="186" t="n">
        <x:v>42267</x:v>
      </x:c>
      <x:c r="L9" s="186" t="n">
        <x:f>J9-K9</x:f>
        <x:v>-16398</x:v>
      </x:c>
      <x:c r="M9" s="186" t="n">
        <x:v>50614</x:v>
      </x:c>
      <x:c r="N9" s="186" t="n">
        <x:v>25218</x:v>
      </x:c>
      <x:c r="O9" s="186" t="n">
        <x:f>M9-N9</x:f>
        <x:v>25396</x:v>
      </x:c>
      <x:c r="P9" s="186" t="n">
        <x:v>18306</x:v>
      </x:c>
      <x:c r="Q9" s="186" t="n">
        <x:v>6116</x:v>
      </x:c>
      <x:c r="R9" s="186" t="n">
        <x:f>P9-Q9</x:f>
        <x:v>12190</x:v>
      </x:c>
      <x:c r="S9" s="186" t="n">
        <x:v>22837</x:v>
      </x:c>
      <x:c r="T9" s="186" t="n">
        <x:v>15299</x:v>
      </x:c>
      <x:c r="U9" s="186" t="n">
        <x:f>S9-T9</x:f>
        <x:v>7538</x:v>
      </x:c>
      <x:c r="V9" s="196" t="n">
        <x:f>IFERROR(O9/F9,"")</x:f>
        <x:v>0.1641268240981297</x:v>
      </x:c>
      <x:c r="W9" s="196" t="n">
        <x:f>IFERROR(I9/F9,"")</x:f>
        <x:v>-0.18564762754145825</x:v>
      </x:c>
    </x:row>
    <x:row r="10" ht="15" hidden="0" customHeight="1">
      <x:c r="A10" s="186" t="str">
        <x:v>Gold</x:v>
      </x:c>
      <x:c r="B10" s="187" t="n">
        <x:v>42402</x:v>
      </x:c>
      <x:c r="C10" s="187" t="n">
        <x:v>42405</x:v>
      </x:c>
      <x:c r="D10" s="186" t="str">
        <x:v>088691-GOLD</x:v>
      </x:c>
      <x:c r="E10" s="186" t="str">
        <x:v>GOLD - COMMODITY EXCHANGE INC.</x:v>
      </x:c>
      <x:c r="F10" s="186" t="n">
        <x:v>379185</x:v>
      </x:c>
      <x:c r="G10" s="186" t="n">
        <x:v>24395</x:v>
      </x:c>
      <x:c r="H10" s="186" t="n">
        <x:v>80385</x:v>
      </x:c>
      <x:c r="I10" s="186" t="n">
        <x:f>G10-H10</x:f>
        <x:v>-55990</x:v>
      </x:c>
      <x:c r="J10" s="186" t="n">
        <x:v>48605</x:v>
      </x:c>
      <x:c r="K10" s="186" t="n">
        <x:v>69970</x:v>
      </x:c>
      <x:c r="L10" s="186" t="n">
        <x:f>J10-K10</x:f>
        <x:v>-21365</x:v>
      </x:c>
      <x:c r="M10" s="186" t="n">
        <x:v>100566</x:v>
      </x:c>
      <x:c r="N10" s="186" t="n">
        <x:v>71530</x:v>
      </x:c>
      <x:c r="O10" s="186" t="n">
        <x:f>M10-N10</x:f>
        <x:v>29036</x:v>
      </x:c>
      <x:c r="P10" s="186" t="n">
        <x:v>76402</x:v>
      </x:c>
      <x:c r="Q10" s="186" t="n">
        <x:v>32616</x:v>
      </x:c>
      <x:c r="R10" s="186" t="n">
        <x:f>P10-Q10</x:f>
        <x:v>43786</x:v>
      </x:c>
      <x:c r="S10" s="186" t="n">
        <x:v>39579</x:v>
      </x:c>
      <x:c r="T10" s="186" t="n">
        <x:v>35046</x:v>
      </x:c>
      <x:c r="U10" s="186" t="n">
        <x:f>S10-T10</x:f>
        <x:v>4533</x:v>
      </x:c>
      <x:c r="V10" s="196" t="n">
        <x:f>IFERROR(O10/F10,"")</x:f>
        <x:v>0.07657475902264066</x:v>
      </x:c>
      <x:c r="W10" s="196" t="n">
        <x:f>IFERROR(I10/F10,"")</x:f>
        <x:v>-0.14765879451982541</x:v>
      </x:c>
    </x:row>
    <x:row r="11" ht="15" hidden="0" customHeight="1">
      <x:c r="A11" s="186" t="str">
        <x:v>Silver</x:v>
      </x:c>
      <x:c r="B11" s="187" t="n">
        <x:v>42402</x:v>
      </x:c>
      <x:c r="C11" s="187" t="n">
        <x:v>42405</x:v>
      </x:c>
      <x:c r="D11" s="186" t="str">
        <x:v>084691-SILVER</x:v>
      </x:c>
      <x:c r="E11" s="186" t="str">
        <x:v>SILVER - COMMODITY EXCHANGE INC.</x:v>
      </x:c>
      <x:c r="F11" s="186" t="n">
        <x:v>157934</x:v>
      </x:c>
      <x:c r="G11" s="186" t="n">
        <x:v>14360</x:v>
      </x:c>
      <x:c r="H11" s="186" t="n">
        <x:v>44711</x:v>
      </x:c>
      <x:c r="I11" s="186" t="n">
        <x:f>G11-H11</x:f>
        <x:v>-30351</x:v>
      </x:c>
      <x:c r="J11" s="186" t="n">
        <x:v>27221</x:v>
      </x:c>
      <x:c r="K11" s="186" t="n">
        <x:v>42344</x:v>
      </x:c>
      <x:c r="L11" s="186" t="n">
        <x:f>J11-K11</x:f>
        <x:v>-15123</x:v>
      </x:c>
      <x:c r="M11" s="186" t="n">
        <x:v>50949</x:v>
      </x:c>
      <x:c r="N11" s="186" t="n">
        <x:v>25932</x:v>
      </x:c>
      <x:c r="O11" s="186" t="n">
        <x:f>M11-N11</x:f>
        <x:v>25017</x:v>
      </x:c>
      <x:c r="P11" s="186" t="n">
        <x:v>19736</x:v>
      </x:c>
      <x:c r="Q11" s="186" t="n">
        <x:v>6165</x:v>
      </x:c>
      <x:c r="R11" s="186" t="n">
        <x:f>P11-Q11</x:f>
        <x:v>13571</x:v>
      </x:c>
      <x:c r="S11" s="186" t="n">
        <x:v>21673</x:v>
      </x:c>
      <x:c r="T11" s="186" t="n">
        <x:v>14787</x:v>
      </x:c>
      <x:c r="U11" s="186" t="n">
        <x:f>S11-T11</x:f>
        <x:v>6886</x:v>
      </x:c>
      <x:c r="V11" s="196" t="n">
        <x:f>IFERROR(O11/F11,"")</x:f>
        <x:v>0.15840161079944787</x:v>
      </x:c>
      <x:c r="W11" s="196" t="n">
        <x:f>IFERROR(I11/F11,"")</x:f>
        <x:v>-0.19217521243050895</x:v>
      </x:c>
    </x:row>
    <x:row r="12" ht="15" hidden="0" customHeight="1">
      <x:c r="A12" s="186" t="str">
        <x:v>Gold</x:v>
      </x:c>
      <x:c r="B12" s="187" t="n">
        <x:v>42409</x:v>
      </x:c>
      <x:c r="C12" s="187" t="n">
        <x:v>42412</x:v>
      </x:c>
      <x:c r="D12" s="186" t="str">
        <x:v>088691-GOLD</x:v>
      </x:c>
      <x:c r="E12" s="186" t="str">
        <x:v>GOLD - COMMODITY EXCHANGE INC.</x:v>
      </x:c>
      <x:c r="F12" s="186" t="n">
        <x:v>410833</x:v>
      </x:c>
      <x:c r="G12" s="186" t="n">
        <x:v>23988</x:v>
      </x:c>
      <x:c r="H12" s="186" t="n">
        <x:v>91728</x:v>
      </x:c>
      <x:c r="I12" s="186" t="n">
        <x:f>G12-H12</x:f>
        <x:v>-67740</x:v>
      </x:c>
      <x:c r="J12" s="186" t="n">
        <x:v>52921</x:v>
      </x:c>
      <x:c r="K12" s="186" t="n">
        <x:v>90104</x:v>
      </x:c>
      <x:c r="L12" s="186" t="n">
        <x:f>J12-K12</x:f>
        <x:v>-37183</x:v>
      </x:c>
      <x:c r="M12" s="186" t="n">
        <x:v>121059</x:v>
      </x:c>
      <x:c r="N12" s="186" t="n">
        <x:v>60423</x:v>
      </x:c>
      <x:c r="O12" s="186" t="n">
        <x:f>M12-N12</x:f>
        <x:v>60636</x:v>
      </x:c>
      <x:c r="P12" s="186" t="n">
        <x:v>80695</x:v>
      </x:c>
      <x:c r="Q12" s="186" t="n">
        <x:v>42903</x:v>
      </x:c>
      <x:c r="R12" s="186" t="n">
        <x:f>P12-Q12</x:f>
        <x:v>37792</x:v>
      </x:c>
      <x:c r="S12" s="186" t="n">
        <x:v>41975</x:v>
      </x:c>
      <x:c r="T12" s="186" t="n">
        <x:v>35480</x:v>
      </x:c>
      <x:c r="U12" s="186" t="n">
        <x:f>S12-T12</x:f>
        <x:v>6495</x:v>
      </x:c>
      <x:c r="V12" s="196" t="n">
        <x:f>IFERROR(O12/F12,"")</x:f>
        <x:v>0.1475928175195274</x:v>
      </x:c>
      <x:c r="W12" s="196" t="n">
        <x:f>IFERROR(I12/F12,"")</x:f>
        <x:v>-0.16488451511928204</x:v>
      </x:c>
    </x:row>
    <x:row r="13" ht="15" hidden="0" customHeight="1">
      <x:c r="A13" s="186" t="str">
        <x:v>Silver</x:v>
      </x:c>
      <x:c r="B13" s="187" t="n">
        <x:v>42409</x:v>
      </x:c>
      <x:c r="C13" s="187" t="n">
        <x:v>42412</x:v>
      </x:c>
      <x:c r="D13" s="186" t="str">
        <x:v>084691-SILVER</x:v>
      </x:c>
      <x:c r="E13" s="186" t="str">
        <x:v>SILVER - COMMODITY EXCHANGE INC.</x:v>
      </x:c>
      <x:c r="F13" s="186" t="n">
        <x:v>164664</x:v>
      </x:c>
      <x:c r="G13" s="186" t="n">
        <x:v>12816</x:v>
      </x:c>
      <x:c r="H13" s="186" t="n">
        <x:v>51259</x:v>
      </x:c>
      <x:c r="I13" s="186" t="n">
        <x:f>G13-H13</x:f>
        <x:v>-38443</x:v>
      </x:c>
      <x:c r="J13" s="186" t="n">
        <x:v>24962</x:v>
      </x:c>
      <x:c r="K13" s="186" t="n">
        <x:v>48228</x:v>
      </x:c>
      <x:c r="L13" s="186" t="n">
        <x:f>J13-K13</x:f>
        <x:v>-23266</x:v>
      </x:c>
      <x:c r="M13" s="186" t="n">
        <x:v>58876</x:v>
      </x:c>
      <x:c r="N13" s="186" t="n">
        <x:v>19132</x:v>
      </x:c>
      <x:c r="O13" s="186" t="n">
        <x:f>M13-N13</x:f>
        <x:v>39744</x:v>
      </x:c>
      <x:c r="P13" s="186" t="n">
        <x:v>19232</x:v>
      </x:c>
      <x:c r="Q13" s="186" t="n">
        <x:v>6294</x:v>
      </x:c>
      <x:c r="R13" s="186" t="n">
        <x:f>P13-Q13</x:f>
        <x:v>12938</x:v>
      </x:c>
      <x:c r="S13" s="186" t="n">
        <x:v>24196</x:v>
      </x:c>
      <x:c r="T13" s="186" t="n">
        <x:v>15169</x:v>
      </x:c>
      <x:c r="U13" s="186" t="n">
        <x:f>S13-T13</x:f>
        <x:v>9027</x:v>
      </x:c>
      <x:c r="V13" s="196" t="n">
        <x:f>IFERROR(O13/F13,"")</x:f>
        <x:v>0.24136423261915171</x:v>
      </x:c>
      <x:c r="W13" s="196" t="n">
        <x:f>IFERROR(I13/F13,"")</x:f>
        <x:v>-0.23346329495214496</x:v>
      </x:c>
    </x:row>
    <x:row r="14" ht="15" hidden="0" customHeight="1">
      <x:c r="A14" s="186" t="str">
        <x:v>Gold</x:v>
      </x:c>
      <x:c r="B14" s="187" t="n">
        <x:v>42416</x:v>
      </x:c>
      <x:c r="C14" s="187" t="n">
        <x:v>42419</x:v>
      </x:c>
      <x:c r="D14" s="186" t="str">
        <x:v>088691-GOLD</x:v>
      </x:c>
      <x:c r="E14" s="186" t="str">
        <x:v>GOLD - COMMODITY EXCHANGE INC.</x:v>
      </x:c>
      <x:c r="F14" s="186" t="n">
        <x:v>428912</x:v>
      </x:c>
      <x:c r="G14" s="186" t="n">
        <x:v>26085</x:v>
      </x:c>
      <x:c r="H14" s="186" t="n">
        <x:v>111860</x:v>
      </x:c>
      <x:c r="I14" s="186" t="n">
        <x:f>G14-H14</x:f>
        <x:v>-85775</x:v>
      </x:c>
      <x:c r="J14" s="186" t="n">
        <x:v>55745</x:v>
      </x:c>
      <x:c r="K14" s="186" t="n">
        <x:v>101954</x:v>
      </x:c>
      <x:c r="L14" s="186" t="n">
        <x:f>J14-K14</x:f>
        <x:v>-46209</x:v>
      </x:c>
      <x:c r="M14" s="186" t="n">
        <x:v>126219</x:v>
      </x:c>
      <x:c r="N14" s="186" t="n">
        <x:v>45206</x:v>
      </x:c>
      <x:c r="O14" s="186" t="n">
        <x:f>M14-N14</x:f>
        <x:v>81013</x:v>
      </x:c>
      <x:c r="P14" s="186" t="n">
        <x:v>82882</x:v>
      </x:c>
      <x:c r="Q14" s="186" t="n">
        <x:v>46535</x:v>
      </x:c>
      <x:c r="R14" s="186" t="n">
        <x:f>P14-Q14</x:f>
        <x:v>36347</x:v>
      </x:c>
      <x:c r="S14" s="186" t="n">
        <x:v>45771</x:v>
      </x:c>
      <x:c r="T14" s="186" t="n">
        <x:v>31147</x:v>
      </x:c>
      <x:c r="U14" s="186" t="n">
        <x:f>S14-T14</x:f>
        <x:v>14624</x:v>
      </x:c>
      <x:c r="V14" s="196" t="n">
        <x:f>IFERROR(O14/F14,"")</x:f>
        <x:v>0.18888023650539038</x:v>
      </x:c>
      <x:c r="W14" s="196" t="n">
        <x:f>IFERROR(I14/F14,"")</x:f>
        <x:v>-0.19998274704368263</x:v>
      </x:c>
    </x:row>
    <x:row r="15" ht="15" hidden="0" customHeight="1">
      <x:c r="A15" s="186" t="str">
        <x:v>Silver</x:v>
      </x:c>
      <x:c r="B15" s="187" t="n">
        <x:v>42416</x:v>
      </x:c>
      <x:c r="C15" s="187" t="n">
        <x:v>42419</x:v>
      </x:c>
      <x:c r="D15" s="186" t="str">
        <x:v>084691-SILVER</x:v>
      </x:c>
      <x:c r="E15" s="186" t="str">
        <x:v>SILVER - COMMODITY EXCHANGE INC.</x:v>
      </x:c>
      <x:c r="F15" s="186" t="n">
        <x:v>166645</x:v>
      </x:c>
      <x:c r="G15" s="186" t="n">
        <x:v>12175</x:v>
      </x:c>
      <x:c r="H15" s="186" t="n">
        <x:v>56287</x:v>
      </x:c>
      <x:c r="I15" s="186" t="n">
        <x:f>G15-H15</x:f>
        <x:v>-44112</x:v>
      </x:c>
      <x:c r="J15" s="186" t="n">
        <x:v>25391</x:v>
      </x:c>
      <x:c r="K15" s="186" t="n">
        <x:v>51341</x:v>
      </x:c>
      <x:c r="L15" s="186" t="n">
        <x:f>J15-K15</x:f>
        <x:v>-25950</x:v>
      </x:c>
      <x:c r="M15" s="186" t="n">
        <x:v>60725</x:v>
      </x:c>
      <x:c r="N15" s="186" t="n">
        <x:v>13004</x:v>
      </x:c>
      <x:c r="O15" s="186" t="n">
        <x:f>M15-N15</x:f>
        <x:v>47721</x:v>
      </x:c>
      <x:c r="P15" s="186" t="n">
        <x:v>19524</x:v>
      </x:c>
      <x:c r="Q15" s="186" t="n">
        <x:v>8528</x:v>
      </x:c>
      <x:c r="R15" s="186" t="n">
        <x:f>P15-Q15</x:f>
        <x:v>10996</x:v>
      </x:c>
      <x:c r="S15" s="186" t="n">
        <x:v>23069</x:v>
      </x:c>
      <x:c r="T15" s="186" t="n">
        <x:v>11724</x:v>
      </x:c>
      <x:c r="U15" s="186" t="n">
        <x:f>S15-T15</x:f>
        <x:v>11345</x:v>
      </x:c>
      <x:c r="V15" s="196" t="n">
        <x:f>IFERROR(O15/F15,"")</x:f>
        <x:v>0.28636322721953855</x:v>
      </x:c>
      <x:c r="W15" s="196" t="n">
        <x:f>IFERROR(I15/F15,"")</x:f>
        <x:v>-0.2647064118335384</x:v>
      </x:c>
    </x:row>
    <x:row r="16" ht="15" hidden="0" customHeight="1">
      <x:c r="A16" s="186" t="str">
        <x:v>Gold</x:v>
      </x:c>
      <x:c r="B16" s="187" t="n">
        <x:v>42423</x:v>
      </x:c>
      <x:c r="C16" s="187" t="n">
        <x:v>42426</x:v>
      </x:c>
      <x:c r="D16" s="186" t="str">
        <x:v>088691-GOLD</x:v>
      </x:c>
      <x:c r="E16" s="186" t="str">
        <x:v>GOLD - COMMODITY EXCHANGE INC.</x:v>
      </x:c>
      <x:c r="F16" s="186" t="n">
        <x:v>445290</x:v>
      </x:c>
      <x:c r="G16" s="186" t="n">
        <x:v>19329</x:v>
      </x:c>
      <x:c r="H16" s="186" t="n">
        <x:v>123277</x:v>
      </x:c>
      <x:c r="I16" s="186" t="n">
        <x:f>G16-H16</x:f>
        <x:v>-103948</x:v>
      </x:c>
      <x:c r="J16" s="186" t="n">
        <x:v>53429</x:v>
      </x:c>
      <x:c r="K16" s="186" t="n">
        <x:v>112630</x:v>
      </x:c>
      <x:c r="L16" s="186" t="n">
        <x:f>J16-K16</x:f>
        <x:v>-59201</x:v>
      </x:c>
      <x:c r="M16" s="186" t="n">
        <x:v>141373</x:v>
      </x:c>
      <x:c r="N16" s="186" t="n">
        <x:v>32276</x:v>
      </x:c>
      <x:c r="O16" s="186" t="n">
        <x:f>M16-N16</x:f>
        <x:v>109097</x:v>
      </x:c>
      <x:c r="P16" s="186" t="n">
        <x:v>86008</x:v>
      </x:c>
      <x:c r="Q16" s="186" t="n">
        <x:v>50127</x:v>
      </x:c>
      <x:c r="R16" s="186" t="n">
        <x:f>P16-Q16</x:f>
        <x:v>35881</x:v>
      </x:c>
      <x:c r="S16" s="186" t="n">
        <x:v>49448</x:v>
      </x:c>
      <x:c r="T16" s="186" t="n">
        <x:v>31277</x:v>
      </x:c>
      <x:c r="U16" s="186" t="n">
        <x:f>S16-T16</x:f>
        <x:v>18171</x:v>
      </x:c>
      <x:c r="V16" s="196" t="n">
        <x:f>IFERROR(O16/F16,"")</x:f>
        <x:v>0.24500213344112826</x:v>
      </x:c>
      <x:c r="W16" s="196" t="n">
        <x:f>IFERROR(I16/F16,"")</x:f>
        <x:v>-0.2334388825259943</x:v>
      </x:c>
    </x:row>
    <x:row r="17" ht="15" hidden="0" customHeight="1">
      <x:c r="A17" s="186" t="str">
        <x:v>Silver</x:v>
      </x:c>
      <x:c r="B17" s="187" t="n">
        <x:v>42423</x:v>
      </x:c>
      <x:c r="C17" s="187" t="n">
        <x:v>42426</x:v>
      </x:c>
      <x:c r="D17" s="186" t="str">
        <x:v>084691-SILVER</x:v>
      </x:c>
      <x:c r="E17" s="186" t="str">
        <x:v>SILVER - COMMODITY EXCHANGE INC.</x:v>
      </x:c>
      <x:c r="F17" s="186" t="n">
        <x:v>174697</x:v>
      </x:c>
      <x:c r="G17" s="186" t="n">
        <x:v>13483</x:v>
      </x:c>
      <x:c r="H17" s="186" t="n">
        <x:v>59944</x:v>
      </x:c>
      <x:c r="I17" s="186" t="n">
        <x:f>G17-H17</x:f>
        <x:v>-46461</x:v>
      </x:c>
      <x:c r="J17" s="186" t="n">
        <x:v>25185</x:v>
      </x:c>
      <x:c r="K17" s="186" t="n">
        <x:v>52401</x:v>
      </x:c>
      <x:c r="L17" s="186" t="n">
        <x:f>J17-K17</x:f>
        <x:v>-27216</x:v>
      </x:c>
      <x:c r="M17" s="186" t="n">
        <x:v>62683</x:v>
      </x:c>
      <x:c r="N17" s="186" t="n">
        <x:v>11662</x:v>
      </x:c>
      <x:c r="O17" s="186" t="n">
        <x:f>M17-N17</x:f>
        <x:v>51021</x:v>
      </x:c>
      <x:c r="P17" s="186" t="n">
        <x:v>20506</x:v>
      </x:c>
      <x:c r="Q17" s="186" t="n">
        <x:v>9600</x:v>
      </x:c>
      <x:c r="R17" s="186" t="n">
        <x:f>P17-Q17</x:f>
        <x:v>10906</x:v>
      </x:c>
      <x:c r="S17" s="186" t="n">
        <x:v>24297</x:v>
      </x:c>
      <x:c r="T17" s="186" t="n">
        <x:v>12547</x:v>
      </x:c>
      <x:c r="U17" s="186" t="n">
        <x:f>S17-T17</x:f>
        <x:v>11750</x:v>
      </x:c>
      <x:c r="V17" s="196" t="n">
        <x:f>IFERROR(O17/F17,"")</x:f>
        <x:v>0.2920542424884228</x:v>
      </x:c>
      <x:c r="W17" s="196" t="n">
        <x:f>IFERROR(I17/F17,"")</x:f>
        <x:v>-0.26595190529888896</x:v>
      </x:c>
    </x:row>
    <x:row r="18" ht="15" hidden="0" customHeight="1">
      <x:c r="A18" s="186" t="str">
        <x:v>Gold</x:v>
      </x:c>
      <x:c r="B18" s="187" t="n">
        <x:v>42430</x:v>
      </x:c>
      <x:c r="C18" s="187" t="n">
        <x:v>42433</x:v>
      </x:c>
      <x:c r="D18" s="186" t="str">
        <x:v>088691-GOLD</x:v>
      </x:c>
      <x:c r="E18" s="186" t="str">
        <x:v>GOLD - COMMODITY EXCHANGE INC.</x:v>
      </x:c>
      <x:c r="F18" s="186" t="n">
        <x:v>450555</x:v>
      </x:c>
      <x:c r="G18" s="186" t="n">
        <x:v>16920</x:v>
      </x:c>
      <x:c r="H18" s="186" t="n">
        <x:v>129587</x:v>
      </x:c>
      <x:c r="I18" s="186" t="n">
        <x:f>G18-H18</x:f>
        <x:v>-112667</x:v>
      </x:c>
      <x:c r="J18" s="186" t="n">
        <x:v>56255</x:v>
      </x:c>
      <x:c r="K18" s="186" t="n">
        <x:v>115019</x:v>
      </x:c>
      <x:c r="L18" s="186" t="n">
        <x:f>J18-K18</x:f>
        <x:v>-58764</x:v>
      </x:c>
      <x:c r="M18" s="186" t="n">
        <x:v>133823</x:v>
      </x:c>
      <x:c r="N18" s="186" t="n">
        <x:v>29453</x:v>
      </x:c>
      <x:c r="O18" s="186" t="n">
        <x:f>M18-N18</x:f>
        <x:v>104370</x:v>
      </x:c>
      <x:c r="P18" s="186" t="n">
        <x:v>89363</x:v>
      </x:c>
      <x:c r="Q18" s="186" t="n">
        <x:v>41320</x:v>
      </x:c>
      <x:c r="R18" s="186" t="n">
        <x:f>P18-Q18</x:f>
        <x:v>48043</x:v>
      </x:c>
      <x:c r="S18" s="186" t="n">
        <x:v>51148</x:v>
      </x:c>
      <x:c r="T18" s="186" t="n">
        <x:v>32130</x:v>
      </x:c>
      <x:c r="U18" s="186" t="n">
        <x:f>S18-T18</x:f>
        <x:v>19018</x:v>
      </x:c>
      <x:c r="V18" s="196" t="n">
        <x:f>IFERROR(O18/F18,"")</x:f>
        <x:v>0.23164763458401305</x:v>
      </x:c>
      <x:c r="W18" s="196" t="n">
        <x:f>IFERROR(I18/F18,"")</x:f>
        <x:v>-0.25006270044722617</x:v>
      </x:c>
    </x:row>
    <x:row r="19" ht="15" hidden="0" customHeight="1">
      <x:c r="A19" s="186" t="str">
        <x:v>Silver</x:v>
      </x:c>
      <x:c r="B19" s="187" t="n">
        <x:v>42430</x:v>
      </x:c>
      <x:c r="C19" s="187" t="n">
        <x:v>42433</x:v>
      </x:c>
      <x:c r="D19" s="186" t="str">
        <x:v>084691-SILVER</x:v>
      </x:c>
      <x:c r="E19" s="186" t="str">
        <x:v>SILVER - COMMODITY EXCHANGE INC.</x:v>
      </x:c>
      <x:c r="F19" s="186" t="n">
        <x:v>162293</x:v>
      </x:c>
      <x:c r="G19" s="186" t="n">
        <x:v>16020</x:v>
      </x:c>
      <x:c r="H19" s="186" t="n">
        <x:v>58393</x:v>
      </x:c>
      <x:c r="I19" s="186" t="n">
        <x:f>G19-H19</x:f>
        <x:v>-42373</x:v>
      </x:c>
      <x:c r="J19" s="186" t="n">
        <x:v>27373</x:v>
      </x:c>
      <x:c r="K19" s="186" t="n">
        <x:v>50237</x:v>
      </x:c>
      <x:c r="L19" s="186" t="n">
        <x:f>J19-K19</x:f>
        <x:v>-22864</x:v>
      </x:c>
      <x:c r="M19" s="186" t="n">
        <x:v>58117</x:v>
      </x:c>
      <x:c r="N19" s="186" t="n">
        <x:v>11562</x:v>
      </x:c>
      <x:c r="O19" s="186" t="n">
        <x:f>M19-N19</x:f>
        <x:v>46555</x:v>
      </x:c>
      <x:c r="P19" s="186" t="n">
        <x:v>20490</x:v>
      </x:c>
      <x:c r="Q19" s="186" t="n">
        <x:v>11565</x:v>
      </x:c>
      <x:c r="R19" s="186" t="n">
        <x:f>P19-Q19</x:f>
        <x:v>8925</x:v>
      </x:c>
      <x:c r="S19" s="186" t="n">
        <x:v>22131</x:v>
      </x:c>
      <x:c r="T19" s="186" t="n">
        <x:v>12374</x:v>
      </x:c>
      <x:c r="U19" s="186" t="n">
        <x:f>S19-T19</x:f>
        <x:v>9757</x:v>
      </x:c>
      <x:c r="V19" s="196" t="n">
        <x:f>IFERROR(O19/F19,"")</x:f>
        <x:v>0.2868577202960078</x:v>
      </x:c>
      <x:c r="W19" s="196" t="n">
        <x:f>IFERROR(I19/F19,"")</x:f>
        <x:v>-0.26108951094625155</x:v>
      </x:c>
    </x:row>
    <x:row r="20" ht="15" hidden="0" customHeight="1">
      <x:c r="A20" s="186" t="str">
        <x:v>Gold</x:v>
      </x:c>
      <x:c r="B20" s="187" t="n">
        <x:v>42437</x:v>
      </x:c>
      <x:c r="C20" s="187" t="n">
        <x:v>42440</x:v>
      </x:c>
      <x:c r="D20" s="186" t="str">
        <x:v>088691-GOLD</x:v>
      </x:c>
      <x:c r="E20" s="186" t="str">
        <x:v>GOLD - COMMODITY EXCHANGE INC.</x:v>
      </x:c>
      <x:c r="F20" s="186" t="n">
        <x:v>499110</x:v>
      </x:c>
      <x:c r="G20" s="186" t="n">
        <x:v>17739</x:v>
      </x:c>
      <x:c r="H20" s="186" t="n">
        <x:v>143726</x:v>
      </x:c>
      <x:c r="I20" s="186" t="n">
        <x:f>G20-H20</x:f>
        <x:v>-125987</x:v>
      </x:c>
      <x:c r="J20" s="186" t="n">
        <x:v>54685</x:v>
      </x:c>
      <x:c r="K20" s="186" t="n">
        <x:v>124070</x:v>
      </x:c>
      <x:c r="L20" s="186" t="n">
        <x:f>J20-K20</x:f>
        <x:v>-69385</x:v>
      </x:c>
      <x:c r="M20" s="186" t="n">
        <x:v>160317</x:v>
      </x:c>
      <x:c r="N20" s="186" t="n">
        <x:v>32890</x:v>
      </x:c>
      <x:c r="O20" s="186" t="n">
        <x:f>M20-N20</x:f>
        <x:v>127427</x:v>
      </x:c>
      <x:c r="P20" s="186" t="n">
        <x:v>92578</x:v>
      </x:c>
      <x:c r="Q20" s="186" t="n">
        <x:v>45195</x:v>
      </x:c>
      <x:c r="R20" s="186" t="n">
        <x:f>P20-Q20</x:f>
        <x:v>47383</x:v>
      </x:c>
      <x:c r="S20" s="186" t="n">
        <x:v>53520</x:v>
      </x:c>
      <x:c r="T20" s="186" t="n">
        <x:v>32958</x:v>
      </x:c>
      <x:c r="U20" s="186" t="n">
        <x:f>S20-T20</x:f>
        <x:v>20562</x:v>
      </x:c>
      <x:c r="V20" s="196" t="n">
        <x:f>IFERROR(O20/F20,"")</x:f>
        <x:v>0.25530844903928995</x:v>
      </x:c>
      <x:c r="W20" s="196" t="n">
        <x:f>IFERROR(I20/F20,"")</x:f>
        <x:v>-0.2524233134980265</x:v>
      </x:c>
    </x:row>
    <x:row r="21" ht="15" hidden="0" customHeight="1">
      <x:c r="A21" s="186" t="str">
        <x:v>Silver</x:v>
      </x:c>
      <x:c r="B21" s="187" t="n">
        <x:v>42437</x:v>
      </x:c>
      <x:c r="C21" s="187" t="n">
        <x:v>42440</x:v>
      </x:c>
      <x:c r="D21" s="186" t="str">
        <x:v>084691-SILVER</x:v>
      </x:c>
      <x:c r="E21" s="186" t="str">
        <x:v>SILVER - COMMODITY EXCHANGE INC.</x:v>
      </x:c>
      <x:c r="F21" s="186" t="n">
        <x:v>169875</x:v>
      </x:c>
      <x:c r="G21" s="186" t="n">
        <x:v>15606</x:v>
      </x:c>
      <x:c r="H21" s="186" t="n">
        <x:v>60460</x:v>
      </x:c>
      <x:c r="I21" s="186" t="n">
        <x:f>G21-H21</x:f>
        <x:v>-44854</x:v>
      </x:c>
      <x:c r="J21" s="186" t="n">
        <x:v>27529</x:v>
      </x:c>
      <x:c r="K21" s="186" t="n">
        <x:v>53490</x:v>
      </x:c>
      <x:c r="L21" s="186" t="n">
        <x:f>J21-K21</x:f>
        <x:v>-25961</x:v>
      </x:c>
      <x:c r="M21" s="186" t="n">
        <x:v>59303</x:v>
      </x:c>
      <x:c r="N21" s="186" t="n">
        <x:v>9730</x:v>
      </x:c>
      <x:c r="O21" s="186" t="n">
        <x:f>M21-N21</x:f>
        <x:v>49573</x:v>
      </x:c>
      <x:c r="P21" s="186" t="n">
        <x:v>20576</x:v>
      </x:c>
      <x:c r="Q21" s="186" t="n">
        <x:v>10265</x:v>
      </x:c>
      <x:c r="R21" s="186" t="n">
        <x:f>P21-Q21</x:f>
        <x:v>10311</x:v>
      </x:c>
      <x:c r="S21" s="186" t="n">
        <x:v>24035</x:v>
      </x:c>
      <x:c r="T21" s="186" t="n">
        <x:v>13104</x:v>
      </x:c>
      <x:c r="U21" s="186" t="n">
        <x:f>S21-T21</x:f>
        <x:v>10931</x:v>
      </x:c>
      <x:c r="V21" s="196" t="n">
        <x:f>IFERROR(O21/F21,"")</x:f>
        <x:v>0.2918204562178072</x:v>
      </x:c>
      <x:c r="W21" s="196" t="n">
        <x:f>IFERROR(I21/F21,"")</x:f>
        <x:v>-0.26404120676968357</x:v>
      </x:c>
    </x:row>
    <x:row r="22" ht="15" hidden="0" customHeight="1">
      <x:c r="A22" s="186" t="str">
        <x:v>Gold</x:v>
      </x:c>
      <x:c r="B22" s="187" t="n">
        <x:v>42444</x:v>
      </x:c>
      <x:c r="C22" s="187" t="n">
        <x:v>42447</x:v>
      </x:c>
      <x:c r="D22" s="186" t="str">
        <x:v>088691-GOLD</x:v>
      </x:c>
      <x:c r="E22" s="186" t="str">
        <x:v>GOLD - COMMODITY EXCHANGE INC.</x:v>
      </x:c>
      <x:c r="F22" s="186" t="n">
        <x:v>493086</x:v>
      </x:c>
      <x:c r="G22" s="186" t="n">
        <x:v>19486</x:v>
      </x:c>
      <x:c r="H22" s="186" t="n">
        <x:v>143435</x:v>
      </x:c>
      <x:c r="I22" s="186" t="n">
        <x:f>G22-H22</x:f>
        <x:v>-123949</x:v>
      </x:c>
      <x:c r="J22" s="186" t="n">
        <x:v>60147</x:v>
      </x:c>
      <x:c r="K22" s="186" t="n">
        <x:v>121729</x:v>
      </x:c>
      <x:c r="L22" s="186" t="n">
        <x:f>J22-K22</x:f>
        <x:v>-61582</x:v>
      </x:c>
      <x:c r="M22" s="186" t="n">
        <x:v>159202</x:v>
      </x:c>
      <x:c r="N22" s="186" t="n">
        <x:v>29425</x:v>
      </x:c>
      <x:c r="O22" s="186" t="n">
        <x:f>M22-N22</x:f>
        <x:v>129777</x:v>
      </x:c>
      <x:c r="P22" s="186" t="n">
        <x:v>88457</x:v>
      </x:c>
      <x:c r="Q22" s="186" t="n">
        <x:v>48722</x:v>
      </x:c>
      <x:c r="R22" s="186" t="n">
        <x:f>P22-Q22</x:f>
        <x:v>39735</x:v>
      </x:c>
      <x:c r="S22" s="186" t="n">
        <x:v>49810</x:v>
      </x:c>
      <x:c r="T22" s="186" t="n">
        <x:v>33791</x:v>
      </x:c>
      <x:c r="U22" s="186" t="n">
        <x:f>S22-T22</x:f>
        <x:v>16019</x:v>
      </x:c>
      <x:c r="V22" s="196" t="n">
        <x:f>IFERROR(O22/F22,"")</x:f>
        <x:v>0.26319343887273217</x:v>
      </x:c>
      <x:c r="W22" s="196" t="n">
        <x:f>IFERROR(I22/F22,"")</x:f>
        <x:v>-0.2513739996674008</x:v>
      </x:c>
    </x:row>
    <x:row r="23" ht="15" hidden="0" customHeight="1">
      <x:c r="A23" s="186" t="str">
        <x:v>Silver</x:v>
      </x:c>
      <x:c r="B23" s="187" t="n">
        <x:v>42444</x:v>
      </x:c>
      <x:c r="C23" s="187" t="n">
        <x:v>42447</x:v>
      </x:c>
      <x:c r="D23" s="186" t="str">
        <x:v>084691-SILVER</x:v>
      </x:c>
      <x:c r="E23" s="186" t="str">
        <x:v>SILVER - COMMODITY EXCHANGE INC.</x:v>
      </x:c>
      <x:c r="F23" s="186" t="n">
        <x:v>166180</x:v>
      </x:c>
      <x:c r="G23" s="186" t="n">
        <x:v>14831</x:v>
      </x:c>
      <x:c r="H23" s="186" t="n">
        <x:v>59948</x:v>
      </x:c>
      <x:c r="I23" s="186" t="n">
        <x:f>G23-H23</x:f>
        <x:v>-45117</x:v>
      </x:c>
      <x:c r="J23" s="186" t="n">
        <x:v>26888</x:v>
      </x:c>
      <x:c r="K23" s="186" t="n">
        <x:v>51795</x:v>
      </x:c>
      <x:c r="L23" s="186" t="n">
        <x:f>J23-K23</x:f>
        <x:v>-24907</x:v>
      </x:c>
      <x:c r="M23" s="186" t="n">
        <x:v>58689</x:v>
      </x:c>
      <x:c r="N23" s="186" t="n">
        <x:v>7933</x:v>
      </x:c>
      <x:c r="O23" s="186" t="n">
        <x:f>M23-N23</x:f>
        <x:v>50756</x:v>
      </x:c>
      <x:c r="P23" s="186" t="n">
        <x:v>17917</x:v>
      </x:c>
      <x:c r="Q23" s="186" t="n">
        <x:v>10600</x:v>
      </x:c>
      <x:c r="R23" s="186" t="n">
        <x:f>P23-Q23</x:f>
        <x:v>7317</x:v>
      </x:c>
      <x:c r="S23" s="186" t="n">
        <x:v>24009</x:v>
      </x:c>
      <x:c r="T23" s="186" t="n">
        <x:v>12058</x:v>
      </x:c>
      <x:c r="U23" s="186" t="n">
        <x:f>S23-T23</x:f>
        <x:v>11951</x:v>
      </x:c>
      <x:c r="V23" s="196" t="n">
        <x:f>IFERROR(O23/F23,"")</x:f>
        <x:v>0.30542784932001443</x:v>
      </x:c>
      <x:c r="W23" s="196" t="n">
        <x:f>IFERROR(I23/F23,"")</x:f>
        <x:v>-0.27149476471296186</x:v>
      </x:c>
    </x:row>
    <x:row r="24" ht="15" hidden="0" customHeight="1">
      <x:c r="A24" s="186" t="str">
        <x:v>Gold</x:v>
      </x:c>
      <x:c r="B24" s="187" t="n">
        <x:v>42451</x:v>
      </x:c>
      <x:c r="C24" s="187" t="n">
        <x:v>42454</x:v>
      </x:c>
      <x:c r="D24" s="186" t="str">
        <x:v>088691-GOLD</x:v>
      </x:c>
      <x:c r="E24" s="186" t="str">
        <x:v>GOLD - COMMODITY EXCHANGE INC.</x:v>
      </x:c>
      <x:c r="F24" s="186" t="n">
        <x:v>510579</x:v>
      </x:c>
      <x:c r="G24" s="186" t="n">
        <x:v>19858</x:v>
      </x:c>
      <x:c r="H24" s="186" t="n">
        <x:v>150125</x:v>
      </x:c>
      <x:c r="I24" s="186" t="n">
        <x:f>G24-H24</x:f>
        <x:v>-130267</x:v>
      </x:c>
      <x:c r="J24" s="186" t="n">
        <x:v>59953</x:v>
      </x:c>
      <x:c r="K24" s="186" t="n">
        <x:v>129680</x:v>
      </x:c>
      <x:c r="L24" s="186" t="n">
        <x:f>J24-K24</x:f>
        <x:v>-69727</x:v>
      </x:c>
      <x:c r="M24" s="186" t="n">
        <x:v>174457</x:v>
      </x:c>
      <x:c r="N24" s="186" t="n">
        <x:v>29558</x:v>
      </x:c>
      <x:c r="O24" s="186" t="n">
        <x:f>M24-N24</x:f>
        <x:v>144899</x:v>
      </x:c>
      <x:c r="P24" s="186" t="n">
        <x:v>84189</x:v>
      </x:c>
      <x:c r="Q24" s="186" t="n">
        <x:v>50257</x:v>
      </x:c>
      <x:c r="R24" s="186" t="n">
        <x:f>P24-Q24</x:f>
        <x:v>33932</x:v>
      </x:c>
      <x:c r="S24" s="186" t="n">
        <x:v>51562</x:v>
      </x:c>
      <x:c r="T24" s="186" t="n">
        <x:v>30399</x:v>
      </x:c>
      <x:c r="U24" s="186" t="n">
        <x:f>S24-T24</x:f>
        <x:v>21163</x:v>
      </x:c>
      <x:c r="V24" s="196" t="n">
        <x:f>IFERROR(O24/F24,"")</x:f>
        <x:v>0.28379349718652747</x:v>
      </x:c>
      <x:c r="W24" s="196" t="n">
        <x:f>IFERROR(I24/F24,"")</x:f>
        <x:v>-0.2551358359822868</x:v>
      </x:c>
    </x:row>
    <x:row r="25" ht="15" hidden="0" customHeight="1">
      <x:c r="A25" s="186" t="str">
        <x:v>Silver</x:v>
      </x:c>
      <x:c r="B25" s="187" t="n">
        <x:v>42451</x:v>
      </x:c>
      <x:c r="C25" s="187" t="n">
        <x:v>42454</x:v>
      </x:c>
      <x:c r="D25" s="186" t="str">
        <x:v>084691-SILVER</x:v>
      </x:c>
      <x:c r="E25" s="186" t="str">
        <x:v>SILVER - COMMODITY EXCHANGE INC.</x:v>
      </x:c>
      <x:c r="F25" s="186" t="n">
        <x:v>175775</x:v>
      </x:c>
      <x:c r="G25" s="186" t="n">
        <x:v>14205</x:v>
      </x:c>
      <x:c r="H25" s="186" t="n">
        <x:v>63656</x:v>
      </x:c>
      <x:c r="I25" s="186" t="n">
        <x:f>G25-H25</x:f>
        <x:v>-49451</x:v>
      </x:c>
      <x:c r="J25" s="186" t="n">
        <x:v>26898</x:v>
      </x:c>
      <x:c r="K25" s="186" t="n">
        <x:v>54689</x:v>
      </x:c>
      <x:c r="L25" s="186" t="n">
        <x:f>J25-K25</x:f>
        <x:v>-27791</x:v>
      </x:c>
      <x:c r="M25" s="186" t="n">
        <x:v>64150</x:v>
      </x:c>
      <x:c r="N25" s="186" t="n">
        <x:v>9449</x:v>
      </x:c>
      <x:c r="O25" s="186" t="n">
        <x:f>M25-N25</x:f>
        <x:v>54701</x:v>
      </x:c>
      <x:c r="P25" s="186" t="n">
        <x:v>18783</x:v>
      </x:c>
      <x:c r="Q25" s="186" t="n">
        <x:v>10055</x:v>
      </x:c>
      <x:c r="R25" s="186" t="n">
        <x:f>P25-Q25</x:f>
        <x:v>8728</x:v>
      </x:c>
      <x:c r="S25" s="186" t="n">
        <x:v>26722</x:v>
      </x:c>
      <x:c r="T25" s="186" t="n">
        <x:v>12909</x:v>
      </x:c>
      <x:c r="U25" s="186" t="n">
        <x:f>S25-T25</x:f>
        <x:v>13813</x:v>
      </x:c>
      <x:c r="V25" s="196" t="n">
        <x:f>IFERROR(O25/F25,"")</x:f>
        <x:v>0.3111989759635898</x:v>
      </x:c>
      <x:c r="W25" s="196" t="n">
        <x:f>IFERROR(I25/F25,"")</x:f>
        <x:v>-0.2813312473332385</x:v>
      </x:c>
    </x:row>
    <x:row r="26" ht="15" hidden="0" customHeight="1">
      <x:c r="A26" s="186" t="str">
        <x:v>Gold</x:v>
      </x:c>
      <x:c r="B26" s="187" t="n">
        <x:v>42458</x:v>
      </x:c>
      <x:c r="C26" s="187" t="n">
        <x:v>42461</x:v>
      </x:c>
      <x:c r="D26" s="186" t="str">
        <x:v>088691-GOLD</x:v>
      </x:c>
      <x:c r="E26" s="186" t="str">
        <x:v>GOLD - COMMODITY EXCHANGE INC.</x:v>
      </x:c>
      <x:c r="F26" s="186" t="n">
        <x:v>480461</x:v>
      </x:c>
      <x:c r="G26" s="186" t="n">
        <x:v>24190</x:v>
      </x:c>
      <x:c r="H26" s="186" t="n">
        <x:v>150685</x:v>
      </x:c>
      <x:c r="I26" s="186" t="n">
        <x:f>G26-H26</x:f>
        <x:v>-126495</x:v>
      </x:c>
      <x:c r="J26" s="186" t="n">
        <x:v>56815</x:v>
      </x:c>
      <x:c r="K26" s="186" t="n">
        <x:v>138284</x:v>
      </x:c>
      <x:c r="L26" s="186" t="n">
        <x:f>J26-K26</x:f>
        <x:v>-81469</x:v>
      </x:c>
      <x:c r="M26" s="186" t="n">
        <x:v>184135</x:v>
      </x:c>
      <x:c r="N26" s="186" t="n">
        <x:v>29930</x:v>
      </x:c>
      <x:c r="O26" s="186" t="n">
        <x:f>M26-N26</x:f>
        <x:v>154205</x:v>
      </x:c>
      <x:c r="P26" s="186" t="n">
        <x:v>77947</x:v>
      </x:c>
      <x:c r="Q26" s="186" t="n">
        <x:v>42346</x:v>
      </x:c>
      <x:c r="R26" s="186" t="n">
        <x:f>P26-Q26</x:f>
        <x:v>35601</x:v>
      </x:c>
      <x:c r="S26" s="186" t="n">
        <x:v>49423</x:v>
      </x:c>
      <x:c r="T26" s="186" t="n">
        <x:v>31265</x:v>
      </x:c>
      <x:c r="U26" s="186" t="n">
        <x:f>S26-T26</x:f>
        <x:v>18158</x:v>
      </x:c>
      <x:c r="V26" s="196" t="n">
        <x:f>IFERROR(O26/F26,"")</x:f>
        <x:v>0.320952168854496</x:v>
      </x:c>
      <x:c r="W26" s="196" t="n">
        <x:f>IFERROR(I26/F26,"")</x:f>
        <x:v>-0.26327839304334794</x:v>
      </x:c>
    </x:row>
    <x:row r="27" ht="15" hidden="0" customHeight="1">
      <x:c r="A27" s="186" t="str">
        <x:v>Silver</x:v>
      </x:c>
      <x:c r="B27" s="187" t="n">
        <x:v>42458</x:v>
      </x:c>
      <x:c r="C27" s="187" t="n">
        <x:v>42461</x:v>
      </x:c>
      <x:c r="D27" s="186" t="str">
        <x:v>084691-SILVER</x:v>
      </x:c>
      <x:c r="E27" s="186" t="str">
        <x:v>SILVER - COMMODITY EXCHANGE INC.</x:v>
      </x:c>
      <x:c r="F27" s="186" t="n">
        <x:v>175255</x:v>
      </x:c>
      <x:c r="G27" s="186" t="n">
        <x:v>15033</x:v>
      </x:c>
      <x:c r="H27" s="186" t="n">
        <x:v>59094</x:v>
      </x:c>
      <x:c r="I27" s="186" t="n">
        <x:f>G27-H27</x:f>
        <x:v>-44061</x:v>
      </x:c>
      <x:c r="J27" s="186" t="n">
        <x:v>27098</x:v>
      </x:c>
      <x:c r="K27" s="186" t="n">
        <x:v>51141</x:v>
      </x:c>
      <x:c r="L27" s="186" t="n">
        <x:f>J27-K27</x:f>
        <x:v>-24043</x:v>
      </x:c>
      <x:c r="M27" s="186" t="n">
        <x:v>60154</x:v>
      </x:c>
      <x:c r="N27" s="186" t="n">
        <x:v>15734</x:v>
      </x:c>
      <x:c r="O27" s="186" t="n">
        <x:f>M27-N27</x:f>
        <x:v>44420</x:v>
      </x:c>
      <x:c r="P27" s="186" t="n">
        <x:v>19339</x:v>
      </x:c>
      <x:c r="Q27" s="186" t="n">
        <x:v>9252</x:v>
      </x:c>
      <x:c r="R27" s="186" t="n">
        <x:f>P27-Q27</x:f>
        <x:v>10087</x:v>
      </x:c>
      <x:c r="S27" s="186" t="n">
        <x:v>26251</x:v>
      </x:c>
      <x:c r="T27" s="186" t="n">
        <x:v>12654</x:v>
      </x:c>
      <x:c r="U27" s="186" t="n">
        <x:f>S27-T27</x:f>
        <x:v>13597</x:v>
      </x:c>
      <x:c r="V27" s="196" t="n">
        <x:f>IFERROR(O27/F27,"")</x:f>
        <x:v>0.2534592450999971</x:v>
      </x:c>
      <x:c r="W27" s="196" t="n">
        <x:f>IFERROR(I27/F27,"")</x:f>
        <x:v>-0.25141080140366895</x:v>
      </x:c>
    </x:row>
    <x:row r="28" ht="15" hidden="0" customHeight="1">
      <x:c r="A28" s="186" t="str">
        <x:v>Gold</x:v>
      </x:c>
      <x:c r="B28" s="187" t="n">
        <x:v>42465</x:v>
      </x:c>
      <x:c r="C28" s="187" t="n">
        <x:v>42468</x:v>
      </x:c>
      <x:c r="D28" s="186" t="str">
        <x:v>088691-GOLD</x:v>
      </x:c>
      <x:c r="E28" s="186" t="str">
        <x:v>GOLD - COMMODITY EXCHANGE INC.</x:v>
      </x:c>
      <x:c r="F28" s="186" t="n">
        <x:v>474094</x:v>
      </x:c>
      <x:c r="G28" s="186" t="n">
        <x:v>21204</x:v>
      </x:c>
      <x:c r="H28" s="186" t="n">
        <x:v>151023</x:v>
      </x:c>
      <x:c r="I28" s="186" t="n">
        <x:f>G28-H28</x:f>
        <x:v>-129819</x:v>
      </x:c>
      <x:c r="J28" s="186" t="n">
        <x:v>57395</x:v>
      </x:c>
      <x:c r="K28" s="186" t="n">
        <x:v>134821</x:v>
      </x:c>
      <x:c r="L28" s="186" t="n">
        <x:f>J28-K28</x:f>
        <x:v>-77426</x:v>
      </x:c>
      <x:c r="M28" s="186" t="n">
        <x:v>186716</x:v>
      </x:c>
      <x:c r="N28" s="186" t="n">
        <x:v>33958</x:v>
      </x:c>
      <x:c r="O28" s="186" t="n">
        <x:f>M28-N28</x:f>
        <x:v>152758</x:v>
      </x:c>
      <x:c r="P28" s="186" t="n">
        <x:v>77065</x:v>
      </x:c>
      <x:c r="Q28" s="186" t="n">
        <x:v>39423</x:v>
      </x:c>
      <x:c r="R28" s="186" t="n">
        <x:f>P28-Q28</x:f>
        <x:v>37642</x:v>
      </x:c>
      <x:c r="S28" s="186" t="n">
        <x:v>47560</x:v>
      </x:c>
      <x:c r="T28" s="186" t="n">
        <x:v>30715</x:v>
      </x:c>
      <x:c r="U28" s="186" t="n">
        <x:f>S28-T28</x:f>
        <x:v>16845</x:v>
      </x:c>
      <x:c r="V28" s="196" t="n">
        <x:f>IFERROR(O28/F28,"")</x:f>
        <x:v>0.3222103633456656</x:v>
      </x:c>
      <x:c r="W28" s="196" t="n">
        <x:f>IFERROR(I28/F28,"")</x:f>
        <x:v>-0.2738254438993111</x:v>
      </x:c>
    </x:row>
    <x:row r="29" ht="15" hidden="0" customHeight="1">
      <x:c r="A29" s="186" t="str">
        <x:v>Silver</x:v>
      </x:c>
      <x:c r="B29" s="187" t="n">
        <x:v>42465</x:v>
      </x:c>
      <x:c r="C29" s="187" t="n">
        <x:v>42468</x:v>
      </x:c>
      <x:c r="D29" s="186" t="str">
        <x:v>084691-SILVER</x:v>
      </x:c>
      <x:c r="E29" s="186" t="str">
        <x:v>SILVER - COMMODITY EXCHANGE INC.</x:v>
      </x:c>
      <x:c r="F29" s="186" t="n">
        <x:v>179913</x:v>
      </x:c>
      <x:c r="G29" s="186" t="n">
        <x:v>18071</x:v>
      </x:c>
      <x:c r="H29" s="186" t="n">
        <x:v>57007</x:v>
      </x:c>
      <x:c r="I29" s="186" t="n">
        <x:f>G29-H29</x:f>
        <x:v>-38936</x:v>
      </x:c>
      <x:c r="J29" s="186" t="n">
        <x:v>27500</x:v>
      </x:c>
      <x:c r="K29" s="186" t="n">
        <x:v>48229</x:v>
      </x:c>
      <x:c r="L29" s="186" t="n">
        <x:f>J29-K29</x:f>
        <x:v>-20729</x:v>
      </x:c>
      <x:c r="M29" s="186" t="n">
        <x:v>60866</x:v>
      </x:c>
      <x:c r="N29" s="186" t="n">
        <x:v>17603</x:v>
      </x:c>
      <x:c r="O29" s="186" t="n">
        <x:f>M29-N29</x:f>
        <x:v>43263</x:v>
      </x:c>
      <x:c r="P29" s="186" t="n">
        <x:v>19076</x:v>
      </x:c>
      <x:c r="Q29" s="186" t="n">
        <x:v>10328</x:v>
      </x:c>
      <x:c r="R29" s="186" t="n">
        <x:f>P29-Q29</x:f>
        <x:v>8748</x:v>
      </x:c>
      <x:c r="S29" s="186" t="n">
        <x:v>22984</x:v>
      </x:c>
      <x:c r="T29" s="186" t="n">
        <x:v>15330</x:v>
      </x:c>
      <x:c r="U29" s="186" t="n">
        <x:f>S29-T29</x:f>
        <x:v>7654</x:v>
      </x:c>
      <x:c r="V29" s="196" t="n">
        <x:f>IFERROR(O29/F29,"")</x:f>
        <x:v>0.24046622534224876</x:v>
      </x:c>
      <x:c r="W29" s="196" t="n">
        <x:f>IFERROR(I29/F29,"")</x:f>
        <x:v>-0.21641571203859644</x:v>
      </x:c>
    </x:row>
    <x:row r="30" ht="15" hidden="0" customHeight="1">
      <x:c r="A30" s="186" t="str">
        <x:v>Gold</x:v>
      </x:c>
      <x:c r="B30" s="187" t="n">
        <x:v>42472</x:v>
      </x:c>
      <x:c r="C30" s="187" t="n">
        <x:v>42475</x:v>
      </x:c>
      <x:c r="D30" s="186" t="str">
        <x:v>088691-GOLD</x:v>
      </x:c>
      <x:c r="E30" s="186" t="str">
        <x:v>GOLD - COMMODITY EXCHANGE INC.</x:v>
      </x:c>
      <x:c r="F30" s="186" t="n">
        <x:v>504523</x:v>
      </x:c>
      <x:c r="G30" s="186" t="n">
        <x:v>21129</x:v>
      </x:c>
      <x:c r="H30" s="186" t="n">
        <x:v>164322</x:v>
      </x:c>
      <x:c r="I30" s="186" t="n">
        <x:f>G30-H30</x:f>
        <x:v>-143193</x:v>
      </x:c>
      <x:c r="J30" s="186" t="n">
        <x:v>60602</x:v>
      </x:c>
      <x:c r="K30" s="186" t="n">
        <x:v>149196</x:v>
      </x:c>
      <x:c r="L30" s="186" t="n">
        <x:f>J30-K30</x:f>
        <x:v>-88594</x:v>
      </x:c>
      <x:c r="M30" s="186" t="n">
        <x:v>202500</x:v>
      </x:c>
      <x:c r="N30" s="186" t="n">
        <x:v>31866</x:v>
      </x:c>
      <x:c r="O30" s="186" t="n">
        <x:f>M30-N30</x:f>
        <x:v>170634</x:v>
      </x:c>
      <x:c r="P30" s="186" t="n">
        <x:v>83841</x:v>
      </x:c>
      <x:c r="Q30" s="186" t="n">
        <x:v>40668</x:v>
      </x:c>
      <x:c r="R30" s="186" t="n">
        <x:f>P30-Q30</x:f>
        <x:v>43173</x:v>
      </x:c>
      <x:c r="S30" s="186" t="n">
        <x:v>49032</x:v>
      </x:c>
      <x:c r="T30" s="186" t="n">
        <x:v>31052</x:v>
      </x:c>
      <x:c r="U30" s="186" t="n">
        <x:f>S30-T30</x:f>
        <x:v>17980</x:v>
      </x:c>
      <x:c r="V30" s="196" t="n">
        <x:f>IFERROR(O30/F30,"")</x:f>
        <x:v>0.3382085653181322</x:v>
      </x:c>
      <x:c r="W30" s="196" t="n">
        <x:f>IFERROR(I30/F30,"")</x:f>
        <x:v>-0.2838185771510912</x:v>
      </x:c>
    </x:row>
    <x:row r="31" ht="15" hidden="0" customHeight="1">
      <x:c r="A31" s="186" t="str">
        <x:v>Silver</x:v>
      </x:c>
      <x:c r="B31" s="187" t="n">
        <x:v>42472</x:v>
      </x:c>
      <x:c r="C31" s="187" t="n">
        <x:v>42475</x:v>
      </x:c>
      <x:c r="D31" s="186" t="str">
        <x:v>084691-SILVER</x:v>
      </x:c>
      <x:c r="E31" s="186" t="str">
        <x:v>SILVER - COMMODITY EXCHANGE INC.</x:v>
      </x:c>
      <x:c r="F31" s="186" t="n">
        <x:v>184800</x:v>
      </x:c>
      <x:c r="G31" s="186" t="n">
        <x:v>18847</x:v>
      </x:c>
      <x:c r="H31" s="186" t="n">
        <x:v>65976</x:v>
      </x:c>
      <x:c r="I31" s="186" t="n">
        <x:f>G31-H31</x:f>
        <x:v>-47129</x:v>
      </x:c>
      <x:c r="J31" s="186" t="n">
        <x:v>28121</x:v>
      </x:c>
      <x:c r="K31" s="186" t="n">
        <x:v>53408</x:v>
      </x:c>
      <x:c r="L31" s="186" t="n">
        <x:f>J31-K31</x:f>
        <x:v>-25287</x:v>
      </x:c>
      <x:c r="M31" s="186" t="n">
        <x:v>69774</x:v>
      </x:c>
      <x:c r="N31" s="186" t="n">
        <x:v>13756</x:v>
      </x:c>
      <x:c r="O31" s="186" t="n">
        <x:f>M31-N31</x:f>
        <x:v>56018</x:v>
      </x:c>
      <x:c r="P31" s="186" t="n">
        <x:v>18118</x:v>
      </x:c>
      <x:c r="Q31" s="186" t="n">
        <x:v>11668</x:v>
      </x:c>
      <x:c r="R31" s="186" t="n">
        <x:f>P31-Q31</x:f>
        <x:v>6450</x:v>
      </x:c>
      <x:c r="S31" s="186" t="n">
        <x:v>26922</x:v>
      </x:c>
      <x:c r="T31" s="186" t="n">
        <x:v>16974</x:v>
      </x:c>
      <x:c r="U31" s="186" t="n">
        <x:f>S31-T31</x:f>
        <x:v>9948</x:v>
      </x:c>
      <x:c r="V31" s="196" t="n">
        <x:f>IFERROR(O31/F31,"")</x:f>
        <x:v>0.30312770562770563</x:v>
      </x:c>
      <x:c r="W31" s="196" t="n">
        <x:f>IFERROR(I31/F31,"")</x:f>
        <x:v>-0.2550270562770563</x:v>
      </x:c>
    </x:row>
    <x:row r="32" ht="15" hidden="0" customHeight="1">
      <x:c r="A32" s="186" t="str">
        <x:v>Gold</x:v>
      </x:c>
      <x:c r="B32" s="187" t="n">
        <x:v>42479</x:v>
      </x:c>
      <x:c r="C32" s="187" t="n">
        <x:v>42482</x:v>
      </x:c>
      <x:c r="D32" s="186" t="str">
        <x:v>088691-GOLD</x:v>
      </x:c>
      <x:c r="E32" s="186" t="str">
        <x:v>GOLD - COMMODITY EXCHANGE INC.</x:v>
      </x:c>
      <x:c r="F32" s="186" t="n">
        <x:v>503331</x:v>
      </x:c>
      <x:c r="G32" s="186" t="n">
        <x:v>20069</x:v>
      </x:c>
      <x:c r="H32" s="186" t="n">
        <x:v>166296</x:v>
      </x:c>
      <x:c r="I32" s="186" t="n">
        <x:f>G32-H32</x:f>
        <x:v>-146227</x:v>
      </x:c>
      <x:c r="J32" s="186" t="n">
        <x:v>56336</x:v>
      </x:c>
      <x:c r="K32" s="186" t="n">
        <x:v>150230</x:v>
      </x:c>
      <x:c r="L32" s="186" t="n">
        <x:f>J32-K32</x:f>
        <x:v>-93894</x:v>
      </x:c>
      <x:c r="M32" s="186" t="n">
        <x:v>208661</x:v>
      </x:c>
      <x:c r="N32" s="186" t="n">
        <x:v>34554</x:v>
      </x:c>
      <x:c r="O32" s="186" t="n">
        <x:f>M32-N32</x:f>
        <x:v>174107</x:v>
      </x:c>
      <x:c r="P32" s="186" t="n">
        <x:v>82482</x:v>
      </x:c>
      <x:c r="Q32" s="186" t="n">
        <x:v>39752</x:v>
      </x:c>
      <x:c r="R32" s="186" t="n">
        <x:f>P32-Q32</x:f>
        <x:v>42730</x:v>
      </x:c>
      <x:c r="S32" s="186" t="n">
        <x:v>50205</x:v>
      </x:c>
      <x:c r="T32" s="186" t="n">
        <x:v>26921</x:v>
      </x:c>
      <x:c r="U32" s="186" t="n">
        <x:f>S32-T32</x:f>
        <x:v>23284</x:v>
      </x:c>
      <x:c r="V32" s="196" t="n">
        <x:f>IFERROR(O32/F32,"")</x:f>
        <x:v>0.3459095505740755</x:v>
      </x:c>
      <x:c r="W32" s="196" t="n">
        <x:f>IFERROR(I32/F32,"")</x:f>
        <x:v>-0.2905185653178525</x:v>
      </x:c>
    </x:row>
    <x:row r="33" ht="15" hidden="0" customHeight="1">
      <x:c r="A33" s="186" t="str">
        <x:v>Silver</x:v>
      </x:c>
      <x:c r="B33" s="187" t="n">
        <x:v>42479</x:v>
      </x:c>
      <x:c r="C33" s="187" t="n">
        <x:v>42482</x:v>
      </x:c>
      <x:c r="D33" s="186" t="str">
        <x:v>084691-SILVER</x:v>
      </x:c>
      <x:c r="E33" s="186" t="str">
        <x:v>SILVER - COMMODITY EXCHANGE INC.</x:v>
      </x:c>
      <x:c r="F33" s="186" t="n">
        <x:v>194510</x:v>
      </x:c>
      <x:c r="G33" s="186" t="n">
        <x:v>19682</x:v>
      </x:c>
      <x:c r="H33" s="186" t="n">
        <x:v>73069</x:v>
      </x:c>
      <x:c r="I33" s="186" t="n">
        <x:f>G33-H33</x:f>
        <x:v>-53387</x:v>
      </x:c>
      <x:c r="J33" s="186" t="n">
        <x:v>28062</x:v>
      </x:c>
      <x:c r="K33" s="186" t="n">
        <x:v>58759</x:v>
      </x:c>
      <x:c r="L33" s="186" t="n">
        <x:f>J33-K33</x:f>
        <x:v>-30697</x:v>
      </x:c>
      <x:c r="M33" s="186" t="n">
        <x:v>77534</x:v>
      </x:c>
      <x:c r="N33" s="186" t="n">
        <x:v>9631</x:v>
      </x:c>
      <x:c r="O33" s="186" t="n">
        <x:f>M33-N33</x:f>
        <x:v>67903</x:v>
      </x:c>
      <x:c r="P33" s="186" t="n">
        <x:v>17454</x:v>
      </x:c>
      <x:c r="Q33" s="186" t="n">
        <x:v>13929</x:v>
      </x:c>
      <x:c r="R33" s="186" t="n">
        <x:f>P33-Q33</x:f>
        <x:v>3525</x:v>
      </x:c>
      <x:c r="S33" s="186" t="n">
        <x:v>29798</x:v>
      </x:c>
      <x:c r="T33" s="186" t="n">
        <x:v>17142</x:v>
      </x:c>
      <x:c r="U33" s="186" t="n">
        <x:f>S33-T33</x:f>
        <x:v>12656</x:v>
      </x:c>
      <x:c r="V33" s="196" t="n">
        <x:f>IFERROR(O33/F33,"")</x:f>
        <x:v>0.3490977327643823</x:v>
      </x:c>
      <x:c r="W33" s="196" t="n">
        <x:f>IFERROR(I33/F33,"")</x:f>
        <x:v>-0.2744691789625212</x:v>
      </x:c>
    </x:row>
    <x:row r="34" ht="15" hidden="0" customHeight="1">
      <x:c r="A34" s="186" t="str">
        <x:v>Gold</x:v>
      </x:c>
      <x:c r="B34" s="187" t="n">
        <x:v>42486</x:v>
      </x:c>
      <x:c r="C34" s="187" t="n">
        <x:v>42489</x:v>
      </x:c>
      <x:c r="D34" s="186" t="str">
        <x:v>088691-GOLD</x:v>
      </x:c>
      <x:c r="E34" s="186" t="str">
        <x:v>GOLD - COMMODITY EXCHANGE INC.</x:v>
      </x:c>
      <x:c r="F34" s="186" t="n">
        <x:v>497884</x:v>
      </x:c>
      <x:c r="G34" s="186" t="n">
        <x:v>18752</x:v>
      </x:c>
      <x:c r="H34" s="186" t="n">
        <x:v>165367</x:v>
      </x:c>
      <x:c r="I34" s="186" t="n">
        <x:f>G34-H34</x:f>
        <x:v>-146615</x:v>
      </x:c>
      <x:c r="J34" s="186" t="n">
        <x:v>55117</x:v>
      </x:c>
      <x:c r="K34" s="186" t="n">
        <x:v>148610</x:v>
      </x:c>
      <x:c r="L34" s="186" t="n">
        <x:f>J34-K34</x:f>
        <x:v>-93493</x:v>
      </x:c>
      <x:c r="M34" s="186" t="n">
        <x:v>206476</x:v>
      </x:c>
      <x:c r="N34" s="186" t="n">
        <x:v>34426</x:v>
      </x:c>
      <x:c r="O34" s="186" t="n">
        <x:f>M34-N34</x:f>
        <x:v>172050</x:v>
      </x:c>
      <x:c r="P34" s="186" t="n">
        <x:v>81697</x:v>
      </x:c>
      <x:c r="Q34" s="186" t="n">
        <x:v>32890</x:v>
      </x:c>
      <x:c r="R34" s="186" t="n">
        <x:f>P34-Q34</x:f>
        <x:v>48807</x:v>
      </x:c>
      <x:c r="S34" s="186" t="n">
        <x:v>47030</x:v>
      </x:c>
      <x:c r="T34" s="186" t="n">
        <x:v>27779</x:v>
      </x:c>
      <x:c r="U34" s="186" t="n">
        <x:f>S34-T34</x:f>
        <x:v>19251</x:v>
      </x:c>
      <x:c r="V34" s="196" t="n">
        <x:f>IFERROR(O34/F34,"")</x:f>
        <x:v>0.3455624201621261</x:v>
      </x:c>
      <x:c r="W34" s="196" t="n">
        <x:f>IFERROR(I34/F34,"")</x:f>
        <x:v>-0.29447622337733287</x:v>
      </x:c>
    </x:row>
    <x:row r="35" ht="15" hidden="0" customHeight="1">
      <x:c r="A35" s="186" t="str">
        <x:v>Silver</x:v>
      </x:c>
      <x:c r="B35" s="187" t="n">
        <x:v>42486</x:v>
      </x:c>
      <x:c r="C35" s="187" t="n">
        <x:v>42489</x:v>
      </x:c>
      <x:c r="D35" s="186" t="str">
        <x:v>084691-SILVER</x:v>
      </x:c>
      <x:c r="E35" s="186" t="str">
        <x:v>SILVER - COMMODITY EXCHANGE INC.</x:v>
      </x:c>
      <x:c r="F35" s="186" t="n">
        <x:v>206748</x:v>
      </x:c>
      <x:c r="G35" s="186" t="n">
        <x:v>20341</x:v>
      </x:c>
      <x:c r="H35" s="186" t="n">
        <x:v>76004</x:v>
      </x:c>
      <x:c r="I35" s="186" t="n">
        <x:f>G35-H35</x:f>
        <x:v>-55663</x:v>
      </x:c>
      <x:c r="J35" s="186" t="n">
        <x:v>27212</x:v>
      </x:c>
      <x:c r="K35" s="186" t="n">
        <x:v>62851</x:v>
      </x:c>
      <x:c r="L35" s="186" t="n">
        <x:f>J35-K35</x:f>
        <x:v>-35639</x:v>
      </x:c>
      <x:c r="M35" s="186" t="n">
        <x:v>79825</x:v>
      </x:c>
      <x:c r="N35" s="186" t="n">
        <x:v>8665</x:v>
      </x:c>
      <x:c r="O35" s="186" t="n">
        <x:f>M35-N35</x:f>
        <x:v>71160</x:v>
      </x:c>
      <x:c r="P35" s="186" t="n">
        <x:v>19949</x:v>
      </x:c>
      <x:c r="Q35" s="186" t="n">
        <x:v>12336</x:v>
      </x:c>
      <x:c r="R35" s="186" t="n">
        <x:f>P35-Q35</x:f>
        <x:v>7613</x:v>
      </x:c>
      <x:c r="S35" s="186" t="n">
        <x:v>29448</x:v>
      </x:c>
      <x:c r="T35" s="186" t="n">
        <x:v>16919</x:v>
      </x:c>
      <x:c r="U35" s="186" t="n">
        <x:f>S35-T35</x:f>
        <x:v>12529</x:v>
      </x:c>
      <x:c r="V35" s="196" t="n">
        <x:f>IFERROR(O35/F35,"")</x:f>
        <x:v>0.3441871263567241</x:v>
      </x:c>
      <x:c r="W35" s="196" t="n">
        <x:f>IFERROR(I35/F35,"")</x:f>
        <x:v>-0.26923114129278153</x:v>
      </x:c>
    </x:row>
    <x:row r="36" ht="15" hidden="0" customHeight="1">
      <x:c r="A36" s="186" t="str">
        <x:v>Gold</x:v>
      </x:c>
      <x:c r="B36" s="187" t="n">
        <x:v>42493</x:v>
      </x:c>
      <x:c r="C36" s="187" t="n">
        <x:v>42496</x:v>
      </x:c>
      <x:c r="D36" s="186" t="str">
        <x:v>088691-GOLD</x:v>
      </x:c>
      <x:c r="E36" s="186" t="str">
        <x:v>GOLD - COMMODITY EXCHANGE INC.</x:v>
      </x:c>
      <x:c r="F36" s="186" t="n">
        <x:v>565774</x:v>
      </x:c>
      <x:c r="G36" s="186" t="n">
        <x:v>19259</x:v>
      </x:c>
      <x:c r="H36" s="186" t="n">
        <x:v>189227</x:v>
      </x:c>
      <x:c r="I36" s="186" t="n">
        <x:f>G36-H36</x:f>
        <x:v>-169968</x:v>
      </x:c>
      <x:c r="J36" s="186" t="n">
        <x:v>54485</x:v>
      </x:c>
      <x:c r="K36" s="186" t="n">
        <x:v>179418</x:v>
      </x:c>
      <x:c r="L36" s="186" t="n">
        <x:f>J36-K36</x:f>
        <x:v>-124933</x:v>
      </x:c>
      <x:c r="M36" s="186" t="n">
        <x:v>248842</x:v>
      </x:c>
      <x:c r="N36" s="186" t="n">
        <x:v>29947</x:v>
      </x:c>
      <x:c r="O36" s="186" t="n">
        <x:f>M36-N36</x:f>
        <x:v>218895</x:v>
      </x:c>
      <x:c r="P36" s="186" t="n">
        <x:v>89634</x:v>
      </x:c>
      <x:c r="Q36" s="186" t="n">
        <x:v>36881</x:v>
      </x:c>
      <x:c r="R36" s="186" t="n">
        <x:f>P36-Q36</x:f>
        <x:v>52753</x:v>
      </x:c>
      <x:c r="S36" s="186" t="n">
        <x:v>51223</x:v>
      </x:c>
      <x:c r="T36" s="186" t="n">
        <x:v>27970</x:v>
      </x:c>
      <x:c r="U36" s="186" t="n">
        <x:f>S36-T36</x:f>
        <x:v>23253</x:v>
      </x:c>
      <x:c r="V36" s="196" t="n">
        <x:f>IFERROR(O36/F36,"")</x:f>
        <x:v>0.38689476716851606</x:v>
      </x:c>
      <x:c r="W36" s="196" t="n">
        <x:f>IFERROR(I36/F36,"")</x:f>
        <x:v>-0.3004167741889871</x:v>
      </x:c>
    </x:row>
    <x:row r="37" ht="15" hidden="0" customHeight="1">
      <x:c r="A37" s="186" t="str">
        <x:v>Silver</x:v>
      </x:c>
      <x:c r="B37" s="187" t="n">
        <x:v>42493</x:v>
      </x:c>
      <x:c r="C37" s="187" t="n">
        <x:v>42496</x:v>
      </x:c>
      <x:c r="D37" s="186" t="str">
        <x:v>084691-SILVER</x:v>
      </x:c>
      <x:c r="E37" s="186" t="str">
        <x:v>SILVER - COMMODITY EXCHANGE INC.</x:v>
      </x:c>
      <x:c r="F37" s="186" t="n">
        <x:v>198237</x:v>
      </x:c>
      <x:c r="G37" s="186" t="n">
        <x:v>22398</x:v>
      </x:c>
      <x:c r="H37" s="186" t="n">
        <x:v>74805</x:v>
      </x:c>
      <x:c r="I37" s="186" t="n">
        <x:f>G37-H37</x:f>
        <x:v>-52407</x:v>
      </x:c>
      <x:c r="J37" s="186" t="n">
        <x:v>27277</x:v>
      </x:c>
      <x:c r="K37" s="186" t="n">
        <x:v>65464</x:v>
      </x:c>
      <x:c r="L37" s="186" t="n">
        <x:f>J37-K37</x:f>
        <x:v>-38187</x:v>
      </x:c>
      <x:c r="M37" s="186" t="n">
        <x:v>81012</x:v>
      </x:c>
      <x:c r="N37" s="186" t="n">
        <x:v>12646</x:v>
      </x:c>
      <x:c r="O37" s="186" t="n">
        <x:f>M37-N37</x:f>
        <x:v>68366</x:v>
      </x:c>
      <x:c r="P37" s="186" t="n">
        <x:v>19389</x:v>
      </x:c>
      <x:c r="Q37" s="186" t="n">
        <x:v>11880</x:v>
      </x:c>
      <x:c r="R37" s="186" t="n">
        <x:f>P37-Q37</x:f>
        <x:v>7509</x:v>
      </x:c>
      <x:c r="S37" s="186" t="n">
        <x:v>27506</x:v>
      </x:c>
      <x:c r="T37" s="186" t="n">
        <x:v>12787</x:v>
      </x:c>
      <x:c r="U37" s="186" t="n">
        <x:f>S37-T37</x:f>
        <x:v>14719</x:v>
      </x:c>
      <x:c r="V37" s="196" t="n">
        <x:f>IFERROR(O37/F37,"")</x:f>
        <x:v>0.34487002930835314</x:v>
      </x:c>
      <x:c r="W37" s="196" t="n">
        <x:f>IFERROR(I37/F37,"")</x:f>
        <x:v>-0.26436538083203437</x:v>
      </x:c>
    </x:row>
    <x:row r="38" ht="15" hidden="0" customHeight="1">
      <x:c r="A38" s="186" t="str">
        <x:v>Gold</x:v>
      </x:c>
      <x:c r="B38" s="187" t="n">
        <x:v>42500</x:v>
      </x:c>
      <x:c r="C38" s="187" t="n">
        <x:v>42503</x:v>
      </x:c>
      <x:c r="D38" s="186" t="str">
        <x:v>088691-GOLD</x:v>
      </x:c>
      <x:c r="E38" s="186" t="str">
        <x:v>GOLD - COMMODITY EXCHANGE INC.</x:v>
      </x:c>
      <x:c r="F38" s="186" t="n">
        <x:v>579777</x:v>
      </x:c>
      <x:c r="G38" s="186" t="n">
        <x:v>20797</x:v>
      </x:c>
      <x:c r="H38" s="186" t="n">
        <x:v>178897</x:v>
      </x:c>
      <x:c r="I38" s="186" t="n">
        <x:f>G38-H38</x:f>
        <x:v>-158100</x:v>
      </x:c>
      <x:c r="J38" s="186" t="n">
        <x:v>54725</x:v>
      </x:c>
      <x:c r="K38" s="186" t="n">
        <x:v>181621</x:v>
      </x:c>
      <x:c r="L38" s="186" t="n">
        <x:f>J38-K38</x:f>
        <x:v>-126896</x:v>
      </x:c>
      <x:c r="M38" s="186" t="n">
        <x:v>246782</x:v>
      </x:c>
      <x:c r="N38" s="186" t="n">
        <x:v>35591</x:v>
      </x:c>
      <x:c r="O38" s="186" t="n">
        <x:f>M38-N38</x:f>
        <x:v>211191</x:v>
      </x:c>
      <x:c r="P38" s="186" t="n">
        <x:v>90469</x:v>
      </x:c>
      <x:c r="Q38" s="186" t="n">
        <x:v>36762</x:v>
      </x:c>
      <x:c r="R38" s="186" t="n">
        <x:f>P38-Q38</x:f>
        <x:v>53707</x:v>
      </x:c>
      <x:c r="S38" s="186" t="n">
        <x:v>51710</x:v>
      </x:c>
      <x:c r="T38" s="186" t="n">
        <x:v>31612</x:v>
      </x:c>
      <x:c r="U38" s="186" t="n">
        <x:f>S38-T38</x:f>
        <x:v>20098</x:v>
      </x:c>
      <x:c r="V38" s="196" t="n">
        <x:f>IFERROR(O38/F38,"")</x:f>
        <x:v>0.36426246643105886</x:v>
      </x:c>
      <x:c r="W38" s="196" t="n">
        <x:f>IFERROR(I38/F38,"")</x:f>
        <x:v>-0.2726910519044391</x:v>
      </x:c>
    </x:row>
    <x:row r="39" ht="15" hidden="0" customHeight="1">
      <x:c r="A39" s="186" t="str">
        <x:v>Silver</x:v>
      </x:c>
      <x:c r="B39" s="187" t="n">
        <x:v>42500</x:v>
      </x:c>
      <x:c r="C39" s="187" t="n">
        <x:v>42503</x:v>
      </x:c>
      <x:c r="D39" s="186" t="str">
        <x:v>084691-SILVER</x:v>
      </x:c>
      <x:c r="E39" s="186" t="str">
        <x:v>SILVER - COMMODITY EXCHANGE INC.</x:v>
      </x:c>
      <x:c r="F39" s="186" t="n">
        <x:v>205391</x:v>
      </x:c>
      <x:c r="G39" s="186" t="n">
        <x:v>20601</x:v>
      </x:c>
      <x:c r="H39" s="186" t="n">
        <x:v>73181</x:v>
      </x:c>
      <x:c r="I39" s="186" t="n">
        <x:f>G39-H39</x:f>
        <x:v>-52580</x:v>
      </x:c>
      <x:c r="J39" s="186" t="n">
        <x:v>25715</x:v>
      </x:c>
      <x:c r="K39" s="186" t="n">
        <x:v>64867</x:v>
      </x:c>
      <x:c r="L39" s="186" t="n">
        <x:f>J39-K39</x:f>
        <x:v>-39152</x:v>
      </x:c>
      <x:c r="M39" s="186" t="n">
        <x:v>86732</x:v>
      </x:c>
      <x:c r="N39" s="186" t="n">
        <x:v>13792</x:v>
      </x:c>
      <x:c r="O39" s="186" t="n">
        <x:f>M39-N39</x:f>
        <x:v>72940</x:v>
      </x:c>
      <x:c r="P39" s="186" t="n">
        <x:v>21112</x:v>
      </x:c>
      <x:c r="Q39" s="186" t="n">
        <x:v>13781</x:v>
      </x:c>
      <x:c r="R39" s="186" t="n">
        <x:f>P39-Q39</x:f>
        <x:v>7331</x:v>
      </x:c>
      <x:c r="S39" s="186" t="n">
        <x:v>27013</x:v>
      </x:c>
      <x:c r="T39" s="186" t="n">
        <x:v>15552</x:v>
      </x:c>
      <x:c r="U39" s="186" t="n">
        <x:f>S39-T39</x:f>
        <x:v>11461</x:v>
      </x:c>
      <x:c r="V39" s="196" t="n">
        <x:f>IFERROR(O39/F39,"")</x:f>
        <x:v>0.35512753723386126</x:v>
      </x:c>
      <x:c r="W39" s="196" t="n">
        <x:f>IFERROR(I39/F39,"")</x:f>
        <x:v>-0.2559995325987994</x:v>
      </x:c>
    </x:row>
    <x:row r="40" ht="15" hidden="0" customHeight="1">
      <x:c r="A40" s="186" t="str">
        <x:v>Gold</x:v>
      </x:c>
      <x:c r="B40" s="187" t="n">
        <x:v>42507</x:v>
      </x:c>
      <x:c r="C40" s="187" t="n">
        <x:v>42510</x:v>
      </x:c>
      <x:c r="D40" s="186" t="str">
        <x:v>088691-GOLD</x:v>
      </x:c>
      <x:c r="E40" s="186" t="str">
        <x:v>GOLD - COMMODITY EXCHANGE INC.</x:v>
      </x:c>
      <x:c r="F40" s="186" t="n">
        <x:v>595077</x:v>
      </x:c>
      <x:c r="G40" s="186" t="n">
        <x:v>21631</x:v>
      </x:c>
      <x:c r="H40" s="186" t="n">
        <x:v>170642</x:v>
      </x:c>
      <x:c r="I40" s="186" t="n">
        <x:f>G40-H40</x:f>
        <x:v>-149011</x:v>
      </x:c>
      <x:c r="J40" s="186" t="n">
        <x:v>54437</x:v>
      </x:c>
      <x:c r="K40" s="186" t="n">
        <x:v>195669</x:v>
      </x:c>
      <x:c r="L40" s="186" t="n">
        <x:f>J40-K40</x:f>
        <x:v>-141232</x:v>
      </x:c>
      <x:c r="M40" s="186" t="n">
        <x:v>247059</x:v>
      </x:c>
      <x:c r="N40" s="186" t="n">
        <x:v>34618</x:v>
      </x:c>
      <x:c r="O40" s="186" t="n">
        <x:f>M40-N40</x:f>
        <x:v>212441</x:v>
      </x:c>
      <x:c r="P40" s="186" t="n">
        <x:v>93689</x:v>
      </x:c>
      <x:c r="Q40" s="186" t="n">
        <x:v>39842</x:v>
      </x:c>
      <x:c r="R40" s="186" t="n">
        <x:f>P40-Q40</x:f>
        <x:v>53847</x:v>
      </x:c>
      <x:c r="S40" s="186" t="n">
        <x:v>52715</x:v>
      </x:c>
      <x:c r="T40" s="186" t="n">
        <x:v>28760</x:v>
      </x:c>
      <x:c r="U40" s="186" t="n">
        <x:f>S40-T40</x:f>
        <x:v>23955</x:v>
      </x:c>
      <x:c r="V40" s="196" t="n">
        <x:f>IFERROR(O40/F40,"")</x:f>
        <x:v>0.3569974978028054</x:v>
      </x:c>
      <x:c r="W40" s="196" t="n">
        <x:f>IFERROR(I40/F40,"")</x:f>
        <x:v>-0.2504062499474858</x:v>
      </x:c>
    </x:row>
    <x:row r="41">
      <x:c r="A41" s="186" t="str">
        <x:v>Silver</x:v>
      </x:c>
      <x:c r="B41" s="187" t="n">
        <x:v>42507</x:v>
      </x:c>
      <x:c r="C41" s="187" t="n">
        <x:v>42510</x:v>
      </x:c>
      <x:c r="D41" s="186" t="str">
        <x:v>084691-SILVER</x:v>
      </x:c>
      <x:c r="E41" s="186" t="str">
        <x:v>SILVER - COMMODITY EXCHANGE INC.</x:v>
      </x:c>
      <x:c r="F41" s="186" t="n">
        <x:v>207394</x:v>
      </x:c>
      <x:c r="G41" s="186" t="n">
        <x:v>20830</x:v>
      </x:c>
      <x:c r="H41" s="186" t="n">
        <x:v>72445</x:v>
      </x:c>
      <x:c r="I41" s="186" t="n">
        <x:f>G41-H41</x:f>
        <x:v>-51615</x:v>
      </x:c>
      <x:c r="J41" s="186" t="n">
        <x:v>25425</x:v>
      </x:c>
      <x:c r="K41" s="186" t="n">
        <x:v>63705</x:v>
      </x:c>
      <x:c r="L41" s="186" t="n">
        <x:f>J41-K41</x:f>
        <x:v>-38280</x:v>
      </x:c>
      <x:c r="M41" s="186" t="n">
        <x:v>84369</x:v>
      </x:c>
      <x:c r="N41" s="186" t="n">
        <x:v>16171</x:v>
      </x:c>
      <x:c r="O41" s="186" t="n">
        <x:f>M41-N41</x:f>
        <x:v>68198</x:v>
      </x:c>
      <x:c r="P41" s="186" t="n">
        <x:v>21619</x:v>
      </x:c>
      <x:c r="Q41" s="186" t="n">
        <x:v>12615</x:v>
      </x:c>
      <x:c r="R41" s="186" t="n">
        <x:f>P41-Q41</x:f>
        <x:v>9004</x:v>
      </x:c>
      <x:c r="S41" s="186" t="n">
        <x:v>27750</x:v>
      </x:c>
      <x:c r="T41" s="186" t="n">
        <x:v>15057</x:v>
      </x:c>
      <x:c r="U41" s="186" t="n">
        <x:f>S41-T41</x:f>
        <x:v>12693</x:v>
      </x:c>
      <x:c r="V41" s="196" t="n">
        <x:f>IFERROR(O41/F41,"")</x:f>
        <x:v>0.32883304242167083</x:v>
      </x:c>
      <x:c r="W41" s="196" t="n">
        <x:f>IFERROR(I41/F41,"")</x:f>
        <x:v>-0.24887412364870728</x:v>
      </x:c>
    </x:row>
    <x:row r="42">
      <x:c r="A42" s="186" t="str">
        <x:v>Gold</x:v>
      </x:c>
      <x:c r="B42" s="187" t="n">
        <x:v>42514</x:v>
      </x:c>
      <x:c r="C42" s="187" t="n">
        <x:v>42517</x:v>
      </x:c>
      <x:c r="D42" s="186" t="str">
        <x:v>088691-GOLD</x:v>
      </x:c>
      <x:c r="E42" s="186" t="str">
        <x:v>GOLD - COMMODITY EXCHANGE INC.</x:v>
      </x:c>
      <x:c r="F42" s="186" t="n">
        <x:v>542958</x:v>
      </x:c>
      <x:c r="G42" s="186" t="n">
        <x:v>59557</x:v>
      </x:c>
      <x:c r="H42" s="186" t="n">
        <x:v>156435</x:v>
      </x:c>
      <x:c r="I42" s="186" t="n">
        <x:f>G42-H42</x:f>
        <x:v>-96878</x:v>
      </x:c>
      <x:c r="J42" s="186" t="n">
        <x:v>47330</x:v>
      </x:c>
      <x:c r="K42" s="186" t="n">
        <x:v>175665</x:v>
      </x:c>
      <x:c r="L42" s="186" t="n">
        <x:f>J42-K42</x:f>
        <x:v>-128335</x:v>
      </x:c>
      <x:c r="M42" s="186" t="n">
        <x:v>205180</x:v>
      </x:c>
      <x:c r="N42" s="186" t="n">
        <x:v>48719</x:v>
      </x:c>
      <x:c r="O42" s="186" t="n">
        <x:f>M42-N42</x:f>
        <x:v>156461</x:v>
      </x:c>
      <x:c r="P42" s="186" t="n">
        <x:v>86086</x:v>
      </x:c>
      <x:c r="Q42" s="186" t="n">
        <x:v>35915</x:v>
      </x:c>
      <x:c r="R42" s="186" t="n">
        <x:f>P42-Q42</x:f>
        <x:v>50171</x:v>
      </x:c>
      <x:c r="S42" s="186" t="n">
        <x:v>52714</x:v>
      </x:c>
      <x:c r="T42" s="186" t="n">
        <x:v>34133</x:v>
      </x:c>
      <x:c r="U42" s="186" t="n">
        <x:f>S42-T42</x:f>
        <x:v>18581</x:v>
      </x:c>
      <x:c r="V42" s="196" t="n">
        <x:f>IFERROR(O42/F42,"")</x:f>
        <x:v>0.28816409372363977</x:v>
      </x:c>
      <x:c r="W42" s="196" t="n">
        <x:f>IFERROR(I42/F42,"")</x:f>
        <x:v>-0.17842632395139219</x:v>
      </x:c>
    </x:row>
    <x:row r="43">
      <x:c r="A43" s="186" t="str">
        <x:v>Silver</x:v>
      </x:c>
      <x:c r="B43" s="187" t="n">
        <x:v>42514</x:v>
      </x:c>
      <x:c r="C43" s="187" t="n">
        <x:v>42517</x:v>
      </x:c>
      <x:c r="D43" s="186" t="str">
        <x:v>084691-SILVER</x:v>
      </x:c>
      <x:c r="E43" s="186" t="str">
        <x:v>SILVER - COMMODITY EXCHANGE INC.</x:v>
      </x:c>
      <x:c r="F43" s="186" t="n">
        <x:v>203682</x:v>
      </x:c>
      <x:c r="G43" s="186" t="n">
        <x:v>24423</x:v>
      </x:c>
      <x:c r="H43" s="186" t="n">
        <x:v>68210</x:v>
      </x:c>
      <x:c r="I43" s="186" t="n">
        <x:f>G43-H43</x:f>
        <x:v>-43787</x:v>
      </x:c>
      <x:c r="J43" s="186" t="n">
        <x:v>26249</x:v>
      </x:c>
      <x:c r="K43" s="186" t="n">
        <x:v>60755</x:v>
      </x:c>
      <x:c r="L43" s="186" t="n">
        <x:f>J43-K43</x:f>
        <x:v>-34506</x:v>
      </x:c>
      <x:c r="M43" s="186" t="n">
        <x:v>76941</x:v>
      </x:c>
      <x:c r="N43" s="186" t="n">
        <x:v>18946</x:v>
      </x:c>
      <x:c r="O43" s="186" t="n">
        <x:f>M43-N43</x:f>
        <x:v>57995</x:v>
      </x:c>
      <x:c r="P43" s="186" t="n">
        <x:v>20301</x:v>
      </x:c>
      <x:c r="Q43" s="186" t="n">
        <x:v>12412</x:v>
      </x:c>
      <x:c r="R43" s="186" t="n">
        <x:f>P43-Q43</x:f>
        <x:v>7889</x:v>
      </x:c>
      <x:c r="S43" s="186" t="n">
        <x:v>26886</x:v>
      </x:c>
      <x:c r="T43" s="186" t="n">
        <x:v>14477</x:v>
      </x:c>
      <x:c r="U43" s="186" t="n">
        <x:f>S43-T43</x:f>
        <x:v>12409</x:v>
      </x:c>
      <x:c r="V43" s="196" t="n">
        <x:f>IFERROR(O43/F43,"")</x:f>
        <x:v>0.2847330642864858</x:v>
      </x:c>
      <x:c r="W43" s="196" t="n">
        <x:f>IFERROR(I43/F43,"")</x:f>
        <x:v>-0.21497726848715154</x:v>
      </x:c>
    </x:row>
    <x:row r="44">
      <x:c r="A44" s="186" t="str">
        <x:v>Gold</x:v>
      </x:c>
      <x:c r="B44" s="187" t="n">
        <x:v>42521</x:v>
      </x:c>
      <x:c r="C44" s="187" t="n">
        <x:v>42524</x:v>
      </x:c>
      <x:c r="D44" s="186" t="str">
        <x:v>088691-GOLD</x:v>
      </x:c>
      <x:c r="E44" s="186" t="str">
        <x:v>GOLD - COMMODITY EXCHANGE INC.</x:v>
      </x:c>
      <x:c r="F44" s="186" t="n">
        <x:v>494321</x:v>
      </x:c>
      <x:c r="G44" s="186" t="n">
        <x:v>47227</x:v>
      </x:c>
      <x:c r="H44" s="186" t="n">
        <x:v>142196</x:v>
      </x:c>
      <x:c r="I44" s="186" t="n">
        <x:f>G44-H44</x:f>
        <x:v>-94969</x:v>
      </x:c>
      <x:c r="J44" s="186" t="n">
        <x:v>47595</x:v>
      </x:c>
      <x:c r="K44" s="186" t="n">
        <x:v>166664</x:v>
      </x:c>
      <x:c r="L44" s="186" t="n">
        <x:f>J44-K44</x:f>
        <x:v>-119069</x:v>
      </x:c>
      <x:c r="M44" s="186" t="n">
        <x:v>192160</x:v>
      </x:c>
      <x:c r="N44" s="186" t="n">
        <x:v>43549</x:v>
      </x:c>
      <x:c r="O44" s="186" t="n">
        <x:f>M44-N44</x:f>
        <x:v>148611</x:v>
      </x:c>
      <x:c r="P44" s="186" t="n">
        <x:v>82429</x:v>
      </x:c>
      <x:c r="Q44" s="186" t="n">
        <x:v>33905</x:v>
      </x:c>
      <x:c r="R44" s="186" t="n">
        <x:f>P44-Q44</x:f>
        <x:v>48524</x:v>
      </x:c>
      <x:c r="S44" s="186" t="n">
        <x:v>47347</x:v>
      </x:c>
      <x:c r="T44" s="186" t="n">
        <x:v>30444</x:v>
      </x:c>
      <x:c r="U44" s="186" t="n">
        <x:f>S44-T44</x:f>
        <x:v>16903</x:v>
      </x:c>
      <x:c r="V44" s="196" t="n">
        <x:f>IFERROR(O44/F44,"")</x:f>
        <x:v>0.300636630853231</x:v>
      </x:c>
      <x:c r="W44" s="196" t="n">
        <x:f>IFERROR(I44/F44,"")</x:f>
        <x:v>-0.1921201000969006</x:v>
      </x:c>
    </x:row>
    <x:row r="45">
      <x:c r="A45" s="186" t="str">
        <x:v>Silver</x:v>
      </x:c>
      <x:c r="B45" s="187" t="n">
        <x:v>42521</x:v>
      </x:c>
      <x:c r="C45" s="187" t="n">
        <x:v>42524</x:v>
      </x:c>
      <x:c r="D45" s="186" t="str">
        <x:v>084691-SILVER</x:v>
      </x:c>
      <x:c r="E45" s="186" t="str">
        <x:v>SILVER - COMMODITY EXCHANGE INC.</x:v>
      </x:c>
      <x:c r="F45" s="186" t="n">
        <x:v>198118</x:v>
      </x:c>
      <x:c r="G45" s="186" t="n">
        <x:v>23919</x:v>
      </x:c>
      <x:c r="H45" s="186" t="n">
        <x:v>67729</x:v>
      </x:c>
      <x:c r="I45" s="186" t="n">
        <x:f>G45-H45</x:f>
        <x:v>-43810</x:v>
      </x:c>
      <x:c r="J45" s="186" t="n">
        <x:v>25529</x:v>
      </x:c>
      <x:c r="K45" s="186" t="n">
        <x:v>57684</x:v>
      </x:c>
      <x:c r="L45" s="186" t="n">
        <x:f>J45-K45</x:f>
        <x:v>-32155</x:v>
      </x:c>
      <x:c r="M45" s="186" t="n">
        <x:v>70677</x:v>
      </x:c>
      <x:c r="N45" s="186" t="n">
        <x:v>16761</x:v>
      </x:c>
      <x:c r="O45" s="186" t="n">
        <x:f>M45-N45</x:f>
        <x:v>53916</x:v>
      </x:c>
      <x:c r="P45" s="186" t="n">
        <x:v>19138</x:v>
      </x:c>
      <x:c r="Q45" s="186" t="n">
        <x:v>11423</x:v>
      </x:c>
      <x:c r="R45" s="186" t="n">
        <x:f>P45-Q45</x:f>
        <x:v>7715</x:v>
      </x:c>
      <x:c r="S45" s="186" t="n">
        <x:v>28191</x:v>
      </x:c>
      <x:c r="T45" s="186" t="n">
        <x:v>13857</x:v>
      </x:c>
      <x:c r="U45" s="186" t="n">
        <x:f>S45-T45</x:f>
        <x:v>14334</x:v>
      </x:c>
      <x:c r="V45" s="196" t="n">
        <x:f>IFERROR(O45/F45,"")</x:f>
        <x:v>0.27214084535478855</x:v>
      </x:c>
      <x:c r="W45" s="196" t="n">
        <x:f>IFERROR(I45/F45,"")</x:f>
        <x:v>-0.22113084121584106</x:v>
      </x:c>
    </x:row>
    <x:row r="46">
      <x:c r="A46" s="186" t="str">
        <x:v>Gold</x:v>
      </x:c>
      <x:c r="B46" s="187" t="n">
        <x:v>42528</x:v>
      </x:c>
      <x:c r="C46" s="187" t="n">
        <x:v>42531</x:v>
      </x:c>
      <x:c r="D46" s="186" t="str">
        <x:v>088691-GOLD</x:v>
      </x:c>
      <x:c r="E46" s="186" t="str">
        <x:v>GOLD - COMMODITY EXCHANGE INC.</x:v>
      </x:c>
      <x:c r="F46" s="186" t="n">
        <x:v>496330</x:v>
      </x:c>
      <x:c r="G46" s="186" t="n">
        <x:v>26136</x:v>
      </x:c>
      <x:c r="H46" s="186" t="n">
        <x:v>147563</x:v>
      </x:c>
      <x:c r="I46" s="186" t="n">
        <x:f>G46-H46</x:f>
        <x:v>-121427</x:v>
      </x:c>
      <x:c r="J46" s="186" t="n">
        <x:v>46410</x:v>
      </x:c>
      <x:c r="K46" s="186" t="n">
        <x:v>168675</x:v>
      </x:c>
      <x:c r="L46" s="186" t="n">
        <x:f>J46-K46</x:f>
        <x:v>-122265</x:v>
      </x:c>
      <x:c r="M46" s="186" t="n">
        <x:v>212061</x:v>
      </x:c>
      <x:c r="N46" s="186" t="n">
        <x:v>34695</x:v>
      </x:c>
      <x:c r="O46" s="186" t="n">
        <x:f>M46-N46</x:f>
        <x:v>177366</x:v>
      </x:c>
      <x:c r="P46" s="186" t="n">
        <x:v>83627</x:v>
      </x:c>
      <x:c r="Q46" s="186" t="n">
        <x:v>32374</x:v>
      </x:c>
      <x:c r="R46" s="186" t="n">
        <x:f>P46-Q46</x:f>
        <x:v>51253</x:v>
      </x:c>
      <x:c r="S46" s="186" t="n">
        <x:v>46570</x:v>
      </x:c>
      <x:c r="T46" s="186" t="n">
        <x:v>31497</x:v>
      </x:c>
      <x:c r="U46" s="186" t="n">
        <x:f>S46-T46</x:f>
        <x:v>15073</x:v>
      </x:c>
      <x:c r="V46" s="196" t="n">
        <x:f>IFERROR(O46/F46,"")</x:f>
        <x:v>0.3573549855942619</x:v>
      </x:c>
      <x:c r="W46" s="196" t="n">
        <x:f>IFERROR(I46/F46,"")</x:f>
        <x:v>-0.24464972901094031</x:v>
      </x:c>
    </x:row>
    <x:row r="47">
      <x:c r="A47" s="186" t="str">
        <x:v>Silver</x:v>
      </x:c>
      <x:c r="B47" s="187" t="n">
        <x:v>42528</x:v>
      </x:c>
      <x:c r="C47" s="187" t="n">
        <x:v>42531</x:v>
      </x:c>
      <x:c r="D47" s="186" t="str">
        <x:v>084691-SILVER</x:v>
      </x:c>
      <x:c r="E47" s="186" t="str">
        <x:v>SILVER - COMMODITY EXCHANGE INC.</x:v>
      </x:c>
      <x:c r="F47" s="186" t="n">
        <x:v>192376</x:v>
      </x:c>
      <x:c r="G47" s="186" t="n">
        <x:v>22928</x:v>
      </x:c>
      <x:c r="H47" s="186" t="n">
        <x:v>64790</x:v>
      </x:c>
      <x:c r="I47" s="186" t="n">
        <x:f>G47-H47</x:f>
        <x:v>-41862</x:v>
      </x:c>
      <x:c r="J47" s="186" t="n">
        <x:v>27225</x:v>
      </x:c>
      <x:c r="K47" s="186" t="n">
        <x:v>57197</x:v>
      </x:c>
      <x:c r="L47" s="186" t="n">
        <x:f>J47-K47</x:f>
        <x:v>-29972</x:v>
      </x:c>
      <x:c r="M47" s="186" t="n">
        <x:v>68148</x:v>
      </x:c>
      <x:c r="N47" s="186" t="n">
        <x:v>18987</x:v>
      </x:c>
      <x:c r="O47" s="186" t="n">
        <x:f>M47-N47</x:f>
        <x:v>49161</x:v>
      </x:c>
      <x:c r="P47" s="186" t="n">
        <x:v>18528</x:v>
      </x:c>
      <x:c r="Q47" s="186" t="n">
        <x:v>10648</x:v>
      </x:c>
      <x:c r="R47" s="186" t="n">
        <x:f>P47-Q47</x:f>
        <x:v>7880</x:v>
      </x:c>
      <x:c r="S47" s="186" t="n">
        <x:v>27959</x:v>
      </x:c>
      <x:c r="T47" s="186" t="n">
        <x:v>13166</x:v>
      </x:c>
      <x:c r="U47" s="186" t="n">
        <x:f>S47-T47</x:f>
        <x:v>14793</x:v>
      </x:c>
      <x:c r="V47" s="196" t="n">
        <x:f>IFERROR(O47/F47,"")</x:f>
        <x:v>0.2555464299080966</x:v>
      </x:c>
      <x:c r="W47" s="196" t="n">
        <x:f>IFERROR(I47/F47,"")</x:f>
        <x:v>-0.21760510666611219</x:v>
      </x:c>
    </x:row>
    <x:row r="48">
      <x:c r="A48" s="186" t="str">
        <x:v>Gold</x:v>
      </x:c>
      <x:c r="B48" s="187" t="n">
        <x:v>42535</x:v>
      </x:c>
      <x:c r="C48" s="187" t="n">
        <x:v>42538</x:v>
      </x:c>
      <x:c r="D48" s="186" t="str">
        <x:v>088691-GOLD</x:v>
      </x:c>
      <x:c r="E48" s="186" t="str">
        <x:v>GOLD - COMMODITY EXCHANGE INC.</x:v>
      </x:c>
      <x:c r="F48" s="186" t="n">
        <x:v>545357</x:v>
      </x:c>
      <x:c r="G48" s="186" t="n">
        <x:v>26395</x:v>
      </x:c>
      <x:c r="H48" s="186" t="n">
        <x:v>176665</x:v>
      </x:c>
      <x:c r="I48" s="186" t="n">
        <x:f>G48-H48</x:f>
        <x:v>-150270</x:v>
      </x:c>
      <x:c r="J48" s="186" t="n">
        <x:v>44717</x:v>
      </x:c>
      <x:c r="K48" s="186" t="n">
        <x:v>192524</x:v>
      </x:c>
      <x:c r="L48" s="186" t="n">
        <x:f>J48-K48</x:f>
        <x:v>-147807</x:v>
      </x:c>
      <x:c r="M48" s="186" t="n">
        <x:v>257500</x:v>
      </x:c>
      <x:c r="N48" s="186" t="n">
        <x:v>28260</x:v>
      </x:c>
      <x:c r="O48" s="186" t="n">
        <x:f>M48-N48</x:f>
        <x:v>229240</x:v>
      </x:c>
      <x:c r="P48" s="186" t="n">
        <x:v>90057</x:v>
      </x:c>
      <x:c r="Q48" s="186" t="n">
        <x:v>39435</x:v>
      </x:c>
      <x:c r="R48" s="186" t="n">
        <x:f>P48-Q48</x:f>
        <x:v>50622</x:v>
      </x:c>
      <x:c r="S48" s="186" t="n">
        <x:v>45594</x:v>
      </x:c>
      <x:c r="T48" s="186" t="n">
        <x:v>27379</x:v>
      </x:c>
      <x:c r="U48" s="186" t="n">
        <x:f>S48-T48</x:f>
        <x:v>18215</x:v>
      </x:c>
      <x:c r="V48" s="196" t="n">
        <x:f>IFERROR(O48/F48,"")</x:f>
        <x:v>0.4203485056577618</x:v>
      </x:c>
      <x:c r="W48" s="196" t="n">
        <x:f>IFERROR(I48/F48,"")</x:f>
        <x:v>-0.2755442765014477</x:v>
      </x:c>
    </x:row>
    <x:row r="49">
      <x:c r="A49" s="186" t="str">
        <x:v>Silver</x:v>
      </x:c>
      <x:c r="B49" s="187" t="n">
        <x:v>42535</x:v>
      </x:c>
      <x:c r="C49" s="187" t="n">
        <x:v>42538</x:v>
      </x:c>
      <x:c r="D49" s="186" t="str">
        <x:v>084691-SILVER</x:v>
      </x:c>
      <x:c r="E49" s="186" t="str">
        <x:v>SILVER - COMMODITY EXCHANGE INC.</x:v>
      </x:c>
      <x:c r="F49" s="186" t="n">
        <x:v>199111</x:v>
      </x:c>
      <x:c r="G49" s="186" t="n">
        <x:v>22321</x:v>
      </x:c>
      <x:c r="H49" s="186" t="n">
        <x:v>69214</x:v>
      </x:c>
      <x:c r="I49" s="186" t="n">
        <x:f>G49-H49</x:f>
        <x:v>-46893</x:v>
      </x:c>
      <x:c r="J49" s="186" t="n">
        <x:v>29084</x:v>
      </x:c>
      <x:c r="K49" s="186" t="n">
        <x:v>63935</x:v>
      </x:c>
      <x:c r="L49" s="186" t="n">
        <x:f>J49-K49</x:f>
        <x:v>-34851</x:v>
      </x:c>
      <x:c r="M49" s="186" t="n">
        <x:v>77085</x:v>
      </x:c>
      <x:c r="N49" s="186" t="n">
        <x:v>15666</x:v>
      </x:c>
      <x:c r="O49" s="186" t="n">
        <x:f>M49-N49</x:f>
        <x:v>61419</x:v>
      </x:c>
      <x:c r="P49" s="186" t="n">
        <x:v>20285</x:v>
      </x:c>
      <x:c r="Q49" s="186" t="n">
        <x:v>12065</x:v>
      </x:c>
      <x:c r="R49" s="186" t="n">
        <x:f>P49-Q49</x:f>
        <x:v>8220</x:v>
      </x:c>
      <x:c r="S49" s="186" t="n">
        <x:v>26487</x:v>
      </x:c>
      <x:c r="T49" s="186" t="n">
        <x:v>14382</x:v>
      </x:c>
      <x:c r="U49" s="186" t="n">
        <x:f>S49-T49</x:f>
        <x:v>12105</x:v>
      </x:c>
      <x:c r="V49" s="196" t="n">
        <x:f>IFERROR(O49/F49,"")</x:f>
        <x:v>0.3084661319565469</x:v>
      </x:c>
      <x:c r="W49" s="196" t="n">
        <x:f>IFERROR(I49/F49,"")</x:f>
        <x:v>-0.23551185017402354</x:v>
      </x:c>
    </x:row>
    <x:row r="50">
      <x:c r="A50" s="186" t="str">
        <x:v>Gold</x:v>
      </x:c>
      <x:c r="B50" s="187" t="n">
        <x:v>42542</x:v>
      </x:c>
      <x:c r="C50" s="187" t="n">
        <x:v>42545</x:v>
      </x:c>
      <x:c r="D50" s="186" t="str">
        <x:v>088691-GOLD</x:v>
      </x:c>
      <x:c r="E50" s="186" t="str">
        <x:v>GOLD - COMMODITY EXCHANGE INC.</x:v>
      </x:c>
      <x:c r="F50" s="186" t="n">
        <x:v>571517</x:v>
      </x:c>
      <x:c r="G50" s="186" t="n">
        <x:v>28287</x:v>
      </x:c>
      <x:c r="H50" s="186" t="n">
        <x:v>177414</x:v>
      </x:c>
      <x:c r="I50" s="186" t="n">
        <x:f>G50-H50</x:f>
        <x:v>-149127</x:v>
      </x:c>
      <x:c r="J50" s="186" t="n">
        <x:v>42538</x:v>
      </x:c>
      <x:c r="K50" s="186" t="n">
        <x:v>205548</x:v>
      </x:c>
      <x:c r="L50" s="186" t="n">
        <x:f>J50-K50</x:f>
        <x:v>-163010</x:v>
      </x:c>
      <x:c r="M50" s="186" t="n">
        <x:v>274936</x:v>
      </x:c>
      <x:c r="N50" s="186" t="n">
        <x:v>24528</x:v>
      </x:c>
      <x:c r="O50" s="186" t="n">
        <x:f>M50-N50</x:f>
        <x:v>250408</x:v>
      </x:c>
      <x:c r="P50" s="186" t="n">
        <x:v>83889</x:v>
      </x:c>
      <x:c r="Q50" s="186" t="n">
        <x:v>41568</x:v>
      </x:c>
      <x:c r="R50" s="186" t="n">
        <x:f>P50-Q50</x:f>
        <x:v>42321</x:v>
      </x:c>
      <x:c r="S50" s="186" t="n">
        <x:v>47511</x:v>
      </x:c>
      <x:c r="T50" s="186" t="n">
        <x:v>28103</x:v>
      </x:c>
      <x:c r="U50" s="186" t="n">
        <x:f>S50-T50</x:f>
        <x:v>19408</x:v>
      </x:c>
      <x:c r="V50" s="196" t="n">
        <x:f>IFERROR(O50/F50,"")</x:f>
        <x:v>0.43814619687603346</x:v>
      </x:c>
      <x:c r="W50" s="196" t="n">
        <x:f>IFERROR(I50/F50,"")</x:f>
        <x:v>-0.2609318707929948</x:v>
      </x:c>
    </x:row>
    <x:row r="51">
      <x:c r="A51" s="186" t="str">
        <x:v>Silver</x:v>
      </x:c>
      <x:c r="B51" s="187" t="n">
        <x:v>42542</x:v>
      </x:c>
      <x:c r="C51" s="187" t="n">
        <x:v>42545</x:v>
      </x:c>
      <x:c r="D51" s="186" t="str">
        <x:v>084691-SILVER</x:v>
      </x:c>
      <x:c r="E51" s="186" t="str">
        <x:v>SILVER - COMMODITY EXCHANGE INC.</x:v>
      </x:c>
      <x:c r="F51" s="186" t="n">
        <x:v>205618</x:v>
      </x:c>
      <x:c r="G51" s="186" t="n">
        <x:v>21397</x:v>
      </x:c>
      <x:c r="H51" s="186" t="n">
        <x:v>72678</x:v>
      </x:c>
      <x:c r="I51" s="186" t="n">
        <x:f>G51-H51</x:f>
        <x:v>-51281</x:v>
      </x:c>
      <x:c r="J51" s="186" t="n">
        <x:v>29174</x:v>
      </x:c>
      <x:c r="K51" s="186" t="n">
        <x:v>67829</x:v>
      </x:c>
      <x:c r="L51" s="186" t="n">
        <x:f>J51-K51</x:f>
        <x:v>-38655</x:v>
      </x:c>
      <x:c r="M51" s="186" t="n">
        <x:v>87674</x:v>
      </x:c>
      <x:c r="N51" s="186" t="n">
        <x:v>12096</x:v>
      </x:c>
      <x:c r="O51" s="186" t="n">
        <x:f>M51-N51</x:f>
        <x:v>75578</x:v>
      </x:c>
      <x:c r="P51" s="186" t="n">
        <x:v>19268</x:v>
      </x:c>
      <x:c r="Q51" s="186" t="n">
        <x:v>14603</x:v>
      </x:c>
      <x:c r="R51" s="186" t="n">
        <x:f>P51-Q51</x:f>
        <x:v>4665</x:v>
      </x:c>
      <x:c r="S51" s="186" t="n">
        <x:v>24514</x:v>
      </x:c>
      <x:c r="T51" s="186" t="n">
        <x:v>14821</x:v>
      </x:c>
      <x:c r="U51" s="186" t="n">
        <x:f>S51-T51</x:f>
        <x:v>9693</x:v>
      </x:c>
      <x:c r="V51" s="196" t="n">
        <x:f>IFERROR(O51/F51,"")</x:f>
        <x:v>0.36756509644097307</x:v>
      </x:c>
      <x:c r="W51" s="196" t="n">
        <x:f>IFERROR(I51/F51,"")</x:f>
        <x:v>-0.2493993716503419</x:v>
      </x:c>
    </x:row>
    <x:row r="52">
      <x:c r="A52" s="186" t="str">
        <x:v>Gold</x:v>
      </x:c>
      <x:c r="B52" s="187" t="n">
        <x:v>42549</x:v>
      </x:c>
      <x:c r="C52" s="187" t="n">
        <x:v>42552</x:v>
      </x:c>
      <x:c r="D52" s="186" t="str">
        <x:v>088691-GOLD</x:v>
      </x:c>
      <x:c r="E52" s="186" t="str">
        <x:v>GOLD - COMMODITY EXCHANGE INC.</x:v>
      </x:c>
      <x:c r="F52" s="186" t="n">
        <x:v>613792</x:v>
      </x:c>
      <x:c r="G52" s="186" t="n">
        <x:v>30055</x:v>
      </x:c>
      <x:c r="H52" s="186" t="n">
        <x:v>179646</x:v>
      </x:c>
      <x:c r="I52" s="186" t="n">
        <x:f>G52-H52</x:f>
        <x:v>-149591</x:v>
      </x:c>
      <x:c r="J52" s="186" t="n">
        <x:v>41808</x:v>
      </x:c>
      <x:c r="K52" s="186" t="n">
        <x:v>218538</x:v>
      </x:c>
      <x:c r="L52" s="186" t="n">
        <x:f>J52-K52</x:f>
        <x:v>-176730</x:v>
      </x:c>
      <x:c r="M52" s="186" t="n">
        <x:v>285895</x:v>
      </x:c>
      <x:c r="N52" s="186" t="n">
        <x:v>24845</x:v>
      </x:c>
      <x:c r="O52" s="186" t="n">
        <x:f>M52-N52</x:f>
        <x:v>261050</x:v>
      </x:c>
      <x:c r="P52" s="186" t="n">
        <x:v>87233</x:v>
      </x:c>
      <x:c r="Q52" s="186" t="n">
        <x:v>46363</x:v>
      </x:c>
      <x:c r="R52" s="186" t="n">
        <x:f>P52-Q52</x:f>
        <x:v>40870</x:v>
      </x:c>
      <x:c r="S52" s="186" t="n">
        <x:v>49131</x:v>
      </x:c>
      <x:c r="T52" s="186" t="n">
        <x:v>24730</x:v>
      </x:c>
      <x:c r="U52" s="186" t="n">
        <x:f>S52-T52</x:f>
        <x:v>24401</x:v>
      </x:c>
      <x:c r="V52" s="196" t="n">
        <x:f>IFERROR(O52/F52,"")</x:f>
        <x:v>0.4253069443720348</x:v>
      </x:c>
      <x:c r="W52" s="196" t="n">
        <x:f>IFERROR(I52/F52,"")</x:f>
        <x:v>-0.24371611229862886</x:v>
      </x:c>
    </x:row>
    <x:row r="53">
      <x:c r="A53" s="186" t="str">
        <x:v>Silver</x:v>
      </x:c>
      <x:c r="B53" s="187" t="n">
        <x:v>42549</x:v>
      </x:c>
      <x:c r="C53" s="187" t="n">
        <x:v>42552</x:v>
      </x:c>
      <x:c r="D53" s="186" t="str">
        <x:v>084691-SILVER</x:v>
      </x:c>
      <x:c r="E53" s="186" t="str">
        <x:v>SILVER - COMMODITY EXCHANGE INC.</x:v>
      </x:c>
      <x:c r="F53" s="186" t="n">
        <x:v>211396</x:v>
      </x:c>
      <x:c r="G53" s="186" t="n">
        <x:v>21355</x:v>
      </x:c>
      <x:c r="H53" s="186" t="n">
        <x:v>75848</x:v>
      </x:c>
      <x:c r="I53" s="186" t="n">
        <x:f>G53-H53</x:f>
        <x:v>-54493</x:v>
      </x:c>
      <x:c r="J53" s="186" t="n">
        <x:v>29733</x:v>
      </x:c>
      <x:c r="K53" s="186" t="n">
        <x:v>70441</x:v>
      </x:c>
      <x:c r="L53" s="186" t="n">
        <x:f>J53-K53</x:f>
        <x:v>-40708</x:v>
      </x:c>
      <x:c r="M53" s="186" t="n">
        <x:v>87541</x:v>
      </x:c>
      <x:c r="N53" s="186" t="n">
        <x:v>9879</x:v>
      </x:c>
      <x:c r="O53" s="186" t="n">
        <x:f>M53-N53</x:f>
        <x:v>77662</x:v>
      </x:c>
      <x:c r="P53" s="186" t="n">
        <x:v>20014</x:v>
      </x:c>
      <x:c r="Q53" s="186" t="n">
        <x:v>14015</x:v>
      </x:c>
      <x:c r="R53" s="186" t="n">
        <x:f>P53-Q53</x:f>
        <x:v>5999</x:v>
      </x:c>
      <x:c r="S53" s="186" t="n">
        <x:v>24896</x:v>
      </x:c>
      <x:c r="T53" s="186" t="n">
        <x:v>13356</x:v>
      </x:c>
      <x:c r="U53" s="186" t="n">
        <x:f>S53-T53</x:f>
        <x:v>11540</x:v>
      </x:c>
      <x:c r="V53" s="196" t="n">
        <x:f>IFERROR(O53/F53,"")</x:f>
        <x:v>0.3673768661658688</x:v>
      </x:c>
      <x:c r="W53" s="196" t="n">
        <x:f>IFERROR(I53/F53,"")</x:f>
        <x:v>-0.25777687373460234</x:v>
      </x:c>
    </x:row>
    <x:row r="54">
      <x:c r="A54" s="186" t="str">
        <x:v>Gold</x:v>
      </x:c>
      <x:c r="B54" s="187" t="n">
        <x:v>42556</x:v>
      </x:c>
      <x:c r="C54" s="187" t="n">
        <x:v>42559</x:v>
      </x:c>
      <x:c r="D54" s="186" t="str">
        <x:v>088691-GOLD</x:v>
      </x:c>
      <x:c r="E54" s="186" t="str">
        <x:v>GOLD - COMMODITY EXCHANGE INC.</x:v>
      </x:c>
      <x:c r="F54" s="186" t="n">
        <x:v>652971</x:v>
      </x:c>
      <x:c r="G54" s="186" t="n">
        <x:v>29270</x:v>
      </x:c>
      <x:c r="H54" s="186" t="n">
        <x:v>178378</x:v>
      </x:c>
      <x:c r="I54" s="186" t="n">
        <x:f>G54-H54</x:f>
        <x:v>-149108</x:v>
      </x:c>
      <x:c r="J54" s="186" t="n">
        <x:v>43240</x:v>
      </x:c>
      <x:c r="K54" s="186" t="n">
        <x:v>234339</x:v>
      </x:c>
      <x:c r="L54" s="186" t="n">
        <x:f>J54-K54</x:f>
        <x:v>-191099</x:v>
      </x:c>
      <x:c r="M54" s="186" t="n">
        <x:v>300070</x:v>
      </x:c>
      <x:c r="N54" s="186" t="n">
        <x:v>26994</x:v>
      </x:c>
      <x:c r="O54" s="186" t="n">
        <x:f>M54-N54</x:f>
        <x:v>273076</x:v>
      </x:c>
      <x:c r="P54" s="186" t="n">
        <x:v>89520</x:v>
      </x:c>
      <x:c r="Q54" s="186" t="n">
        <x:v>46633</x:v>
      </x:c>
      <x:c r="R54" s="186" t="n">
        <x:f>P54-Q54</x:f>
        <x:v>42887</x:v>
      </x:c>
      <x:c r="S54" s="186" t="n">
        <x:v>50789</x:v>
      </x:c>
      <x:c r="T54" s="186" t="n">
        <x:v>26545</x:v>
      </x:c>
      <x:c r="U54" s="186" t="n">
        <x:f>S54-T54</x:f>
        <x:v>24244</x:v>
      </x:c>
      <x:c r="V54" s="196" t="n">
        <x:f>IFERROR(O54/F54,"")</x:f>
        <x:v>0.41820540269016543</x:v>
      </x:c>
      <x:c r="W54" s="196" t="n">
        <x:f>IFERROR(I54/F54,"")</x:f>
        <x:v>-0.22835317341811504</x:v>
      </x:c>
    </x:row>
    <x:row r="55">
      <x:c r="A55" s="186" t="str">
        <x:v>Silver</x:v>
      </x:c>
      <x:c r="B55" s="187" t="n">
        <x:v>42556</x:v>
      </x:c>
      <x:c r="C55" s="187" t="n">
        <x:v>42559</x:v>
      </x:c>
      <x:c r="D55" s="186" t="str">
        <x:v>084691-SILVER</x:v>
      </x:c>
      <x:c r="E55" s="186" t="str">
        <x:v>SILVER - COMMODITY EXCHANGE INC.</x:v>
      </x:c>
      <x:c r="F55" s="186" t="n">
        <x:v>211347</x:v>
      </x:c>
      <x:c r="G55" s="186" t="n">
        <x:v>22991</x:v>
      </x:c>
      <x:c r="H55" s="186" t="n">
        <x:v>76664</x:v>
      </x:c>
      <x:c r="I55" s="186" t="n">
        <x:f>G55-H55</x:f>
        <x:v>-53673</x:v>
      </x:c>
      <x:c r="J55" s="186" t="n">
        <x:v>27717</x:v>
      </x:c>
      <x:c r="K55" s="186" t="n">
        <x:v>72812</x:v>
      </x:c>
      <x:c r="L55" s="186" t="n">
        <x:f>J55-K55</x:f>
        <x:v>-45095</x:v>
      </x:c>
      <x:c r="M55" s="186" t="n">
        <x:v>90030</x:v>
      </x:c>
      <x:c r="N55" s="186" t="n">
        <x:v>9045</x:v>
      </x:c>
      <x:c r="O55" s="186" t="n">
        <x:f>M55-N55</x:f>
        <x:v>80985</x:v>
      </x:c>
      <x:c r="P55" s="186" t="n">
        <x:v>21318</x:v>
      </x:c>
      <x:c r="Q55" s="186" t="n">
        <x:v>16549</x:v>
      </x:c>
      <x:c r="R55" s="186" t="n">
        <x:f>P55-Q55</x:f>
        <x:v>4769</x:v>
      </x:c>
      <x:c r="S55" s="186" t="n">
        <x:v>25873</x:v>
      </x:c>
      <x:c r="T55" s="186" t="n">
        <x:v>12859</x:v>
      </x:c>
      <x:c r="U55" s="186" t="n">
        <x:f>S55-T55</x:f>
        <x:v>13014</x:v>
      </x:c>
      <x:c r="V55" s="196" t="n">
        <x:f>IFERROR(O55/F55,"")</x:f>
        <x:v>0.3831849990773467</x:v>
      </x:c>
      <x:c r="W55" s="196" t="n">
        <x:f>IFERROR(I55/F55,"")</x:f>
        <x:v>-0.2539567630484464</x:v>
      </x:c>
    </x:row>
    <x:row r="56">
      <x:c r="A56" s="186" t="str">
        <x:v>Gold</x:v>
      </x:c>
      <x:c r="B56" s="187" t="n">
        <x:v>42563</x:v>
      </x:c>
      <x:c r="C56" s="187" t="n">
        <x:v>42566</x:v>
      </x:c>
      <x:c r="D56" s="186" t="str">
        <x:v>088691-GOLD</x:v>
      </x:c>
      <x:c r="E56" s="186" t="str">
        <x:v>GOLD - COMMODITY EXCHANGE INC.</x:v>
      </x:c>
      <x:c r="F56" s="186" t="n">
        <x:v>633020</x:v>
      </x:c>
      <x:c r="G56" s="186" t="n">
        <x:v>35210</x:v>
      </x:c>
      <x:c r="H56" s="186" t="n">
        <x:v>176993</x:v>
      </x:c>
      <x:c r="I56" s="186" t="n">
        <x:f>G56-H56</x:f>
        <x:v>-141783</x:v>
      </x:c>
      <x:c r="J56" s="186" t="n">
        <x:v>39218</x:v>
      </x:c>
      <x:c r="K56" s="186" t="n">
        <x:v>222887</x:v>
      </x:c>
      <x:c r="L56" s="186" t="n">
        <x:f>J56-K56</x:f>
        <x:v>-183669</x:v>
      </x:c>
      <x:c r="M56" s="186" t="n">
        <x:v>296106</x:v>
      </x:c>
      <x:c r="N56" s="186" t="n">
        <x:v>36977</x:v>
      </x:c>
      <x:c r="O56" s="186" t="n">
        <x:f>M56-N56</x:f>
        <x:v>259129</x:v>
      </x:c>
      <x:c r="P56" s="186" t="n">
        <x:v>81975</x:v>
      </x:c>
      <x:c r="Q56" s="186" t="n">
        <x:v>43641</x:v>
      </x:c>
      <x:c r="R56" s="186" t="n">
        <x:f>P56-Q56</x:f>
        <x:v>38334</x:v>
      </x:c>
      <x:c r="S56" s="186" t="n">
        <x:v>52553</x:v>
      </x:c>
      <x:c r="T56" s="186" t="n">
        <x:v>24564</x:v>
      </x:c>
      <x:c r="U56" s="186" t="n">
        <x:f>S56-T56</x:f>
        <x:v>27989</x:v>
      </x:c>
      <x:c r="V56" s="196" t="n">
        <x:f>IFERROR(O56/F56,"")</x:f>
        <x:v>0.4093535749265426</x:v>
      </x:c>
      <x:c r="W56" s="196" t="n">
        <x:f>IFERROR(I56/F56,"")</x:f>
        <x:v>-0.22397870525417837</x:v>
      </x:c>
    </x:row>
    <x:row r="57">
      <x:c r="A57" s="186" t="str">
        <x:v>Silver</x:v>
      </x:c>
      <x:c r="B57" s="187" t="n">
        <x:v>42563</x:v>
      </x:c>
      <x:c r="C57" s="187" t="n">
        <x:v>42566</x:v>
      </x:c>
      <x:c r="D57" s="186" t="str">
        <x:v>084691-SILVER</x:v>
      </x:c>
      <x:c r="E57" s="186" t="str">
        <x:v>SILVER - COMMODITY EXCHANGE INC.</x:v>
      </x:c>
      <x:c r="F57" s="186" t="n">
        <x:v>214617</x:v>
      </x:c>
      <x:c r="G57" s="186" t="n">
        <x:v>22783</x:v>
      </x:c>
      <x:c r="H57" s="186" t="n">
        <x:v>75820</x:v>
      </x:c>
      <x:c r="I57" s="186" t="n">
        <x:f>G57-H57</x:f>
        <x:v>-53037</x:v>
      </x:c>
      <x:c r="J57" s="186" t="n">
        <x:v>26100</x:v>
      </x:c>
      <x:c r="K57" s="186" t="n">
        <x:v>73183</x:v>
      </x:c>
      <x:c r="L57" s="186" t="n">
        <x:f>J57-K57</x:f>
        <x:v>-47083</x:v>
      </x:c>
      <x:c r="M57" s="186" t="n">
        <x:v>92979</x:v>
      </x:c>
      <x:c r="N57" s="186" t="n">
        <x:v>7112</x:v>
      </x:c>
      <x:c r="O57" s="186" t="n">
        <x:f>M57-N57</x:f>
        <x:v>85867</x:v>
      </x:c>
      <x:c r="P57" s="186" t="n">
        <x:v>21397</x:v>
      </x:c>
      <x:c r="Q57" s="186" t="n">
        <x:v>19612</x:v>
      </x:c>
      <x:c r="R57" s="186" t="n">
        <x:f>P57-Q57</x:f>
        <x:v>1785</x:v>
      </x:c>
      <x:c r="S57" s="186" t="n">
        <x:v>26591</x:v>
      </x:c>
      <x:c r="T57" s="186" t="n">
        <x:v>14123</x:v>
      </x:c>
      <x:c r="U57" s="186" t="n">
        <x:f>S57-T57</x:f>
        <x:v>12468</x:v>
      </x:c>
      <x:c r="V57" s="196" t="n">
        <x:f>IFERROR(O57/F57,"")</x:f>
        <x:v>0.40009412115536047</x:v>
      </x:c>
      <x:c r="W57" s="196" t="n">
        <x:f>IFERROR(I57/F57,"")</x:f>
        <x:v>-0.24712394637889823</x:v>
      </x:c>
    </x:row>
    <x:row r="58">
      <x:c r="A58" s="186" t="str">
        <x:v>Gold</x:v>
      </x:c>
      <x:c r="B58" s="187" t="n">
        <x:v>42570</x:v>
      </x:c>
      <x:c r="C58" s="187" t="n">
        <x:v>42573</x:v>
      </x:c>
      <x:c r="D58" s="186" t="str">
        <x:v>088691-GOLD</x:v>
      </x:c>
      <x:c r="E58" s="186" t="str">
        <x:v>GOLD - COMMODITY EXCHANGE INC.</x:v>
      </x:c>
      <x:c r="F58" s="186" t="n">
        <x:v>617069</x:v>
      </x:c>
      <x:c r="G58" s="186" t="n">
        <x:v>31861</x:v>
      </x:c>
      <x:c r="H58" s="186" t="n">
        <x:v>167764</x:v>
      </x:c>
      <x:c r="I58" s="186" t="n">
        <x:f>G58-H58</x:f>
        <x:v>-135903</x:v>
      </x:c>
      <x:c r="J58" s="186" t="n">
        <x:v>37838</x:v>
      </x:c>
      <x:c r="K58" s="186" t="n">
        <x:v>217412</x:v>
      </x:c>
      <x:c r="L58" s="186" t="n">
        <x:f>J58-K58</x:f>
        <x:v>-179574</x:v>
      </x:c>
      <x:c r="M58" s="186" t="n">
        <x:v>287317</x:v>
      </x:c>
      <x:c r="N58" s="186" t="n">
        <x:v>34920</x:v>
      </x:c>
      <x:c r="O58" s="186" t="n">
        <x:f>M58-N58</x:f>
        <x:v>252397</x:v>
      </x:c>
      <x:c r="P58" s="186" t="n">
        <x:v>79554</x:v>
      </x:c>
      <x:c r="Q58" s="186" t="n">
        <x:v>46040</x:v>
      </x:c>
      <x:c r="R58" s="186" t="n">
        <x:f>P58-Q58</x:f>
        <x:v>33514</x:v>
      </x:c>
      <x:c r="S58" s="186" t="n">
        <x:v>55614</x:v>
      </x:c>
      <x:c r="T58" s="186" t="n">
        <x:v>26048</x:v>
      </x:c>
      <x:c r="U58" s="186" t="n">
        <x:f>S58-T58</x:f>
        <x:v>29566</x:v>
      </x:c>
      <x:c r="V58" s="196" t="n">
        <x:f>IFERROR(O58/F58,"")</x:f>
        <x:v>0.4090255708842933</x:v>
      </x:c>
      <x:c r="W58" s="196" t="n">
        <x:f>IFERROR(I58/F58,"")</x:f>
        <x:v>-0.22023955181673363</x:v>
      </x:c>
    </x:row>
    <x:row r="59">
      <x:c r="A59" s="186" t="str">
        <x:v>Silver</x:v>
      </x:c>
      <x:c r="B59" s="187" t="n">
        <x:v>42570</x:v>
      </x:c>
      <x:c r="C59" s="187" t="n">
        <x:v>42573</x:v>
      </x:c>
      <x:c r="D59" s="186" t="str">
        <x:v>084691-SILVER</x:v>
      </x:c>
      <x:c r="E59" s="186" t="str">
        <x:v>SILVER - COMMODITY EXCHANGE INC.</x:v>
      </x:c>
      <x:c r="F59" s="186" t="n">
        <x:v>219206</x:v>
      </x:c>
      <x:c r="G59" s="186" t="n">
        <x:v>20779</x:v>
      </x:c>
      <x:c r="H59" s="186" t="n">
        <x:v>77425</x:v>
      </x:c>
      <x:c r="I59" s="186" t="n">
        <x:f>G59-H59</x:f>
        <x:v>-56646</x:v>
      </x:c>
      <x:c r="J59" s="186" t="n">
        <x:v>24636</x:v>
      </x:c>
      <x:c r="K59" s="186" t="n">
        <x:v>74245</x:v>
      </x:c>
      <x:c r="L59" s="186" t="n">
        <x:f>J59-K59</x:f>
        <x:v>-49609</x:v>
      </x:c>
      <x:c r="M59" s="186" t="n">
        <x:v>98948</x:v>
      </x:c>
      <x:c r="N59" s="186" t="n">
        <x:v>7796</x:v>
      </x:c>
      <x:c r="O59" s="186" t="n">
        <x:f>M59-N59</x:f>
        <x:v>91152</x:v>
      </x:c>
      <x:c r="P59" s="186" t="n">
        <x:v>21891</x:v>
      </x:c>
      <x:c r="Q59" s="186" t="n">
        <x:v>18653</x:v>
      </x:c>
      <x:c r="R59" s="186" t="n">
        <x:f>P59-Q59</x:f>
        <x:v>3238</x:v>
      </x:c>
      <x:c r="S59" s="186" t="n">
        <x:v>26626</x:v>
      </x:c>
      <x:c r="T59" s="186" t="n">
        <x:v>14761</x:v>
      </x:c>
      <x:c r="U59" s="186" t="n">
        <x:f>S59-T59</x:f>
        <x:v>11865</x:v>
      </x:c>
      <x:c r="V59" s="196" t="n">
        <x:f>IFERROR(O59/F59,"")</x:f>
        <x:v>0.41582803390418144</x:v>
      </x:c>
      <x:c r="W59" s="196" t="n">
        <x:f>IFERROR(I59/F59,"")</x:f>
        <x:v>-0.2584144594582265</x:v>
      </x:c>
    </x:row>
    <x:row r="60">
      <x:c r="A60" s="186" t="str">
        <x:v>Gold</x:v>
      </x:c>
      <x:c r="B60" s="187" t="n">
        <x:v>42577</x:v>
      </x:c>
      <x:c r="C60" s="187" t="n">
        <x:v>42580</x:v>
      </x:c>
      <x:c r="D60" s="186" t="str">
        <x:v>088691-GOLD</x:v>
      </x:c>
      <x:c r="E60" s="186" t="str">
        <x:v>GOLD - COMMODITY EXCHANGE INC.</x:v>
      </x:c>
      <x:c r="F60" s="186" t="n">
        <x:v>576325</x:v>
      </x:c>
      <x:c r="G60" s="186" t="n">
        <x:v>31448</x:v>
      </x:c>
      <x:c r="H60" s="186" t="n">
        <x:v>166649</x:v>
      </x:c>
      <x:c r="I60" s="186" t="n">
        <x:f>G60-H60</x:f>
        <x:v>-135201</x:v>
      </x:c>
      <x:c r="J60" s="186" t="n">
        <x:v>35575</x:v>
      </x:c>
      <x:c r="K60" s="186" t="n">
        <x:v>209397</x:v>
      </x:c>
      <x:c r="L60" s="186" t="n">
        <x:f>J60-K60</x:f>
        <x:v>-173822</x:v>
      </x:c>
      <x:c r="M60" s="186" t="n">
        <x:v>278777</x:v>
      </x:c>
      <x:c r="N60" s="186" t="n">
        <x:v>31356</x:v>
      </x:c>
      <x:c r="O60" s="186" t="n">
        <x:f>M60-N60</x:f>
        <x:v>247421</x:v>
      </x:c>
      <x:c r="P60" s="186" t="n">
        <x:v>68649</x:v>
      </x:c>
      <x:c r="Q60" s="186" t="n">
        <x:v>37115</x:v>
      </x:c>
      <x:c r="R60" s="186" t="n">
        <x:f>P60-Q60</x:f>
        <x:v>31534</x:v>
      </x:c>
      <x:c r="S60" s="186" t="n">
        <x:v>55829</x:v>
      </x:c>
      <x:c r="T60" s="186" t="n">
        <x:v>25761</x:v>
      </x:c>
      <x:c r="U60" s="186" t="n">
        <x:f>S60-T60</x:f>
        <x:v>30068</x:v>
      </x:c>
      <x:c r="V60" s="196" t="n">
        <x:f>IFERROR(O60/F60,"")</x:f>
        <x:v>0.4293081160803366</x:v>
      </x:c>
      <x:c r="W60" s="196" t="n">
        <x:f>IFERROR(I60/F60,"")</x:f>
        <x:v>-0.2345915932850388</x:v>
      </x:c>
    </x:row>
    <x:row r="61">
      <x:c r="A61" s="186" t="str">
        <x:v>Silver</x:v>
      </x:c>
      <x:c r="B61" s="187" t="n">
        <x:v>42577</x:v>
      </x:c>
      <x:c r="C61" s="187" t="n">
        <x:v>42580</x:v>
      </x:c>
      <x:c r="D61" s="186" t="str">
        <x:v>084691-SILVER</x:v>
      </x:c>
      <x:c r="E61" s="186" t="str">
        <x:v>SILVER - COMMODITY EXCHANGE INC.</x:v>
      </x:c>
      <x:c r="F61" s="186" t="n">
        <x:v>218299</x:v>
      </x:c>
      <x:c r="G61" s="186" t="n">
        <x:v>19019</x:v>
      </x:c>
      <x:c r="H61" s="186" t="n">
        <x:v>76841</x:v>
      </x:c>
      <x:c r="I61" s="186" t="n">
        <x:f>G61-H61</x:f>
        <x:v>-57822</x:v>
      </x:c>
      <x:c r="J61" s="186" t="n">
        <x:v>24613</x:v>
      </x:c>
      <x:c r="K61" s="186" t="n">
        <x:v>73914</x:v>
      </x:c>
      <x:c r="L61" s="186" t="n">
        <x:f>J61-K61</x:f>
        <x:v>-49301</x:v>
      </x:c>
      <x:c r="M61" s="186" t="n">
        <x:v>104148</x:v>
      </x:c>
      <x:c r="N61" s="186" t="n">
        <x:v>8224</x:v>
      </x:c>
      <x:c r="O61" s="186" t="n">
        <x:f>M61-N61</x:f>
        <x:v>95924</x:v>
      </x:c>
      <x:c r="P61" s="186" t="n">
        <x:v>19589</x:v>
      </x:c>
      <x:c r="Q61" s="186" t="n">
        <x:v>19436</x:v>
      </x:c>
      <x:c r="R61" s="186" t="n">
        <x:f>P61-Q61</x:f>
        <x:v>153</x:v>
      </x:c>
      <x:c r="S61" s="186" t="n">
        <x:v>25124</x:v>
      </x:c>
      <x:c r="T61" s="186" t="n">
        <x:v>14078</x:v>
      </x:c>
      <x:c r="U61" s="186" t="n">
        <x:f>S61-T61</x:f>
        <x:v>11046</x:v>
      </x:c>
      <x:c r="V61" s="196" t="n">
        <x:f>IFERROR(O61/F61,"")</x:f>
        <x:v>0.4394156638372141</x:v>
      </x:c>
      <x:c r="W61" s="196" t="n">
        <x:f>IFERROR(I61/F61,"")</x:f>
        <x:v>-0.2648752399232246</x:v>
      </x:c>
    </x:row>
    <x:row r="62">
      <x:c r="A62" s="186" t="str">
        <x:v>Gold</x:v>
      </x:c>
      <x:c r="B62" s="187" t="n">
        <x:v>42584</x:v>
      </x:c>
      <x:c r="C62" s="187" t="n">
        <x:v>42587</x:v>
      </x:c>
      <x:c r="D62" s="186" t="str">
        <x:v>088691-GOLD</x:v>
      </x:c>
      <x:c r="E62" s="186" t="str">
        <x:v>GOLD - COMMODITY EXCHANGE INC.</x:v>
      </x:c>
      <x:c r="F62" s="186" t="n">
        <x:v>582211</x:v>
      </x:c>
      <x:c r="G62" s="186" t="n">
        <x:v>29097</x:v>
      </x:c>
      <x:c r="H62" s="186" t="n">
        <x:v>175971</x:v>
      </x:c>
      <x:c r="I62" s="186" t="n">
        <x:f>G62-H62</x:f>
        <x:v>-146874</x:v>
      </x:c>
      <x:c r="J62" s="186" t="n">
        <x:v>37132</x:v>
      </x:c>
      <x:c r="K62" s="186" t="n">
        <x:v>214285</x:v>
      </x:c>
      <x:c r="L62" s="186" t="n">
        <x:f>J62-K62</x:f>
        <x:v>-177153</x:v>
      </x:c>
      <x:c r="M62" s="186" t="n">
        <x:v>288542</x:v>
      </x:c>
      <x:c r="N62" s="186" t="n">
        <x:v>33813</x:v>
      </x:c>
      <x:c r="O62" s="186" t="n">
        <x:f>M62-N62</x:f>
        <x:v>254729</x:v>
      </x:c>
      <x:c r="P62" s="186" t="n">
        <x:v>77259</x:v>
      </x:c>
      <x:c r="Q62" s="186" t="n">
        <x:v>37805</x:v>
      </x:c>
      <x:c r="R62" s="186" t="n">
        <x:f>P62-Q62</x:f>
        <x:v>39454</x:v>
      </x:c>
      <x:c r="S62" s="186" t="n">
        <x:v>54451</x:v>
      </x:c>
      <x:c r="T62" s="186" t="n">
        <x:v>24607</x:v>
      </x:c>
      <x:c r="U62" s="186" t="n">
        <x:f>S62-T62</x:f>
        <x:v>29844</x:v>
      </x:c>
      <x:c r="V62" s="196" t="n">
        <x:f>IFERROR(O62/F62,"")</x:f>
        <x:v>0.4375200743373107</x:v>
      </x:c>
      <x:c r="W62" s="196" t="n">
        <x:f>IFERROR(I62/F62,"")</x:f>
        <x:v>-0.2522693662606856</x:v>
      </x:c>
    </x:row>
    <x:row r="63">
      <x:c r="A63" s="186" t="str">
        <x:v>Silver</x:v>
      </x:c>
      <x:c r="B63" s="187" t="n">
        <x:v>42584</x:v>
      </x:c>
      <x:c r="C63" s="187" t="n">
        <x:v>42587</x:v>
      </x:c>
      <x:c r="D63" s="186" t="str">
        <x:v>084691-SILVER</x:v>
      </x:c>
      <x:c r="E63" s="186" t="str">
        <x:v>SILVER - COMMODITY EXCHANGE INC.</x:v>
      </x:c>
      <x:c r="F63" s="186" t="n">
        <x:v>224540</x:v>
      </x:c>
      <x:c r="G63" s="186" t="n">
        <x:v>17400</x:v>
      </x:c>
      <x:c r="H63" s="186" t="n">
        <x:v>77301</x:v>
      </x:c>
      <x:c r="I63" s="186" t="n">
        <x:f>G63-H63</x:f>
        <x:v>-59901</x:v>
      </x:c>
      <x:c r="J63" s="186" t="n">
        <x:v>28227</x:v>
      </x:c>
      <x:c r="K63" s="186" t="n">
        <x:v>77447</x:v>
      </x:c>
      <x:c r="L63" s="186" t="n">
        <x:f>J63-K63</x:f>
        <x:v>-49220</x:v>
      </x:c>
      <x:c r="M63" s="186" t="n">
        <x:v>101438</x:v>
      </x:c>
      <x:c r="N63" s="186" t="n">
        <x:v>11505</x:v>
      </x:c>
      <x:c r="O63" s="186" t="n">
        <x:f>M63-N63</x:f>
        <x:v>89933</x:v>
      </x:c>
      <x:c r="P63" s="186" t="n">
        <x:v>21238</x:v>
      </x:c>
      <x:c r="Q63" s="186" t="n">
        <x:v>17737</x:v>
      </x:c>
      <x:c r="R63" s="186" t="n">
        <x:f>P63-Q63</x:f>
        <x:v>3501</x:v>
      </x:c>
      <x:c r="S63" s="186" t="n">
        <x:v>28250</x:v>
      </x:c>
      <x:c r="T63" s="186" t="n">
        <x:v>12563</x:v>
      </x:c>
      <x:c r="U63" s="186" t="n">
        <x:f>S63-T63</x:f>
        <x:v>15687</x:v>
      </x:c>
      <x:c r="V63" s="196" t="n">
        <x:f>IFERROR(O63/F63,"")</x:f>
        <x:v>0.40052106528903536</x:v>
      </x:c>
      <x:c r="W63" s="196" t="n">
        <x:f>IFERROR(I63/F63,"")</x:f>
        <x:v>-0.2667720673376681</x:v>
      </x:c>
    </x:row>
    <x:row r="64">
      <x:c r="A64" s="186" t="str">
        <x:v>Gold</x:v>
      </x:c>
      <x:c r="B64" s="187" t="n">
        <x:v>42591</x:v>
      </x:c>
      <x:c r="C64" s="187" t="n">
        <x:v>42594</x:v>
      </x:c>
      <x:c r="D64" s="186" t="str">
        <x:v>088691-GOLD</x:v>
      </x:c>
      <x:c r="E64" s="186" t="str">
        <x:v>GOLD - COMMODITY EXCHANGE INC.</x:v>
      </x:c>
      <x:c r="F64" s="186" t="n">
        <x:v>575399</x:v>
      </x:c>
      <x:c r="G64" s="186" t="n">
        <x:v>29067</x:v>
      </x:c>
      <x:c r="H64" s="186" t="n">
        <x:v>165875</x:v>
      </x:c>
      <x:c r="I64" s="186" t="n">
        <x:f>G64-H64</x:f>
        <x:v>-136808</x:v>
      </x:c>
      <x:c r="J64" s="186" t="n">
        <x:v>32598</x:v>
      </x:c>
      <x:c r="K64" s="186" t="n">
        <x:v>208731</x:v>
      </x:c>
      <x:c r="L64" s="186" t="n">
        <x:f>J64-K64</x:f>
        <x:v>-176133</x:v>
      </x:c>
      <x:c r="M64" s="186" t="n">
        <x:v>281496</x:v>
      </x:c>
      <x:c r="N64" s="186" t="n">
        <x:v>36244</x:v>
      </x:c>
      <x:c r="O64" s="186" t="n">
        <x:f>M64-N64</x:f>
        <x:v>245252</x:v>
      </x:c>
      <x:c r="P64" s="186" t="n">
        <x:v>74975</x:v>
      </x:c>
      <x:c r="Q64" s="186" t="n">
        <x:v>33780</x:v>
      </x:c>
      <x:c r="R64" s="186" t="n">
        <x:f>P64-Q64</x:f>
        <x:v>41195</x:v>
      </x:c>
      <x:c r="S64" s="186" t="n">
        <x:v>52657</x:v>
      </x:c>
      <x:c r="T64" s="186" t="n">
        <x:v>26163</x:v>
      </x:c>
      <x:c r="U64" s="186" t="n">
        <x:f>S64-T64</x:f>
        <x:v>26494</x:v>
      </x:c>
      <x:c r="V64" s="196" t="n">
        <x:f>IFERROR(O64/F64,"")</x:f>
        <x:v>0.42622945121559125</x:v>
      </x:c>
      <x:c r="W64" s="196" t="n">
        <x:f>IFERROR(I64/F64,"")</x:f>
        <x:v>-0.23776197038924293</x:v>
      </x:c>
    </x:row>
    <x:row r="65">
      <x:c r="A65" s="186" t="str">
        <x:v>Silver</x:v>
      </x:c>
      <x:c r="B65" s="187" t="n">
        <x:v>42591</x:v>
      </x:c>
      <x:c r="C65" s="187" t="n">
        <x:v>42594</x:v>
      </x:c>
      <x:c r="D65" s="186" t="str">
        <x:v>084691-SILVER</x:v>
      </x:c>
      <x:c r="E65" s="186" t="str">
        <x:v>SILVER - COMMODITY EXCHANGE INC.</x:v>
      </x:c>
      <x:c r="F65" s="186" t="n">
        <x:v>210647</x:v>
      </x:c>
      <x:c r="G65" s="186" t="n">
        <x:v>16291</x:v>
      </x:c>
      <x:c r="H65" s="186" t="n">
        <x:v>73549</x:v>
      </x:c>
      <x:c r="I65" s="186" t="n">
        <x:f>G65-H65</x:f>
        <x:v>-57258</x:v>
      </x:c>
      <x:c r="J65" s="186" t="n">
        <x:v>27732</x:v>
      </x:c>
      <x:c r="K65" s="186" t="n">
        <x:v>73785</x:v>
      </x:c>
      <x:c r="L65" s="186" t="n">
        <x:f>J65-K65</x:f>
        <x:v>-46053</x:v>
      </x:c>
      <x:c r="M65" s="186" t="n">
        <x:v>101341</x:v>
      </x:c>
      <x:c r="N65" s="186" t="n">
        <x:v>14860</x:v>
      </x:c>
      <x:c r="O65" s="186" t="n">
        <x:f>M65-N65</x:f>
        <x:v>86481</x:v>
      </x:c>
      <x:c r="P65" s="186" t="n">
        <x:v>20824</x:v>
      </x:c>
      <x:c r="Q65" s="186" t="n">
        <x:v>16241</x:v>
      </x:c>
      <x:c r="R65" s="186" t="n">
        <x:f>P65-Q65</x:f>
        <x:v>4583</x:v>
      </x:c>
      <x:c r="S65" s="186" t="n">
        <x:v>26925</x:v>
      </x:c>
      <x:c r="T65" s="186" t="n">
        <x:v>14678</x:v>
      </x:c>
      <x:c r="U65" s="186" t="n">
        <x:f>S65-T65</x:f>
        <x:v>12247</x:v>
      </x:c>
      <x:c r="V65" s="196" t="n">
        <x:f>IFERROR(O65/F65,"")</x:f>
        <x:v>0.41054940255498534</x:v>
      </x:c>
      <x:c r="W65" s="196" t="n">
        <x:f>IFERROR(I65/F65,"")</x:f>
        <x:v>-0.27181967936880186</x:v>
      </x:c>
    </x:row>
    <x:row r="66">
      <x:c r="A66" s="186" t="str">
        <x:v>Gold</x:v>
      </x:c>
      <x:c r="B66" s="187" t="n">
        <x:v>42598</x:v>
      </x:c>
      <x:c r="C66" s="187" t="n">
        <x:v>42601</x:v>
      </x:c>
      <x:c r="D66" s="186" t="str">
        <x:v>088691-GOLD</x:v>
      </x:c>
      <x:c r="E66" s="186" t="str">
        <x:v>GOLD - COMMODITY EXCHANGE INC.</x:v>
      </x:c>
      <x:c r="F66" s="186" t="n">
        <x:v>572496</x:v>
      </x:c>
      <x:c r="G66" s="186" t="n">
        <x:v>30091</x:v>
      </x:c>
      <x:c r="H66" s="186" t="n">
        <x:v>169299</x:v>
      </x:c>
      <x:c r="I66" s="186" t="n">
        <x:f>G66-H66</x:f>
        <x:v>-139208</x:v>
      </x:c>
      <x:c r="J66" s="186" t="n">
        <x:v>32762</x:v>
      </x:c>
      <x:c r="K66" s="186" t="n">
        <x:v>204547</x:v>
      </x:c>
      <x:c r="L66" s="186" t="n">
        <x:f>J66-K66</x:f>
        <x:v>-171785</x:v>
      </x:c>
      <x:c r="M66" s="186" t="n">
        <x:v>277152</x:v>
      </x:c>
      <x:c r="N66" s="186" t="n">
        <x:v>34425</x:v>
      </x:c>
      <x:c r="O66" s="186" t="n">
        <x:f>M66-N66</x:f>
        <x:v>242727</x:v>
      </x:c>
      <x:c r="P66" s="186" t="n">
        <x:v>74383</x:v>
      </x:c>
      <x:c r="Q66" s="186" t="n">
        <x:v>33259</x:v>
      </x:c>
      <x:c r="R66" s="186" t="n">
        <x:f>P66-Q66</x:f>
        <x:v>41124</x:v>
      </x:c>
      <x:c r="S66" s="186" t="n">
        <x:v>52525</x:v>
      </x:c>
      <x:c r="T66" s="186" t="n">
        <x:v>25383</x:v>
      </x:c>
      <x:c r="U66" s="186" t="n">
        <x:f>S66-T66</x:f>
        <x:v>27142</x:v>
      </x:c>
      <x:c r="V66" s="196" t="n">
        <x:f>IFERROR(O66/F66,"")</x:f>
        <x:v>0.4239802548838769</x:v>
      </x:c>
      <x:c r="W66" s="196" t="n">
        <x:f>IFERROR(I66/F66,"")</x:f>
        <x:v>-0.24315977753556356</x:v>
      </x:c>
    </x:row>
    <x:row r="67">
      <x:c r="A67" s="186" t="str">
        <x:v>Silver</x:v>
      </x:c>
      <x:c r="B67" s="187" t="n">
        <x:v>42598</x:v>
      </x:c>
      <x:c r="C67" s="187" t="n">
        <x:v>42601</x:v>
      </x:c>
      <x:c r="D67" s="186" t="str">
        <x:v>084691-SILVER</x:v>
      </x:c>
      <x:c r="E67" s="186" t="str">
        <x:v>SILVER - COMMODITY EXCHANGE INC.</x:v>
      </x:c>
      <x:c r="F67" s="186" t="n">
        <x:v>205905</x:v>
      </x:c>
      <x:c r="G67" s="186" t="n">
        <x:v>15939</x:v>
      </x:c>
      <x:c r="H67" s="186" t="n">
        <x:v>72344</x:v>
      </x:c>
      <x:c r="I67" s="186" t="n">
        <x:f>G67-H67</x:f>
        <x:v>-56405</x:v>
      </x:c>
      <x:c r="J67" s="186" t="n">
        <x:v>28164</x:v>
      </x:c>
      <x:c r="K67" s="186" t="n">
        <x:v>72353</x:v>
      </x:c>
      <x:c r="L67" s="186" t="n">
        <x:f>J67-K67</x:f>
        <x:v>-44189</x:v>
      </x:c>
      <x:c r="M67" s="186" t="n">
        <x:v>98767</x:v>
      </x:c>
      <x:c r="N67" s="186" t="n">
        <x:v>17311</x:v>
      </x:c>
      <x:c r="O67" s="186" t="n">
        <x:f>M67-N67</x:f>
        <x:v>81456</x:v>
      </x:c>
      <x:c r="P67" s="186" t="n">
        <x:v>20221</x:v>
      </x:c>
      <x:c r="Q67" s="186" t="n">
        <x:v>16688</x:v>
      </x:c>
      <x:c r="R67" s="186" t="n">
        <x:f>P67-Q67</x:f>
        <x:v>3533</x:v>
      </x:c>
      <x:c r="S67" s="186" t="n">
        <x:v>28905</x:v>
      </x:c>
      <x:c r="T67" s="186" t="n">
        <x:v>13300</x:v>
      </x:c>
      <x:c r="U67" s="186" t="n">
        <x:f>S67-T67</x:f>
        <x:v>15605</x:v>
      </x:c>
      <x:c r="V67" s="196" t="n">
        <x:f>IFERROR(O67/F67,"")</x:f>
        <x:v>0.39559991258104465</x:v>
      </x:c>
      <x:c r="W67" s="196" t="n">
        <x:f>IFERROR(I67/F67,"")</x:f>
        <x:v>-0.2739370097860664</x:v>
      </x:c>
    </x:row>
    <x:row r="68">
      <x:c r="A68" s="186" t="str">
        <x:v>Gold</x:v>
      </x:c>
      <x:c r="B68" s="187" t="n">
        <x:v>42605</x:v>
      </x:c>
      <x:c r="C68" s="187" t="n">
        <x:v>42608</x:v>
      </x:c>
      <x:c r="D68" s="186" t="str">
        <x:v>088691-GOLD</x:v>
      </x:c>
      <x:c r="E68" s="186" t="str">
        <x:v>GOLD - COMMODITY EXCHANGE INC.</x:v>
      </x:c>
      <x:c r="F68" s="186" t="n">
        <x:v>572973</x:v>
      </x:c>
      <x:c r="G68" s="186" t="n">
        <x:v>23865</x:v>
      </x:c>
      <x:c r="H68" s="186" t="n">
        <x:v>163651</x:v>
      </x:c>
      <x:c r="I68" s="186" t="n">
        <x:f>G68-H68</x:f>
        <x:v>-139786</x:v>
      </x:c>
      <x:c r="J68" s="186" t="n">
        <x:v>32034</x:v>
      </x:c>
      <x:c r="K68" s="186" t="n">
        <x:v>209723</x:v>
      </x:c>
      <x:c r="L68" s="186" t="n">
        <x:f>J68-K68</x:f>
        <x:v>-177689</x:v>
      </x:c>
      <x:c r="M68" s="186" t="n">
        <x:v>284550</x:v>
      </x:c>
      <x:c r="N68" s="186" t="n">
        <x:v>30866</x:v>
      </x:c>
      <x:c r="O68" s="186" t="n">
        <x:f>M68-N68</x:f>
        <x:v>253684</x:v>
      </x:c>
      <x:c r="P68" s="186" t="n">
        <x:v>75235</x:v>
      </x:c>
      <x:c r="Q68" s="186" t="n">
        <x:v>34310</x:v>
      </x:c>
      <x:c r="R68" s="186" t="n">
        <x:f>P68-Q68</x:f>
        <x:v>40925</x:v>
      </x:c>
      <x:c r="S68" s="186" t="n">
        <x:v>51796</x:v>
      </x:c>
      <x:c r="T68" s="186" t="n">
        <x:v>28930</x:v>
      </x:c>
      <x:c r="U68" s="186" t="n">
        <x:f>S68-T68</x:f>
        <x:v>22866</x:v>
      </x:c>
      <x:c r="V68" s="196" t="n">
        <x:f>IFERROR(O68/F68,"")</x:f>
        <x:v>0.44275035647403976</x:v>
      </x:c>
      <x:c r="W68" s="196" t="n">
        <x:f>IFERROR(I68/F68,"")</x:f>
        <x:v>-0.24396612056763584</x:v>
      </x:c>
    </x:row>
    <x:row r="69">
      <x:c r="A69" s="186" t="str">
        <x:v>Silver</x:v>
      </x:c>
      <x:c r="B69" s="187" t="n">
        <x:v>42605</x:v>
      </x:c>
      <x:c r="C69" s="187" t="n">
        <x:v>42608</x:v>
      </x:c>
      <x:c r="D69" s="186" t="str">
        <x:v>084691-SILVER</x:v>
      </x:c>
      <x:c r="E69" s="186" t="str">
        <x:v>SILVER - COMMODITY EXCHANGE INC.</x:v>
      </x:c>
      <x:c r="F69" s="186" t="n">
        <x:v>206264</x:v>
      </x:c>
      <x:c r="G69" s="186" t="n">
        <x:v>14129</x:v>
      </x:c>
      <x:c r="H69" s="186" t="n">
        <x:v>70597</x:v>
      </x:c>
      <x:c r="I69" s="186" t="n">
        <x:f>G69-H69</x:f>
        <x:v>-56468</x:v>
      </x:c>
      <x:c r="J69" s="186" t="n">
        <x:v>26861</x:v>
      </x:c>
      <x:c r="K69" s="186" t="n">
        <x:v>68462</x:v>
      </x:c>
      <x:c r="L69" s="186" t="n">
        <x:f>J69-K69</x:f>
        <x:v>-41601</x:v>
      </x:c>
      <x:c r="M69" s="186" t="n">
        <x:v>96876</x:v>
      </x:c>
      <x:c r="N69" s="186" t="n">
        <x:v>20489</x:v>
      </x:c>
      <x:c r="O69" s="186" t="n">
        <x:f>M69-N69</x:f>
        <x:v>76387</x:v>
      </x:c>
      <x:c r="P69" s="186" t="n">
        <x:v>21480</x:v>
      </x:c>
      <x:c r="Q69" s="186" t="n">
        <x:v>14664</x:v>
      </x:c>
      <x:c r="R69" s="186" t="n">
        <x:f>P69-Q69</x:f>
        <x:v>6816</x:v>
      </x:c>
      <x:c r="S69" s="186" t="n">
        <x:v>27923</x:v>
      </x:c>
      <x:c r="T69" s="186" t="n">
        <x:v>13057</x:v>
      </x:c>
      <x:c r="U69" s="186" t="n">
        <x:f>S69-T69</x:f>
        <x:v>14866</x:v>
      </x:c>
      <x:c r="V69" s="196" t="n">
        <x:f>IFERROR(O69/F69,"")</x:f>
        <x:v>0.3703360741573905</x:v>
      </x:c>
      <x:c r="W69" s="196" t="n">
        <x:f>IFERROR(I69/F69,"")</x:f>
        <x:v>-0.2737656595431098</x:v>
      </x:c>
    </x:row>
    <x:row r="70">
      <x:c r="A70" s="186" t="str">
        <x:v>Gold</x:v>
      </x:c>
      <x:c r="B70" s="187" t="n">
        <x:v>42612</x:v>
      </x:c>
      <x:c r="C70" s="187" t="n">
        <x:v>42615</x:v>
      </x:c>
      <x:c r="D70" s="186" t="str">
        <x:v>088691-GOLD</x:v>
      </x:c>
      <x:c r="E70" s="186" t="str">
        <x:v>GOLD - COMMODITY EXCHANGE INC.</x:v>
      </x:c>
      <x:c r="F70" s="186" t="n">
        <x:v>558398</x:v>
      </x:c>
      <x:c r="G70" s="186" t="n">
        <x:v>22280</x:v>
      </x:c>
      <x:c r="H70" s="186" t="n">
        <x:v>158022</x:v>
      </x:c>
      <x:c r="I70" s="186" t="n">
        <x:f>G70-H70</x:f>
        <x:v>-135742</x:v>
      </x:c>
      <x:c r="J70" s="186" t="n">
        <x:v>31637</x:v>
      </x:c>
      <x:c r="K70" s="186" t="n">
        <x:v>197108</x:v>
      </x:c>
      <x:c r="L70" s="186" t="n">
        <x:f>J70-K70</x:f>
        <x:v>-165471</x:v>
      </x:c>
      <x:c r="M70" s="186" t="n">
        <x:v>266680</x:v>
      </x:c>
      <x:c r="N70" s="186" t="n">
        <x:v>35086</x:v>
      </x:c>
      <x:c r="O70" s="186" t="n">
        <x:f>M70-N70</x:f>
        <x:v>231594</x:v>
      </x:c>
      <x:c r="P70" s="186" t="n">
        <x:v>73906</x:v>
      </x:c>
      <x:c r="Q70" s="186" t="n">
        <x:v>29159</x:v>
      </x:c>
      <x:c r="R70" s="186" t="n">
        <x:f>P70-Q70</x:f>
        <x:v>44747</x:v>
      </x:c>
      <x:c r="S70" s="186" t="n">
        <x:v>53666</x:v>
      </x:c>
      <x:c r="T70" s="186" t="n">
        <x:v>28794</x:v>
      </x:c>
      <x:c r="U70" s="186" t="n">
        <x:f>S70-T70</x:f>
        <x:v>24872</x:v>
      </x:c>
      <x:c r="V70" s="196" t="n">
        <x:f>IFERROR(O70/F70,"")</x:f>
        <x:v>0.41474718748992656</x:v>
      </x:c>
      <x:c r="W70" s="196" t="n">
        <x:f>IFERROR(I70/F70,"")</x:f>
        <x:v>-0.24309184488483124</x:v>
      </x:c>
    </x:row>
    <x:row r="71">
      <x:c r="A71" s="186" t="str">
        <x:v>Silver</x:v>
      </x:c>
      <x:c r="B71" s="187" t="n">
        <x:v>42612</x:v>
      </x:c>
      <x:c r="C71" s="187" t="n">
        <x:v>42615</x:v>
      </x:c>
      <x:c r="D71" s="186" t="str">
        <x:v>084691-SILVER</x:v>
      </x:c>
      <x:c r="E71" s="186" t="str">
        <x:v>SILVER - COMMODITY EXCHANGE INC.</x:v>
      </x:c>
      <x:c r="F71" s="186" t="n">
        <x:v>189416</x:v>
      </x:c>
      <x:c r="G71" s="186" t="n">
        <x:v>13853</x:v>
      </x:c>
      <x:c r="H71" s="186" t="n">
        <x:v>69934</x:v>
      </x:c>
      <x:c r="I71" s="186" t="n">
        <x:f>G71-H71</x:f>
        <x:v>-56081</x:v>
      </x:c>
      <x:c r="J71" s="186" t="n">
        <x:v>26934</x:v>
      </x:c>
      <x:c r="K71" s="186" t="n">
        <x:v>66531</x:v>
      </x:c>
      <x:c r="L71" s="186" t="n">
        <x:f>J71-K71</x:f>
        <x:v>-39597</x:v>
      </x:c>
      <x:c r="M71" s="186" t="n">
        <x:v>93040</x:v>
      </x:c>
      <x:c r="N71" s="186" t="n">
        <x:v>20542</x:v>
      </x:c>
      <x:c r="O71" s="186" t="n">
        <x:f>M71-N71</x:f>
        <x:v>72498</x:v>
      </x:c>
      <x:c r="P71" s="186" t="n">
        <x:v>21190</x:v>
      </x:c>
      <x:c r="Q71" s="186" t="n">
        <x:v>9334</x:v>
      </x:c>
      <x:c r="R71" s="186" t="n">
        <x:f>P71-Q71</x:f>
        <x:v>11856</x:v>
      </x:c>
      <x:c r="S71" s="186" t="n">
        <x:v>23375</x:v>
      </x:c>
      <x:c r="T71" s="186" t="n">
        <x:v>12051</x:v>
      </x:c>
      <x:c r="U71" s="186" t="n">
        <x:f>S71-T71</x:f>
        <x:v>11324</x:v>
      </x:c>
      <x:c r="V71" s="196" t="n">
        <x:f>IFERROR(O71/F71,"")</x:f>
        <x:v>0.38274485787895424</x:v>
      </x:c>
      <x:c r="W71" s="196" t="n">
        <x:f>IFERROR(I71/F71,"")</x:f>
        <x:v>-0.29607319339443344</x:v>
      </x:c>
    </x:row>
    <x:row r="72">
      <x:c r="A72" s="186" t="str">
        <x:v>Gold</x:v>
      </x:c>
      <x:c r="B72" s="187" t="n">
        <x:v>42619</x:v>
      </x:c>
      <x:c r="C72" s="187" t="n">
        <x:v>42622</x:v>
      </x:c>
      <x:c r="D72" s="186" t="str">
        <x:v>088691-GOLD</x:v>
      </x:c>
      <x:c r="E72" s="186" t="str">
        <x:v>GOLD - COMMODITY EXCHANGE INC.</x:v>
      </x:c>
      <x:c r="F72" s="186" t="n">
        <x:v>590656</x:v>
      </x:c>
      <x:c r="G72" s="186" t="n">
        <x:v>22474</x:v>
      </x:c>
      <x:c r="H72" s="186" t="n">
        <x:v>176277</x:v>
      </x:c>
      <x:c r="I72" s="186" t="n">
        <x:f>G72-H72</x:f>
        <x:v>-153803</x:v>
      </x:c>
      <x:c r="J72" s="186" t="n">
        <x:v>28000</x:v>
      </x:c>
      <x:c r="K72" s="186" t="n">
        <x:v>204170</x:v>
      </x:c>
      <x:c r="L72" s="186" t="n">
        <x:f>J72-K72</x:f>
        <x:v>-176170</x:v>
      </x:c>
      <x:c r="M72" s="186" t="n">
        <x:v>291692</x:v>
      </x:c>
      <x:c r="N72" s="186" t="n">
        <x:v>22157</x:v>
      </x:c>
      <x:c r="O72" s="186" t="n">
        <x:f>M72-N72</x:f>
        <x:v>269535</x:v>
      </x:c>
      <x:c r="P72" s="186" t="n">
        <x:v>78683</x:v>
      </x:c>
      <x:c r="Q72" s="186" t="n">
        <x:v>40358</x:v>
      </x:c>
      <x:c r="R72" s="186" t="n">
        <x:f>P72-Q72</x:f>
        <x:v>38325</x:v>
      </x:c>
      <x:c r="S72" s="186" t="n">
        <x:v>53939</x:v>
      </x:c>
      <x:c r="T72" s="186" t="n">
        <x:v>31826</x:v>
      </x:c>
      <x:c r="U72" s="186" t="n">
        <x:f>S72-T72</x:f>
        <x:v>22113</x:v>
      </x:c>
      <x:c r="V72" s="196" t="n">
        <x:f>IFERROR(O72/F72,"")</x:f>
        <x:v>0.4563316041824683</x:v>
      </x:c>
      <x:c r="W72" s="196" t="n">
        <x:f>IFERROR(I72/F72,"")</x:f>
        <x:v>-0.26039352855130565</x:v>
      </x:c>
    </x:row>
    <x:row r="73">
      <x:c r="A73" s="186" t="str">
        <x:v>Silver</x:v>
      </x:c>
      <x:c r="B73" s="187" t="n">
        <x:v>42619</x:v>
      </x:c>
      <x:c r="C73" s="187" t="n">
        <x:v>42622</x:v>
      </x:c>
      <x:c r="D73" s="186" t="str">
        <x:v>084691-SILVER</x:v>
      </x:c>
      <x:c r="E73" s="186" t="str">
        <x:v>SILVER - COMMODITY EXCHANGE INC.</x:v>
      </x:c>
      <x:c r="F73" s="186" t="n">
        <x:v>199197</x:v>
      </x:c>
      <x:c r="G73" s="186" t="n">
        <x:v>13490</x:v>
      </x:c>
      <x:c r="H73" s="186" t="n">
        <x:v>72123</x:v>
      </x:c>
      <x:c r="I73" s="186" t="n">
        <x:f>G73-H73</x:f>
        <x:v>-58633</x:v>
      </x:c>
      <x:c r="J73" s="186" t="n">
        <x:v>28524</x:v>
      </x:c>
      <x:c r="K73" s="186" t="n">
        <x:v>69473</x:v>
      </x:c>
      <x:c r="L73" s="186" t="n">
        <x:f>J73-K73</x:f>
        <x:v>-40949</x:v>
      </x:c>
      <x:c r="M73" s="186" t="n">
        <x:v>98888</x:v>
      </x:c>
      <x:c r="N73" s="186" t="n">
        <x:v>19001</x:v>
      </x:c>
      <x:c r="O73" s="186" t="n">
        <x:f>M73-N73</x:f>
        <x:v>79887</x:v>
      </x:c>
      <x:c r="P73" s="186" t="n">
        <x:v>19171</x:v>
      </x:c>
      <x:c r="Q73" s="186" t="n">
        <x:v>11030</x:v>
      </x:c>
      <x:c r="R73" s="186" t="n">
        <x:f>P73-Q73</x:f>
        <x:v>8141</x:v>
      </x:c>
      <x:c r="S73" s="186" t="n">
        <x:v>26354</x:v>
      </x:c>
      <x:c r="T73" s="186" t="n">
        <x:v>14800</x:v>
      </x:c>
      <x:c r="U73" s="186" t="n">
        <x:f>S73-T73</x:f>
        <x:v>11554</x:v>
      </x:c>
      <x:c r="V73" s="196" t="n">
        <x:f>IFERROR(O73/F73,"")</x:f>
        <x:v>0.40104519646380216</x:v>
      </x:c>
      <x:c r="W73" s="196" t="n">
        <x:f>IFERROR(I73/F73,"")</x:f>
        <x:v>-0.29434680241168293</x:v>
      </x:c>
    </x:row>
    <x:row r="74">
      <x:c r="A74" s="186" t="str">
        <x:v>Gold</x:v>
      </x:c>
      <x:c r="B74" s="187" t="n">
        <x:v>42626</x:v>
      </x:c>
      <x:c r="C74" s="187" t="n">
        <x:v>42629</x:v>
      </x:c>
      <x:c r="D74" s="186" t="str">
        <x:v>088691-GOLD</x:v>
      </x:c>
      <x:c r="E74" s="186" t="str">
        <x:v>GOLD - COMMODITY EXCHANGE INC.</x:v>
      </x:c>
      <x:c r="F74" s="186" t="n">
        <x:v>575002</x:v>
      </x:c>
      <x:c r="G74" s="186" t="n">
        <x:v>24700</x:v>
      </x:c>
      <x:c r="H74" s="186" t="n">
        <x:v>173534</x:v>
      </x:c>
      <x:c r="I74" s="186" t="n">
        <x:f>G74-H74</x:f>
        <x:v>-148834</x:v>
      </x:c>
      <x:c r="J74" s="186" t="n">
        <x:v>29423</x:v>
      </x:c>
      <x:c r="K74" s="186" t="n">
        <x:v>191960</x:v>
      </x:c>
      <x:c r="L74" s="186" t="n">
        <x:f>J74-K74</x:f>
        <x:v>-162537</x:v>
      </x:c>
      <x:c r="M74" s="186" t="n">
        <x:v>271631</x:v>
      </x:c>
      <x:c r="N74" s="186" t="n">
        <x:v>28654</x:v>
      </x:c>
      <x:c r="O74" s="186" t="n">
        <x:f>M74-N74</x:f>
        <x:v>242977</x:v>
      </x:c>
      <x:c r="P74" s="186" t="n">
        <x:v>80145</x:v>
      </x:c>
      <x:c r="Q74" s="186" t="n">
        <x:v>37709</x:v>
      </x:c>
      <x:c r="R74" s="186" t="n">
        <x:f>P74-Q74</x:f>
        <x:v>42436</x:v>
      </x:c>
      <x:c r="S74" s="186" t="n">
        <x:v>53893</x:v>
      </x:c>
      <x:c r="T74" s="186" t="n">
        <x:v>27935</x:v>
      </x:c>
      <x:c r="U74" s="186" t="n">
        <x:f>S74-T74</x:f>
        <x:v>25958</x:v>
      </x:c>
      <x:c r="V74" s="196" t="n">
        <x:f>IFERROR(O74/F74,"")</x:f>
        <x:v>0.42256722585312745</x:v>
      </x:c>
      <x:c r="W74" s="196" t="n">
        <x:f>IFERROR(I74/F74,"")</x:f>
        <x:v>-0.2588408388144737</x:v>
      </x:c>
    </x:row>
    <x:row r="75">
      <x:c r="A75" s="186" t="str">
        <x:v>Silver</x:v>
      </x:c>
      <x:c r="B75" s="187" t="n">
        <x:v>42626</x:v>
      </x:c>
      <x:c r="C75" s="187" t="n">
        <x:v>42629</x:v>
      </x:c>
      <x:c r="D75" s="186" t="str">
        <x:v>084691-SILVER</x:v>
      </x:c>
      <x:c r="E75" s="186" t="str">
        <x:v>SILVER - COMMODITY EXCHANGE INC.</x:v>
      </x:c>
      <x:c r="F75" s="186" t="n">
        <x:v>193953</x:v>
      </x:c>
      <x:c r="G75" s="186" t="n">
        <x:v>13495</x:v>
      </x:c>
      <x:c r="H75" s="186" t="n">
        <x:v>72426</x:v>
      </x:c>
      <x:c r="I75" s="186" t="n">
        <x:f>G75-H75</x:f>
        <x:v>-58931</x:v>
      </x:c>
      <x:c r="J75" s="186" t="n">
        <x:v>27192</x:v>
      </x:c>
      <x:c r="K75" s="186" t="n">
        <x:v>64936</x:v>
      </x:c>
      <x:c r="L75" s="186" t="n">
        <x:f>J75-K75</x:f>
        <x:v>-37744</x:v>
      </x:c>
      <x:c r="M75" s="186" t="n">
        <x:v>93682</x:v>
      </x:c>
      <x:c r="N75" s="186" t="n">
        <x:v>22929</x:v>
      </x:c>
      <x:c r="O75" s="186" t="n">
        <x:f>M75-N75</x:f>
        <x:v>70753</x:v>
      </x:c>
      <x:c r="P75" s="186" t="n">
        <x:v>20110</x:v>
      </x:c>
      <x:c r="Q75" s="186" t="n">
        <x:v>9295</x:v>
      </x:c>
      <x:c r="R75" s="186" t="n">
        <x:f>P75-Q75</x:f>
        <x:v>10815</x:v>
      </x:c>
      <x:c r="S75" s="186" t="n">
        <x:v>26508</x:v>
      </x:c>
      <x:c r="T75" s="186" t="n">
        <x:v>11401</x:v>
      </x:c>
      <x:c r="U75" s="186" t="n">
        <x:f>S75-T75</x:f>
        <x:v>15107</x:v>
      </x:c>
      <x:c r="V75" s="196" t="n">
        <x:f>IFERROR(O75/F75,"")</x:f>
        <x:v>0.36479456363139523</x:v>
      </x:c>
      <x:c r="W75" s="196" t="n">
        <x:f>IFERROR(I75/F75,"")</x:f>
        <x:v>-0.3038416523590767</x:v>
      </x:c>
    </x:row>
    <x:row r="76">
      <x:c r="A76" s="186" t="str">
        <x:v>Gold</x:v>
      </x:c>
      <x:c r="B76" s="187" t="n">
        <x:v>42633</x:v>
      </x:c>
      <x:c r="C76" s="187" t="n">
        <x:v>42636</x:v>
      </x:c>
      <x:c r="D76" s="186" t="str">
        <x:v>088691-GOLD</x:v>
      </x:c>
      <x:c r="E76" s="186" t="str">
        <x:v>GOLD - COMMODITY EXCHANGE INC.</x:v>
      </x:c>
      <x:c r="F76" s="186" t="n">
        <x:v>558791</x:v>
      </x:c>
      <x:c r="G76" s="186" t="n">
        <x:v>25040</x:v>
      </x:c>
      <x:c r="H76" s="186" t="n">
        <x:v>163063</x:v>
      </x:c>
      <x:c r="I76" s="186" t="n">
        <x:f>G76-H76</x:f>
        <x:v>-138023</x:v>
      </x:c>
      <x:c r="J76" s="186" t="n">
        <x:v>33793</x:v>
      </x:c>
      <x:c r="K76" s="186" t="n">
        <x:v>186385</x:v>
      </x:c>
      <x:c r="L76" s="186" t="n">
        <x:f>J76-K76</x:f>
        <x:v>-152592</x:v>
      </x:c>
      <x:c r="M76" s="186" t="n">
        <x:v>246119</x:v>
      </x:c>
      <x:c r="N76" s="186" t="n">
        <x:v>32972</x:v>
      </x:c>
      <x:c r="O76" s="186" t="n">
        <x:f>M76-N76</x:f>
        <x:v>213147</x:v>
      </x:c>
      <x:c r="P76" s="186" t="n">
        <x:v>80207</x:v>
      </x:c>
      <x:c r="Q76" s="186" t="n">
        <x:v>37175</x:v>
      </x:c>
      <x:c r="R76" s="186" t="n">
        <x:f>P76-Q76</x:f>
        <x:v>43032</x:v>
      </x:c>
      <x:c r="S76" s="186" t="n">
        <x:v>61156</x:v>
      </x:c>
      <x:c r="T76" s="186" t="n">
        <x:v>26720</x:v>
      </x:c>
      <x:c r="U76" s="186" t="n">
        <x:f>S76-T76</x:f>
        <x:v>34436</x:v>
      </x:c>
      <x:c r="V76" s="196" t="n">
        <x:f>IFERROR(O76/F76,"")</x:f>
        <x:v>0.38144315137502216</x:v>
      </x:c>
      <x:c r="W76" s="196" t="n">
        <x:f>IFERROR(I76/F76,"")</x:f>
        <x:v>-0.24700290448486106</x:v>
      </x:c>
    </x:row>
    <x:row r="77">
      <x:c r="A77" s="186" t="str">
        <x:v>Silver</x:v>
      </x:c>
      <x:c r="B77" s="187" t="n">
        <x:v>42633</x:v>
      </x:c>
      <x:c r="C77" s="187" t="n">
        <x:v>42636</x:v>
      </x:c>
      <x:c r="D77" s="186" t="str">
        <x:v>084691-SILVER</x:v>
      </x:c>
      <x:c r="E77" s="186" t="str">
        <x:v>SILVER - COMMODITY EXCHANGE INC.</x:v>
      </x:c>
      <x:c r="F77" s="186" t="n">
        <x:v>193501</x:v>
      </x:c>
      <x:c r="G77" s="186" t="n">
        <x:v>13918</x:v>
      </x:c>
      <x:c r="H77" s="186" t="n">
        <x:v>72901</x:v>
      </x:c>
      <x:c r="I77" s="186" t="n">
        <x:f>G77-H77</x:f>
        <x:v>-58983</x:v>
      </x:c>
      <x:c r="J77" s="186" t="n">
        <x:v>26922</x:v>
      </x:c>
      <x:c r="K77" s="186" t="n">
        <x:v>64884</x:v>
      </x:c>
      <x:c r="L77" s="186" t="n">
        <x:f>J77-K77</x:f>
        <x:v>-37962</x:v>
      </x:c>
      <x:c r="M77" s="186" t="n">
        <x:v>93440</x:v>
      </x:c>
      <x:c r="N77" s="186" t="n">
        <x:v>22320</x:v>
      </x:c>
      <x:c r="O77" s="186" t="n">
        <x:f>M77-N77</x:f>
        <x:v>71120</x:v>
      </x:c>
      <x:c r="P77" s="186" t="n">
        <x:v>20127</x:v>
      </x:c>
      <x:c r="Q77" s="186" t="n">
        <x:v>8612</x:v>
      </x:c>
      <x:c r="R77" s="186" t="n">
        <x:f>P77-Q77</x:f>
        <x:v>11515</x:v>
      </x:c>
      <x:c r="S77" s="186" t="n">
        <x:v>25686</x:v>
      </x:c>
      <x:c r="T77" s="186" t="n">
        <x:v>11376</x:v>
      </x:c>
      <x:c r="U77" s="186" t="n">
        <x:f>S77-T77</x:f>
        <x:v>14310</x:v>
      </x:c>
      <x:c r="V77" s="196" t="n">
        <x:f>IFERROR(O77/F77,"")</x:f>
        <x:v>0.36754332018955976</x:v>
      </x:c>
      <x:c r="W77" s="196" t="n">
        <x:f>IFERROR(I77/F77,"")</x:f>
        <x:v>-0.3048201301285265</x:v>
      </x:c>
    </x:row>
    <x:row r="78">
      <x:c r="A78" s="186" t="str">
        <x:v>Gold</x:v>
      </x:c>
      <x:c r="B78" s="187" t="n">
        <x:v>42640</x:v>
      </x:c>
      <x:c r="C78" s="187" t="n">
        <x:v>42643</x:v>
      </x:c>
      <x:c r="D78" s="186" t="str">
        <x:v>088691-GOLD</x:v>
      </x:c>
      <x:c r="E78" s="186" t="str">
        <x:v>GOLD - COMMODITY EXCHANGE INC.</x:v>
      </x:c>
      <x:c r="F78" s="186" t="n">
        <x:v>583161</x:v>
      </x:c>
      <x:c r="G78" s="186" t="n">
        <x:v>26681</x:v>
      </x:c>
      <x:c r="H78" s="186" t="n">
        <x:v>176013</x:v>
      </x:c>
      <x:c r="I78" s="186" t="n">
        <x:f>G78-H78</x:f>
        <x:v>-149332</x:v>
      </x:c>
      <x:c r="J78" s="186" t="n">
        <x:v>32038</x:v>
      </x:c>
      <x:c r="K78" s="186" t="n">
        <x:v>197300</x:v>
      </x:c>
      <x:c r="L78" s="186" t="n">
        <x:f>J78-K78</x:f>
        <x:v>-165262</x:v>
      </x:c>
      <x:c r="M78" s="186" t="n">
        <x:v>282151</x:v>
      </x:c>
      <x:c r="N78" s="186" t="n">
        <x:v>26974</x:v>
      </x:c>
      <x:c r="O78" s="186" t="n">
        <x:f>M78-N78</x:f>
        <x:v>255177</x:v>
      </x:c>
      <x:c r="P78" s="186" t="n">
        <x:v>76821</x:v>
      </x:c>
      <x:c r="Q78" s="186" t="n">
        <x:v>40094</x:v>
      </x:c>
      <x:c r="R78" s="186" t="n">
        <x:f>P78-Q78</x:f>
        <x:v>36727</x:v>
      </x:c>
      <x:c r="S78" s="186" t="n">
        <x:v>53108</x:v>
      </x:c>
      <x:c r="T78" s="186" t="n">
        <x:v>30418</x:v>
      </x:c>
      <x:c r="U78" s="186" t="n">
        <x:f>S78-T78</x:f>
        <x:v>22690</x:v>
      </x:c>
      <x:c r="V78" s="196" t="n">
        <x:f>IFERROR(O78/F78,"")</x:f>
        <x:v>0.43757555803628845</x:v>
      </x:c>
      <x:c r="W78" s="196" t="n">
        <x:f>IFERROR(I78/F78,"")</x:f>
        <x:v>-0.2560733656743164</x:v>
      </x:c>
    </x:row>
    <x:row r="79">
      <x:c r="A79" s="186" t="str">
        <x:v>Silver</x:v>
      </x:c>
      <x:c r="B79" s="187" t="n">
        <x:v>42640</x:v>
      </x:c>
      <x:c r="C79" s="187" t="n">
        <x:v>42643</x:v>
      </x:c>
      <x:c r="D79" s="186" t="str">
        <x:v>084691-SILVER</x:v>
      </x:c>
      <x:c r="E79" s="186" t="str">
        <x:v>SILVER - COMMODITY EXCHANGE INC.</x:v>
      </x:c>
      <x:c r="F79" s="186" t="n">
        <x:v>201486</x:v>
      </x:c>
      <x:c r="G79" s="186" t="n">
        <x:v>12925</x:v>
      </x:c>
      <x:c r="H79" s="186" t="n">
        <x:v>75989</x:v>
      </x:c>
      <x:c r="I79" s="186" t="n">
        <x:f>G79-H79</x:f>
        <x:v>-63064</x:v>
      </x:c>
      <x:c r="J79" s="186" t="n">
        <x:v>26957</x:v>
      </x:c>
      <x:c r="K79" s="186" t="n">
        <x:v>64711</x:v>
      </x:c>
      <x:c r="L79" s="186" t="n">
        <x:f>J79-K79</x:f>
        <x:v>-37754</x:v>
      </x:c>
      <x:c r="M79" s="186" t="n">
        <x:v>97185</x:v>
      </x:c>
      <x:c r="N79" s="186" t="n">
        <x:v>20494</x:v>
      </x:c>
      <x:c r="O79" s="186" t="n">
        <x:f>M79-N79</x:f>
        <x:v>76691</x:v>
      </x:c>
      <x:c r="P79" s="186" t="n">
        <x:v>19763</x:v>
      </x:c>
      <x:c r="Q79" s="186" t="n">
        <x:v>11592</x:v>
      </x:c>
      <x:c r="R79" s="186" t="n">
        <x:f>P79-Q79</x:f>
        <x:v>8171</x:v>
      </x:c>
      <x:c r="S79" s="186" t="n">
        <x:v>27805</x:v>
      </x:c>
      <x:c r="T79" s="186" t="n">
        <x:v>11849</x:v>
      </x:c>
      <x:c r="U79" s="186" t="n">
        <x:f>S79-T79</x:f>
        <x:v>15956</x:v>
      </x:c>
      <x:c r="V79" s="196" t="n">
        <x:f>IFERROR(O79/F79,"")</x:f>
        <x:v>0.3806269418222606</x:v>
      </x:c>
      <x:c r="W79" s="196" t="n">
        <x:f>IFERROR(I79/F79,"")</x:f>
        <x:v>-0.31299445122738057</x:v>
      </x:c>
    </x:row>
    <x:row r="80">
      <x:c r="A80" s="186" t="str">
        <x:v>Gold</x:v>
      </x:c>
      <x:c r="B80" s="187" t="n">
        <x:v>42647</x:v>
      </x:c>
      <x:c r="C80" s="187" t="n">
        <x:v>42650</x:v>
      </x:c>
      <x:c r="D80" s="186" t="str">
        <x:v>088691-GOLD</x:v>
      </x:c>
      <x:c r="E80" s="186" t="str">
        <x:v>GOLD - COMMODITY EXCHANGE INC.</x:v>
      </x:c>
      <x:c r="F80" s="186" t="n">
        <x:v>544824</x:v>
      </x:c>
      <x:c r="G80" s="186" t="n">
        <x:v>27604</x:v>
      </x:c>
      <x:c r="H80" s="186" t="n">
        <x:v>155278</x:v>
      </x:c>
      <x:c r="I80" s="186" t="n">
        <x:f>G80-H80</x:f>
        <x:v>-127674</x:v>
      </x:c>
      <x:c r="J80" s="186" t="n">
        <x:v>29901</x:v>
      </x:c>
      <x:c r="K80" s="186" t="n">
        <x:v>173469</x:v>
      </x:c>
      <x:c r="L80" s="186" t="n">
        <x:f>J80-K80</x:f>
        <x:v>-143568</x:v>
      </x:c>
      <x:c r="M80" s="186" t="n">
        <x:v>244765</x:v>
      </x:c>
      <x:c r="N80" s="186" t="n">
        <x:v>44649</x:v>
      </x:c>
      <x:c r="O80" s="186" t="n">
        <x:f>M80-N80</x:f>
        <x:v>200116</x:v>
      </x:c>
      <x:c r="P80" s="186" t="n">
        <x:v>79371</x:v>
      </x:c>
      <x:c r="Q80" s="186" t="n">
        <x:v>33979</x:v>
      </x:c>
      <x:c r="R80" s="186" t="n">
        <x:f>P80-Q80</x:f>
        <x:v>45392</x:v>
      </x:c>
      <x:c r="S80" s="186" t="n">
        <x:v>54958</x:v>
      </x:c>
      <x:c r="T80" s="186" t="n">
        <x:v>29224</x:v>
      </x:c>
      <x:c r="U80" s="186" t="n">
        <x:f>S80-T80</x:f>
        <x:v>25734</x:v>
      </x:c>
      <x:c r="V80" s="196" t="n">
        <x:f>IFERROR(O80/F80,"")</x:f>
        <x:v>0.3673039366841402</x:v>
      </x:c>
      <x:c r="W80" s="196" t="n">
        <x:f>IFERROR(I80/F80,"")</x:f>
        <x:v>-0.23433989692084048</x:v>
      </x:c>
    </x:row>
    <x:row r="81">
      <x:c r="A81" s="186" t="str">
        <x:v>Silver</x:v>
      </x:c>
      <x:c r="B81" s="187" t="n">
        <x:v>42647</x:v>
      </x:c>
      <x:c r="C81" s="187" t="n">
        <x:v>42650</x:v>
      </x:c>
      <x:c r="D81" s="186" t="str">
        <x:v>084691-SILVER</x:v>
      </x:c>
      <x:c r="E81" s="186" t="str">
        <x:v>SILVER - COMMODITY EXCHANGE INC.</x:v>
      </x:c>
      <x:c r="F81" s="186" t="n">
        <x:v>198747</x:v>
      </x:c>
      <x:c r="G81" s="186" t="n">
        <x:v>13874</x:v>
      </x:c>
      <x:c r="H81" s="186" t="n">
        <x:v>68618</x:v>
      </x:c>
      <x:c r="I81" s="186" t="n">
        <x:f>G81-H81</x:f>
        <x:v>-54744</x:v>
      </x:c>
      <x:c r="J81" s="186" t="n">
        <x:v>24750</x:v>
      </x:c>
      <x:c r="K81" s="186" t="n">
        <x:v>60902</x:v>
      </x:c>
      <x:c r="L81" s="186" t="n">
        <x:f>J81-K81</x:f>
        <x:v>-36152</x:v>
      </x:c>
      <x:c r="M81" s="186" t="n">
        <x:v>88384</x:v>
      </x:c>
      <x:c r="N81" s="186" t="n">
        <x:v>23877</x:v>
      </x:c>
      <x:c r="O81" s="186" t="n">
        <x:f>M81-N81</x:f>
        <x:v>64507</x:v>
      </x:c>
      <x:c r="P81" s="186" t="n">
        <x:v>22380</x:v>
      </x:c>
      <x:c r="Q81" s="186" t="n">
        <x:v>11084</x:v>
      </x:c>
      <x:c r="R81" s="186" t="n">
        <x:f>P81-Q81</x:f>
        <x:v>11296</x:v>
      </x:c>
      <x:c r="S81" s="186" t="n">
        <x:v>26981</x:v>
      </x:c>
      <x:c r="T81" s="186" t="n">
        <x:v>11888</x:v>
      </x:c>
      <x:c r="U81" s="186" t="n">
        <x:f>S81-T81</x:f>
        <x:v>15093</x:v>
      </x:c>
      <x:c r="V81" s="196" t="n">
        <x:f>IFERROR(O81/F81,"")</x:f>
        <x:v>0.3245684211585584</x:v>
      </x:c>
      <x:c r="W81" s="196" t="n">
        <x:f>IFERROR(I81/F81,"")</x:f>
        <x:v>-0.2754456671044091</x:v>
      </x:c>
    </x:row>
    <x:row r="82">
      <x:c r="A82" s="186" t="str">
        <x:v>Gold</x:v>
      </x:c>
      <x:c r="B82" s="187" t="n">
        <x:v>42654</x:v>
      </x:c>
      <x:c r="C82" s="187" t="n">
        <x:v>42657</x:v>
      </x:c>
      <x:c r="D82" s="186" t="str">
        <x:v>088691-GOLD</x:v>
      </x:c>
      <x:c r="E82" s="186" t="str">
        <x:v>GOLD - COMMODITY EXCHANGE INC.</x:v>
      </x:c>
      <x:c r="F82" s="186" t="n">
        <x:v>500328</x:v>
      </x:c>
      <x:c r="G82" s="186" t="n">
        <x:v>28660</x:v>
      </x:c>
      <x:c r="H82" s="186" t="n">
        <x:v>143233</x:v>
      </x:c>
      <x:c r="I82" s="186" t="n">
        <x:f>G82-H82</x:f>
        <x:v>-114573</x:v>
      </x:c>
      <x:c r="J82" s="186" t="n">
        <x:v>34348</x:v>
      </x:c>
      <x:c r="K82" s="186" t="n">
        <x:v>140974</x:v>
      </x:c>
      <x:c r="L82" s="186" t="n">
        <x:f>J82-K82</x:f>
        <x:v>-106626</x:v>
      </x:c>
      <x:c r="M82" s="186" t="n">
        <x:v>203033</x:v>
      </x:c>
      <x:c r="N82" s="186" t="n">
        <x:v>54240</x:v>
      </x:c>
      <x:c r="O82" s="186" t="n">
        <x:f>M82-N82</x:f>
        <x:v>148793</x:v>
      </x:c>
      <x:c r="P82" s="186" t="n">
        <x:v>80353</x:v>
      </x:c>
      <x:c r="Q82" s="186" t="n">
        <x:v>33927</x:v>
      </x:c>
      <x:c r="R82" s="186" t="n">
        <x:f>P82-Q82</x:f>
        <x:v>46426</x:v>
      </x:c>
      <x:c r="S82" s="186" t="n">
        <x:v>53697</x:v>
      </x:c>
      <x:c r="T82" s="186" t="n">
        <x:v>27717</x:v>
      </x:c>
      <x:c r="U82" s="186" t="n">
        <x:f>S82-T82</x:f>
        <x:v>25980</x:v>
      </x:c>
      <x:c r="V82" s="196" t="n">
        <x:f>IFERROR(O82/F82,"")</x:f>
        <x:v>0.2973909115620153</x:v>
      </x:c>
      <x:c r="W82" s="196" t="n">
        <x:f>IFERROR(I82/F82,"")</x:f>
        <x:v>-0.22899577876912744</x:v>
      </x:c>
    </x:row>
    <x:row r="83">
      <x:c r="A83" s="186" t="str">
        <x:v>Silver</x:v>
      </x:c>
      <x:c r="B83" s="187" t="n">
        <x:v>42654</x:v>
      </x:c>
      <x:c r="C83" s="187" t="n">
        <x:v>42657</x:v>
      </x:c>
      <x:c r="D83" s="186" t="str">
        <x:v>084691-SILVER</x:v>
      </x:c>
      <x:c r="E83" s="186" t="str">
        <x:v>SILVER - COMMODITY EXCHANGE INC.</x:v>
      </x:c>
      <x:c r="F83" s="186" t="n">
        <x:v>187469</x:v>
      </x:c>
      <x:c r="G83" s="186" t="n">
        <x:v>15209</x:v>
      </x:c>
      <x:c r="H83" s="186" t="n">
        <x:v>65445</x:v>
      </x:c>
      <x:c r="I83" s="186" t="n">
        <x:f>G83-H83</x:f>
        <x:v>-50236</x:v>
      </x:c>
      <x:c r="J83" s="186" t="n">
        <x:v>26226</x:v>
      </x:c>
      <x:c r="K83" s="186" t="n">
        <x:v>53625</x:v>
      </x:c>
      <x:c r="L83" s="186" t="n">
        <x:f>J83-K83</x:f>
        <x:v>-27399</x:v>
      </x:c>
      <x:c r="M83" s="186" t="n">
        <x:v>72048</x:v>
      </x:c>
      <x:c r="N83" s="186" t="n">
        <x:v>26502</x:v>
      </x:c>
      <x:c r="O83" s="186" t="n">
        <x:f>M83-N83</x:f>
        <x:v>45546</x:v>
      </x:c>
      <x:c r="P83" s="186" t="n">
        <x:v>25479</x:v>
      </x:c>
      <x:c r="Q83" s="186" t="n">
        <x:v>8132</x:v>
      </x:c>
      <x:c r="R83" s="186" t="n">
        <x:f>P83-Q83</x:f>
        <x:v>17347</x:v>
      </x:c>
      <x:c r="S83" s="186" t="n">
        <x:v>26315</x:v>
      </x:c>
      <x:c r="T83" s="186" t="n">
        <x:v>11573</x:v>
      </x:c>
      <x:c r="U83" s="186" t="n">
        <x:f>S83-T83</x:f>
        <x:v>14742</x:v>
      </x:c>
      <x:c r="V83" s="196" t="n">
        <x:f>IFERROR(O83/F83,"")</x:f>
        <x:v>0.24295216809179118</x:v>
      </x:c>
      <x:c r="W83" s="196" t="n">
        <x:f>IFERROR(I83/F83,"")</x:f>
        <x:v>-0.2679696376467576</x:v>
      </x:c>
    </x:row>
    <x:row r="84">
      <x:c r="A84" s="186" t="str">
        <x:v>Gold</x:v>
      </x:c>
      <x:c r="B84" s="187" t="n">
        <x:v>42661</x:v>
      </x:c>
      <x:c r="C84" s="187" t="n">
        <x:v>42664</x:v>
      </x:c>
      <x:c r="D84" s="186" t="str">
        <x:v>088691-GOLD</x:v>
      </x:c>
      <x:c r="E84" s="186" t="str">
        <x:v>GOLD - COMMODITY EXCHANGE INC.</x:v>
      </x:c>
      <x:c r="F84" s="186" t="n">
        <x:v>497061</x:v>
      </x:c>
      <x:c r="G84" s="186" t="n">
        <x:v>30322</x:v>
      </x:c>
      <x:c r="H84" s="186" t="n">
        <x:v>136610</x:v>
      </x:c>
      <x:c r="I84" s="186" t="n">
        <x:f>G84-H84</x:f>
        <x:v>-106288</x:v>
      </x:c>
      <x:c r="J84" s="186" t="n">
        <x:v>35745</x:v>
      </x:c>
      <x:c r="K84" s="186" t="n">
        <x:v>132128</x:v>
      </x:c>
      <x:c r="L84" s="186" t="n">
        <x:f>J84-K84</x:f>
        <x:v>-96383</x:v>
      </x:c>
      <x:c r="M84" s="186" t="n">
        <x:v>190008</x:v>
      </x:c>
      <x:c r="N84" s="186" t="n">
        <x:v>59054</x:v>
      </x:c>
      <x:c r="O84" s="186" t="n">
        <x:f>M84-N84</x:f>
        <x:v>130954</x:v>
      </x:c>
      <x:c r="P84" s="186" t="n">
        <x:v>84337</x:v>
      </x:c>
      <x:c r="Q84" s="186" t="n">
        <x:v>35673</x:v>
      </x:c>
      <x:c r="R84" s="186" t="n">
        <x:f>P84-Q84</x:f>
        <x:v>48664</x:v>
      </x:c>
      <x:c r="S84" s="186" t="n">
        <x:v>51020</x:v>
      </x:c>
      <x:c r="T84" s="186" t="n">
        <x:v>27967</x:v>
      </x:c>
      <x:c r="U84" s="186" t="n">
        <x:f>S84-T84</x:f>
        <x:v>23053</x:v>
      </x:c>
      <x:c r="V84" s="196" t="n">
        <x:f>IFERROR(O84/F84,"")</x:f>
        <x:v>0.2634565978823525</x:v>
      </x:c>
      <x:c r="W84" s="196" t="n">
        <x:f>IFERROR(I84/F84,"")</x:f>
        <x:v>-0.21383290984406342</x:v>
      </x:c>
    </x:row>
    <x:row r="85">
      <x:c r="A85" s="186" t="str">
        <x:v>Silver</x:v>
      </x:c>
      <x:c r="B85" s="187" t="n">
        <x:v>42661</x:v>
      </x:c>
      <x:c r="C85" s="187" t="n">
        <x:v>42664</x:v>
      </x:c>
      <x:c r="D85" s="186" t="str">
        <x:v>084691-SILVER</x:v>
      </x:c>
      <x:c r="E85" s="186" t="str">
        <x:v>SILVER - COMMODITY EXCHANGE INC.</x:v>
      </x:c>
      <x:c r="F85" s="186" t="n">
        <x:v>189229</x:v>
      </x:c>
      <x:c r="G85" s="186" t="n">
        <x:v>15080</x:v>
      </x:c>
      <x:c r="H85" s="186" t="n">
        <x:v>64050</x:v>
      </x:c>
      <x:c r="I85" s="186" t="n">
        <x:f>G85-H85</x:f>
        <x:v>-48970</x:v>
      </x:c>
      <x:c r="J85" s="186" t="n">
        <x:v>26987</x:v>
      </x:c>
      <x:c r="K85" s="186" t="n">
        <x:v>52928</x:v>
      </x:c>
      <x:c r="L85" s="186" t="n">
        <x:f>J85-K85</x:f>
        <x:v>-25941</x:v>
      </x:c>
      <x:c r="M85" s="186" t="n">
        <x:v>68579</x:v>
      </x:c>
      <x:c r="N85" s="186" t="n">
        <x:v>27513</x:v>
      </x:c>
      <x:c r="O85" s="186" t="n">
        <x:f>M85-N85</x:f>
        <x:v>41066</x:v>
      </x:c>
      <x:c r="P85" s="186" t="n">
        <x:v>25651</x:v>
      </x:c>
      <x:c r="Q85" s="186" t="n">
        <x:v>7431</x:v>
      </x:c>
      <x:c r="R85" s="186" t="n">
        <x:f>P85-Q85</x:f>
        <x:v>18220</x:v>
      </x:c>
      <x:c r="S85" s="186" t="n">
        <x:v>26658</x:v>
      </x:c>
      <x:c r="T85" s="186" t="n">
        <x:v>11033</x:v>
      </x:c>
      <x:c r="U85" s="186" t="n">
        <x:f>S85-T85</x:f>
        <x:v>15625</x:v>
      </x:c>
      <x:c r="V85" s="196" t="n">
        <x:f>IFERROR(O85/F85,"")</x:f>
        <x:v>0.21701747617965533</x:v>
      </x:c>
      <x:c r="W85" s="196" t="n">
        <x:f>IFERROR(I85/F85,"")</x:f>
        <x:v>-0.25878697239852244</x:v>
      </x:c>
    </x:row>
    <x:row r="86">
      <x:c r="A86" s="186" t="str">
        <x:v>Gold</x:v>
      </x:c>
      <x:c r="B86" s="187" t="n">
        <x:v>42668</x:v>
      </x:c>
      <x:c r="C86" s="187" t="n">
        <x:v>42671</x:v>
      </x:c>
      <x:c r="D86" s="186" t="str">
        <x:v>088691-GOLD</x:v>
      </x:c>
      <x:c r="E86" s="186" t="str">
        <x:v>GOLD - COMMODITY EXCHANGE INC.</x:v>
      </x:c>
      <x:c r="F86" s="186" t="n">
        <x:v>507617</x:v>
      </x:c>
      <x:c r="G86" s="186" t="n">
        <x:v>29237</x:v>
      </x:c>
      <x:c r="H86" s="186" t="n">
        <x:v>140772</x:v>
      </x:c>
      <x:c r="I86" s="186" t="n">
        <x:f>G86-H86</x:f>
        <x:v>-111535</x:v>
      </x:c>
      <x:c r="J86" s="186" t="n">
        <x:v>34869</x:v>
      </x:c>
      <x:c r="K86" s="186" t="n">
        <x:v>140933</x:v>
      </x:c>
      <x:c r="L86" s="186" t="n">
        <x:f>J86-K86</x:f>
        <x:v>-106064</x:v>
      </x:c>
      <x:c r="M86" s="186" t="n">
        <x:v>199094</x:v>
      </x:c>
      <x:c r="N86" s="186" t="n">
        <x:v>55184</x:v>
      </x:c>
      <x:c r="O86" s="186" t="n">
        <x:f>M86-N86</x:f>
        <x:v>143910</x:v>
      </x:c>
      <x:c r="P86" s="186" t="n">
        <x:v>86282</x:v>
      </x:c>
      <x:c r="Q86" s="186" t="n">
        <x:v>33212</x:v>
      </x:c>
      <x:c r="R86" s="186" t="n">
        <x:f>P86-Q86</x:f>
        <x:v>53070</x:v>
      </x:c>
      <x:c r="S86" s="186" t="n">
        <x:v>49625</x:v>
      </x:c>
      <x:c r="T86" s="186" t="n">
        <x:v>29006</x:v>
      </x:c>
      <x:c r="U86" s="186" t="n">
        <x:f>S86-T86</x:f>
        <x:v>20619</x:v>
      </x:c>
      <x:c r="V86" s="196" t="n">
        <x:f>IFERROR(O86/F86,"")</x:f>
        <x:v>0.28350114357872175</x:v>
      </x:c>
      <x:c r="W86" s="196" t="n">
        <x:f>IFERROR(I86/F86,"")</x:f>
        <x:v>-0.21972274372213696</x:v>
      </x:c>
    </x:row>
    <x:row r="87">
      <x:c r="A87" s="186" t="str">
        <x:v>Silver</x:v>
      </x:c>
      <x:c r="B87" s="187" t="n">
        <x:v>42668</x:v>
      </x:c>
      <x:c r="C87" s="187" t="n">
        <x:v>42671</x:v>
      </x:c>
      <x:c r="D87" s="186" t="str">
        <x:v>084691-SILVER</x:v>
      </x:c>
      <x:c r="E87" s="186" t="str">
        <x:v>SILVER - COMMODITY EXCHANGE INC.</x:v>
      </x:c>
      <x:c r="F87" s="186" t="n">
        <x:v>196311</x:v>
      </x:c>
      <x:c r="G87" s="186" t="n">
        <x:v>15396</x:v>
      </x:c>
      <x:c r="H87" s="186" t="n">
        <x:v>62881</x:v>
      </x:c>
      <x:c r="I87" s="186" t="n">
        <x:f>G87-H87</x:f>
        <x:v>-47485</x:v>
      </x:c>
      <x:c r="J87" s="186" t="n">
        <x:v>27104</x:v>
      </x:c>
      <x:c r="K87" s="186" t="n">
        <x:v>53015</x:v>
      </x:c>
      <x:c r="L87" s="186" t="n">
        <x:f>J87-K87</x:f>
        <x:v>-25911</x:v>
      </x:c>
      <x:c r="M87" s="186" t="n">
        <x:v>65956</x:v>
      </x:c>
      <x:c r="N87" s="186" t="n">
        <x:v>27555</x:v>
      </x:c>
      <x:c r="O87" s="186" t="n">
        <x:f>M87-N87</x:f>
        <x:v>38401</x:v>
      </x:c>
      <x:c r="P87" s="186" t="n">
        <x:v>26257</x:v>
      </x:c>
      <x:c r="Q87" s="186" t="n">
        <x:v>7585</x:v>
      </x:c>
      <x:c r="R87" s="186" t="n">
        <x:f>P87-Q87</x:f>
        <x:v>18672</x:v>
      </x:c>
      <x:c r="S87" s="186" t="n">
        <x:v>27638</x:v>
      </x:c>
      <x:c r="T87" s="186" t="n">
        <x:v>11315</x:v>
      </x:c>
      <x:c r="U87" s="186" t="n">
        <x:f>S87-T87</x:f>
        <x:v>16323</x:v>
      </x:c>
      <x:c r="V87" s="196" t="n">
        <x:f>IFERROR(O87/F87,"")</x:f>
        <x:v>0.19561308332187194</x:v>
      </x:c>
      <x:c r="W87" s="196" t="n">
        <x:f>IFERROR(I87/F87,"")</x:f>
        <x:v>-0.24188659830574955</x:v>
      </x:c>
    </x:row>
    <x:row r="88">
      <x:c r="A88" s="186" t="str">
        <x:v>Gold</x:v>
      </x:c>
      <x:c r="B88" s="187" t="n">
        <x:v>42675</x:v>
      </x:c>
      <x:c r="C88" s="187" t="n">
        <x:v>42678</x:v>
      </x:c>
      <x:c r="D88" s="186" t="str">
        <x:v>088691-GOLD</x:v>
      </x:c>
      <x:c r="E88" s="186" t="str">
        <x:v>GOLD - COMMODITY EXCHANGE INC.</x:v>
      </x:c>
      <x:c r="F88" s="186" t="n">
        <x:v>521506</x:v>
      </x:c>
      <x:c r="G88" s="186" t="n">
        <x:v>27666</x:v>
      </x:c>
      <x:c r="H88" s="186" t="n">
        <x:v>153593</x:v>
      </x:c>
      <x:c r="I88" s="186" t="n">
        <x:f>G88-H88</x:f>
        <x:v>-125927</x:v>
      </x:c>
      <x:c r="J88" s="186" t="n">
        <x:v>36607</x:v>
      </x:c>
      <x:c r="K88" s="186" t="n">
        <x:v>149931</x:v>
      </x:c>
      <x:c r="L88" s="186" t="n">
        <x:f>J88-K88</x:f>
        <x:v>-113324</x:v>
      </x:c>
      <x:c r="M88" s="186" t="n">
        <x:v>203670</x:v>
      </x:c>
      <x:c r="N88" s="186" t="n">
        <x:v>37403</x:v>
      </x:c>
      <x:c r="O88" s="186" t="n">
        <x:f>M88-N88</x:f>
        <x:v>166267</x:v>
      </x:c>
      <x:c r="P88" s="186" t="n">
        <x:v>84638</x:v>
      </x:c>
      <x:c r="Q88" s="186" t="n">
        <x:v>35774</x:v>
      </x:c>
      <x:c r="R88" s="186" t="n">
        <x:f>P88-Q88</x:f>
        <x:v>48864</x:v>
      </x:c>
      <x:c r="S88" s="186" t="n">
        <x:v>51847</x:v>
      </x:c>
      <x:c r="T88" s="186" t="n">
        <x:v>27727</x:v>
      </x:c>
      <x:c r="U88" s="186" t="n">
        <x:f>S88-T88</x:f>
        <x:v>24120</x:v>
      </x:c>
      <x:c r="V88" s="196" t="n">
        <x:f>IFERROR(O88/F88,"")</x:f>
        <x:v>0.31882087646163226</x:v>
      </x:c>
      <x:c r="W88" s="196" t="n">
        <x:f>IFERROR(I88/F88,"")</x:f>
        <x:v>-0.24146797927540622</x:v>
      </x:c>
    </x:row>
    <x:row r="89">
      <x:c r="A89" s="186" t="str">
        <x:v>Silver</x:v>
      </x:c>
      <x:c r="B89" s="187" t="n">
        <x:v>42675</x:v>
      </x:c>
      <x:c r="C89" s="187" t="n">
        <x:v>42678</x:v>
      </x:c>
      <x:c r="D89" s="186" t="str">
        <x:v>084691-SILVER</x:v>
      </x:c>
      <x:c r="E89" s="186" t="str">
        <x:v>SILVER - COMMODITY EXCHANGE INC.</x:v>
      </x:c>
      <x:c r="F89" s="186" t="n">
        <x:v>196912</x:v>
      </x:c>
      <x:c r="G89" s="186" t="n">
        <x:v>14459</x:v>
      </x:c>
      <x:c r="H89" s="186" t="n">
        <x:v>64401</x:v>
      </x:c>
      <x:c r="I89" s="186" t="n">
        <x:f>G89-H89</x:f>
        <x:v>-49942</x:v>
      </x:c>
      <x:c r="J89" s="186" t="n">
        <x:v>26380</x:v>
      </x:c>
      <x:c r="K89" s="186" t="n">
        <x:v>53355</x:v>
      </x:c>
      <x:c r="L89" s="186" t="n">
        <x:f>J89-K89</x:f>
        <x:v>-26975</x:v>
      </x:c>
      <x:c r="M89" s="186" t="n">
        <x:v>66733</x:v>
      </x:c>
      <x:c r="N89" s="186" t="n">
        <x:v>19066</x:v>
      </x:c>
      <x:c r="O89" s="186" t="n">
        <x:f>M89-N89</x:f>
        <x:v>47667</x:v>
      </x:c>
      <x:c r="P89" s="186" t="n">
        <x:v>22500</x:v>
      </x:c>
      <x:c r="Q89" s="186" t="n">
        <x:v>8031</x:v>
      </x:c>
      <x:c r="R89" s="186" t="n">
        <x:f>P89-Q89</x:f>
        <x:v>14469</x:v>
      </x:c>
      <x:c r="S89" s="186" t="n">
        <x:v>28746</x:v>
      </x:c>
      <x:c r="T89" s="186" t="n">
        <x:v>13965</x:v>
      </x:c>
      <x:c r="U89" s="186" t="n">
        <x:f>S89-T89</x:f>
        <x:v>14781</x:v>
      </x:c>
      <x:c r="V89" s="196" t="n">
        <x:f>IFERROR(O89/F89,"")</x:f>
        <x:v>0.24207260095880392</x:v>
      </x:c>
      <x:c r="W89" s="196" t="n">
        <x:f>IFERROR(I89/F89,"")</x:f>
        <x:v>-0.2536259852116682</x:v>
      </x:c>
    </x:row>
    <x:row r="90">
      <x:c r="A90" s="186" t="str">
        <x:v>Gold</x:v>
      </x:c>
      <x:c r="B90" s="187" t="n">
        <x:v>42682</x:v>
      </x:c>
      <x:c r="C90" s="187" t="n">
        <x:v>42685</x:v>
      </x:c>
      <x:c r="D90" s="186" t="str">
        <x:v>088691-GOLD</x:v>
      </x:c>
      <x:c r="E90" s="186" t="str">
        <x:v>GOLD - COMMODITY EXCHANGE INC.</x:v>
      </x:c>
      <x:c r="F90" s="186" t="n">
        <x:v>528203</x:v>
      </x:c>
      <x:c r="G90" s="186" t="n">
        <x:v>27597</x:v>
      </x:c>
      <x:c r="H90" s="186" t="n">
        <x:v>158095</x:v>
      </x:c>
      <x:c r="I90" s="186" t="n">
        <x:f>G90-H90</x:f>
        <x:v>-130498</x:v>
      </x:c>
      <x:c r="J90" s="186" t="n">
        <x:v>31113</x:v>
      </x:c>
      <x:c r="K90" s="186" t="n">
        <x:v>146201</x:v>
      </x:c>
      <x:c r="L90" s="186" t="n">
        <x:f>J90-K90</x:f>
        <x:v>-115088</x:v>
      </x:c>
      <x:c r="M90" s="186" t="n">
        <x:v>211670</x:v>
      </x:c>
      <x:c r="N90" s="186" t="n">
        <x:v>38033</x:v>
      </x:c>
      <x:c r="O90" s="186" t="n">
        <x:f>M90-N90</x:f>
        <x:v>173637</x:v>
      </x:c>
      <x:c r="P90" s="186" t="n">
        <x:v>78190</x:v>
      </x:c>
      <x:c r="Q90" s="186" t="n">
        <x:v>34589</x:v>
      </x:c>
      <x:c r="R90" s="186" t="n">
        <x:f>P90-Q90</x:f>
        <x:v>43601</x:v>
      </x:c>
      <x:c r="S90" s="186" t="n">
        <x:v>51015</x:v>
      </x:c>
      <x:c r="T90" s="186" t="n">
        <x:v>22667</x:v>
      </x:c>
      <x:c r="U90" s="186" t="n">
        <x:f>S90-T90</x:f>
        <x:v>28348</x:v>
      </x:c>
      <x:c r="V90" s="196" t="n">
        <x:f>IFERROR(O90/F90,"")</x:f>
        <x:v>0.3287315672194213</x:v>
      </x:c>
      <x:c r="W90" s="196" t="n">
        <x:f>IFERROR(I90/F90,"")</x:f>
        <x:v>-0.24706031582554436</x:v>
      </x:c>
    </x:row>
    <x:row r="91">
      <x:c r="A91" s="186" t="str">
        <x:v>Silver</x:v>
      </x:c>
      <x:c r="B91" s="187" t="n">
        <x:v>42682</x:v>
      </x:c>
      <x:c r="C91" s="187" t="n">
        <x:v>42685</x:v>
      </x:c>
      <x:c r="D91" s="186" t="str">
        <x:v>084691-SILVER</x:v>
      </x:c>
      <x:c r="E91" s="186" t="str">
        <x:v>SILVER - COMMODITY EXCHANGE INC.</x:v>
      </x:c>
      <x:c r="F91" s="186" t="n">
        <x:v>188265</x:v>
      </x:c>
      <x:c r="G91" s="186" t="n">
        <x:v>11925</x:v>
      </x:c>
      <x:c r="H91" s="186" t="n">
        <x:v>65645</x:v>
      </x:c>
      <x:c r="I91" s="186" t="n">
        <x:f>G91-H91</x:f>
        <x:v>-53720</x:v>
      </x:c>
      <x:c r="J91" s="186" t="n">
        <x:v>25837</x:v>
      </x:c>
      <x:c r="K91" s="186" t="n">
        <x:v>54378</x:v>
      </x:c>
      <x:c r="L91" s="186" t="n">
        <x:f>J91-K91</x:f>
        <x:v>-28541</x:v>
      </x:c>
      <x:c r="M91" s="186" t="n">
        <x:v>71989</x:v>
      </x:c>
      <x:c r="N91" s="186" t="n">
        <x:v>15852</x:v>
      </x:c>
      <x:c r="O91" s="186" t="n">
        <x:f>M91-N91</x:f>
        <x:v>56137</x:v>
      </x:c>
      <x:c r="P91" s="186" t="n">
        <x:v>17371</x:v>
      </x:c>
      <x:c r="Q91" s="186" t="n">
        <x:v>8239</x:v>
      </x:c>
      <x:c r="R91" s="186" t="n">
        <x:f>P91-Q91</x:f>
        <x:v>9132</x:v>
      </x:c>
      <x:c r="S91" s="186" t="n">
        <x:v>27862</x:v>
      </x:c>
      <x:c r="T91" s="186" t="n">
        <x:v>10870</x:v>
      </x:c>
      <x:c r="U91" s="186" t="n">
        <x:f>S91-T91</x:f>
        <x:v>16992</x:v>
      </x:c>
      <x:c r="V91" s="196" t="n">
        <x:f>IFERROR(O91/F91,"")</x:f>
        <x:v>0.2981807558494675</x:v>
      </x:c>
      <x:c r="W91" s="196" t="n">
        <x:f>IFERROR(I91/F91,"")</x:f>
        <x:v>-0.28534246939154917</x:v>
      </x:c>
    </x:row>
    <x:row r="92">
      <x:c r="A92" s="186" t="str">
        <x:v>Gold</x:v>
      </x:c>
      <x:c r="B92" s="187" t="n">
        <x:v>42689</x:v>
      </x:c>
      <x:c r="C92" s="187" t="n">
        <x:v>42692</x:v>
      </x:c>
      <x:c r="D92" s="186" t="str">
        <x:v>088691-GOLD</x:v>
      </x:c>
      <x:c r="E92" s="186" t="str">
        <x:v>GOLD - COMMODITY EXCHANGE INC.</x:v>
      </x:c>
      <x:c r="F92" s="186" t="n">
        <x:v>479237</x:v>
      </x:c>
      <x:c r="G92" s="186" t="n">
        <x:v>27283</x:v>
      </x:c>
      <x:c r="H92" s="186" t="n">
        <x:v>134182</x:v>
      </x:c>
      <x:c r="I92" s="186" t="n">
        <x:f>G92-H92</x:f>
        <x:v>-106899</x:v>
      </x:c>
      <x:c r="J92" s="186" t="n">
        <x:v>28878</x:v>
      </x:c>
      <x:c r="K92" s="186" t="n">
        <x:v>121945</x:v>
      </x:c>
      <x:c r="L92" s="186" t="n">
        <x:f>J92-K92</x:f>
        <x:v>-93067</x:v>
      </x:c>
      <x:c r="M92" s="186" t="n">
        <x:v>178132</x:v>
      </x:c>
      <x:c r="N92" s="186" t="n">
        <x:v>43452</x:v>
      </x:c>
      <x:c r="O92" s="186" t="n">
        <x:f>M92-N92</x:f>
        <x:v>134680</x:v>
      </x:c>
      <x:c r="P92" s="186" t="n">
        <x:v>67618</x:v>
      </x:c>
      <x:c r="Q92" s="186" t="n">
        <x:v>24638</x:v>
      </x:c>
      <x:c r="R92" s="186" t="n">
        <x:f>P92-Q92</x:f>
        <x:v>42980</x:v>
      </x:c>
      <x:c r="S92" s="186" t="n">
        <x:v>49240</x:v>
      </x:c>
      <x:c r="T92" s="186" t="n">
        <x:v>26934</x:v>
      </x:c>
      <x:c r="U92" s="186" t="n">
        <x:f>S92-T92</x:f>
        <x:v>22306</x:v>
      </x:c>
      <x:c r="V92" s="196" t="n">
        <x:f>IFERROR(O92/F92,"")</x:f>
        <x:v>0.28103005402337466</x:v>
      </x:c>
      <x:c r="W92" s="196" t="n">
        <x:f>IFERROR(I92/F92,"")</x:f>
        <x:v>-0.22306082376778086</x:v>
      </x:c>
    </x:row>
    <x:row r="93">
      <x:c r="A93" s="186" t="str">
        <x:v>Silver</x:v>
      </x:c>
      <x:c r="B93" s="187" t="n">
        <x:v>42689</x:v>
      </x:c>
      <x:c r="C93" s="187" t="n">
        <x:v>42692</x:v>
      </x:c>
      <x:c r="D93" s="186" t="str">
        <x:v>084691-SILVER</x:v>
      </x:c>
      <x:c r="E93" s="186" t="str">
        <x:v>SILVER - COMMODITY EXCHANGE INC.</x:v>
      </x:c>
      <x:c r="F93" s="186" t="n">
        <x:v>174831</x:v>
      </x:c>
      <x:c r="G93" s="186" t="n">
        <x:v>12337</x:v>
      </x:c>
      <x:c r="H93" s="186" t="n">
        <x:v>62149</x:v>
      </x:c>
      <x:c r="I93" s="186" t="n">
        <x:f>G93-H93</x:f>
        <x:v>-49812</x:v>
      </x:c>
      <x:c r="J93" s="186" t="n">
        <x:v>23840</x:v>
      </x:c>
      <x:c r="K93" s="186" t="n">
        <x:v>52549</x:v>
      </x:c>
      <x:c r="L93" s="186" t="n">
        <x:f>J93-K93</x:f>
        <x:v>-28709</x:v>
      </x:c>
      <x:c r="M93" s="186" t="n">
        <x:v>64016</x:v>
      </x:c>
      <x:c r="N93" s="186" t="n">
        <x:v>16177</x:v>
      </x:c>
      <x:c r="O93" s="186" t="n">
        <x:f>M93-N93</x:f>
        <x:v>47839</x:v>
      </x:c>
      <x:c r="P93" s="186" t="n">
        <x:v>21559</x:v>
      </x:c>
      <x:c r="Q93" s="186" t="n">
        <x:v>6792</x:v>
      </x:c>
      <x:c r="R93" s="186" t="n">
        <x:f>P93-Q93</x:f>
        <x:v>14767</x:v>
      </x:c>
      <x:c r="S93" s="186" t="n">
        <x:v>27285</x:v>
      </x:c>
      <x:c r="T93" s="186" t="n">
        <x:v>11370</x:v>
      </x:c>
      <x:c r="U93" s="186" t="n">
        <x:f>S93-T93</x:f>
        <x:v>15915</x:v>
      </x:c>
      <x:c r="V93" s="196" t="n">
        <x:f>IFERROR(O93/F93,"")</x:f>
        <x:v>0.2736299626496445</x:v>
      </x:c>
      <x:c r="W93" s="196" t="n">
        <x:f>IFERROR(I93/F93,"")</x:f>
        <x:v>-0.2849151466273144</x:v>
      </x:c>
    </x:row>
    <x:row r="94">
      <x:c r="A94" s="186" t="str">
        <x:v>Gold</x:v>
      </x:c>
      <x:c r="B94" s="187" t="n">
        <x:v>42696</x:v>
      </x:c>
      <x:c r="C94" s="187" t="n">
        <x:v>42699</x:v>
      </x:c>
      <x:c r="D94" s="186" t="str">
        <x:v>088691-GOLD</x:v>
      </x:c>
      <x:c r="E94" s="186" t="str">
        <x:v>GOLD - COMMODITY EXCHANGE INC.</x:v>
      </x:c>
      <x:c r="F94" s="186" t="n">
        <x:v>461062</x:v>
      </x:c>
      <x:c r="G94" s="186" t="n">
        <x:v>20805</x:v>
      </x:c>
      <x:c r="H94" s="186" t="n">
        <x:v>119000</x:v>
      </x:c>
      <x:c r="I94" s="186" t="n">
        <x:f>G94-H94</x:f>
        <x:v>-98195</x:v>
      </x:c>
      <x:c r="J94" s="186" t="n">
        <x:v>23389</x:v>
      </x:c>
      <x:c r="K94" s="186" t="n">
        <x:v>117366</x:v>
      </x:c>
      <x:c r="L94" s="186" t="n">
        <x:f>J94-K94</x:f>
        <x:v>-93977</x:v>
      </x:c>
      <x:c r="M94" s="186" t="n">
        <x:v>171864</x:v>
      </x:c>
      <x:c r="N94" s="186" t="n">
        <x:v>47475</x:v>
      </x:c>
      <x:c r="O94" s="186" t="n">
        <x:f>M94-N94</x:f>
        <x:v>124389</x:v>
      </x:c>
      <x:c r="P94" s="186" t="n">
        <x:v>69782</x:v>
      </x:c>
      <x:c r="Q94" s="186" t="n">
        <x:v>27086</x:v>
      </x:c>
      <x:c r="R94" s="186" t="n">
        <x:f>P94-Q94</x:f>
        <x:v>42696</x:v>
      </x:c>
      <x:c r="S94" s="186" t="n">
        <x:v>52695</x:v>
      </x:c>
      <x:c r="T94" s="186" t="n">
        <x:v>27608</x:v>
      </x:c>
      <x:c r="U94" s="186" t="n">
        <x:f>S94-T94</x:f>
        <x:v>25087</x:v>
      </x:c>
      <x:c r="V94" s="196" t="n">
        <x:f>IFERROR(O94/F94,"")</x:f>
        <x:v>0.2697880111568509</x:v>
      </x:c>
      <x:c r="W94" s="196" t="n">
        <x:f>IFERROR(I94/F94,"")</x:f>
        <x:v>-0.21297569524272222</x:v>
      </x:c>
    </x:row>
    <x:row r="95">
      <x:c r="A95" s="186" t="str">
        <x:v>Silver</x:v>
      </x:c>
      <x:c r="B95" s="187" t="n">
        <x:v>42696</x:v>
      </x:c>
      <x:c r="C95" s="187" t="n">
        <x:v>42699</x:v>
      </x:c>
      <x:c r="D95" s="186" t="str">
        <x:v>084691-SILVER</x:v>
      </x:c>
      <x:c r="E95" s="186" t="str">
        <x:v>SILVER - COMMODITY EXCHANGE INC.</x:v>
      </x:c>
      <x:c r="F95" s="186" t="n">
        <x:v>169661</x:v>
      </x:c>
      <x:c r="G95" s="186" t="n">
        <x:v>11951</x:v>
      </x:c>
      <x:c r="H95" s="186" t="n">
        <x:v>62477</x:v>
      </x:c>
      <x:c r="I95" s="186" t="n">
        <x:f>G95-H95</x:f>
        <x:v>-50526</x:v>
      </x:c>
      <x:c r="J95" s="186" t="n">
        <x:v>23366</x:v>
      </x:c>
      <x:c r="K95" s="186" t="n">
        <x:v>51072</x:v>
      </x:c>
      <x:c r="L95" s="186" t="n">
        <x:f>J95-K95</x:f>
        <x:v>-27706</x:v>
      </x:c>
      <x:c r="M95" s="186" t="n">
        <x:v>57931</x:v>
      </x:c>
      <x:c r="N95" s="186" t="n">
        <x:v>15412</x:v>
      </x:c>
      <x:c r="O95" s="186" t="n">
        <x:f>M95-N95</x:f>
        <x:v>42519</x:v>
      </x:c>
      <x:c r="P95" s="186" t="n">
        <x:v>23904</x:v>
      </x:c>
      <x:c r="Q95" s="186" t="n">
        <x:v>6256</x:v>
      </x:c>
      <x:c r="R95" s="186" t="n">
        <x:f>P95-Q95</x:f>
        <x:v>17648</x:v>
      </x:c>
      <x:c r="S95" s="186" t="n">
        <x:v>29529</x:v>
      </x:c>
      <x:c r="T95" s="186" t="n">
        <x:v>11464</x:v>
      </x:c>
      <x:c r="U95" s="186" t="n">
        <x:f>S95-T95</x:f>
        <x:v>18065</x:v>
      </x:c>
      <x:c r="V95" s="196" t="n">
        <x:f>IFERROR(O95/F95,"")</x:f>
        <x:v>0.25061151354760375</x:v>
      </x:c>
      <x:c r="W95" s="196" t="n">
        <x:f>IFERROR(I95/F95,"")</x:f>
        <x:v>-0.297805624156406</x:v>
      </x:c>
    </x:row>
    <x:row r="96">
      <x:c r="A96" s="186" t="str">
        <x:v>Gold</x:v>
      </x:c>
      <x:c r="B96" s="187" t="n">
        <x:v>42703</x:v>
      </x:c>
      <x:c r="C96" s="187" t="n">
        <x:v>42706</x:v>
      </x:c>
      <x:c r="D96" s="186" t="str">
        <x:v>088691-GOLD</x:v>
      </x:c>
      <x:c r="E96" s="186" t="str">
        <x:v>GOLD - COMMODITY EXCHANGE INC.</x:v>
      </x:c>
      <x:c r="F96" s="186" t="n">
        <x:v>405661</x:v>
      </x:c>
      <x:c r="G96" s="186" t="n">
        <x:v>24102</x:v>
      </x:c>
      <x:c r="H96" s="186" t="n">
        <x:v>114690</x:v>
      </x:c>
      <x:c r="I96" s="186" t="n">
        <x:f>G96-H96</x:f>
        <x:v>-90588</x:v>
      </x:c>
      <x:c r="J96" s="186" t="n">
        <x:v>25014</x:v>
      </x:c>
      <x:c r="K96" s="186" t="n">
        <x:v>102249</x:v>
      </x:c>
      <x:c r="L96" s="186" t="n">
        <x:f>J96-K96</x:f>
        <x:v>-77235</x:v>
      </x:c>
      <x:c r="M96" s="186" t="n">
        <x:v>162086</x:v>
      </x:c>
      <x:c r="N96" s="186" t="n">
        <x:v>55145</x:v>
      </x:c>
      <x:c r="O96" s="186" t="n">
        <x:f>M96-N96</x:f>
        <x:v>106941</x:v>
      </x:c>
      <x:c r="P96" s="186" t="n">
        <x:v>67645</x:v>
      </x:c>
      <x:c r="Q96" s="186" t="n">
        <x:v>23016</x:v>
      </x:c>
      <x:c r="R96" s="186" t="n">
        <x:f>P96-Q96</x:f>
        <x:v>44629</x:v>
      </x:c>
      <x:c r="S96" s="186" t="n">
        <x:v>45567</x:v>
      </x:c>
      <x:c r="T96" s="186" t="n">
        <x:v>29314</x:v>
      </x:c>
      <x:c r="U96" s="186" t="n">
        <x:f>S96-T96</x:f>
        <x:v>16253</x:v>
      </x:c>
      <x:c r="V96" s="196" t="n">
        <x:f>IFERROR(O96/F96,"")</x:f>
        <x:v>0.26362159537150476</x:v>
      </x:c>
      <x:c r="W96" s="196" t="n">
        <x:f>IFERROR(I96/F96,"")</x:f>
        <x:v>-0.22330961073408584</x:v>
      </x:c>
    </x:row>
    <x:row r="97">
      <x:c r="A97" s="186" t="str">
        <x:v>Silver</x:v>
      </x:c>
      <x:c r="B97" s="187" t="n">
        <x:v>42703</x:v>
      </x:c>
      <x:c r="C97" s="187" t="n">
        <x:v>42706</x:v>
      </x:c>
      <x:c r="D97" s="186" t="str">
        <x:v>084691-SILVER</x:v>
      </x:c>
      <x:c r="E97" s="186" t="str">
        <x:v>SILVER - COMMODITY EXCHANGE INC.</x:v>
      </x:c>
      <x:c r="F97" s="186" t="n">
        <x:v>156626</x:v>
      </x:c>
      <x:c r="G97" s="186" t="n">
        <x:v>11371</x:v>
      </x:c>
      <x:c r="H97" s="186" t="n">
        <x:v>59897</x:v>
      </x:c>
      <x:c r="I97" s="186" t="n">
        <x:f>G97-H97</x:f>
        <x:v>-48526</x:v>
      </x:c>
      <x:c r="J97" s="186" t="n">
        <x:v>24136</x:v>
      </x:c>
      <x:c r="K97" s="186" t="n">
        <x:v>51055</x:v>
      </x:c>
      <x:c r="L97" s="186" t="n">
        <x:f>J97-K97</x:f>
        <x:v>-26919</x:v>
      </x:c>
      <x:c r="M97" s="186" t="n">
        <x:v>56969</x:v>
      </x:c>
      <x:c r="N97" s="186" t="n">
        <x:v>14327</x:v>
      </x:c>
      <x:c r="O97" s="186" t="n">
        <x:f>M97-N97</x:f>
        <x:v>42642</x:v>
      </x:c>
      <x:c r="P97" s="186" t="n">
        <x:v>22516</x:v>
      </x:c>
      <x:c r="Q97" s="186" t="n">
        <x:v>6118</x:v>
      </x:c>
      <x:c r="R97" s="186" t="n">
        <x:f>P97-Q97</x:f>
        <x:v>16398</x:v>
      </x:c>
      <x:c r="S97" s="186" t="n">
        <x:v>26191</x:v>
      </x:c>
      <x:c r="T97" s="186" t="n">
        <x:v>9786</x:v>
      </x:c>
      <x:c r="U97" s="186" t="n">
        <x:f>S97-T97</x:f>
        <x:v>16405</x:v>
      </x:c>
      <x:c r="V97" s="196" t="n">
        <x:f>IFERROR(O97/F97,"")</x:f>
        <x:v>0.2722536488194808</x:v>
      </x:c>
      <x:c r="W97" s="196" t="n">
        <x:f>IFERROR(I97/F97,"")</x:f>
        <x:v>-0.30982084711350605</x:v>
      </x:c>
    </x:row>
    <x:row r="98">
      <x:c r="A98" s="186" t="str">
        <x:v>Gold</x:v>
      </x:c>
      <x:c r="B98" s="187" t="n">
        <x:v>42710</x:v>
      </x:c>
      <x:c r="C98" s="187" t="n">
        <x:v>42713</x:v>
      </x:c>
      <x:c r="D98" s="186" t="str">
        <x:v>088691-GOLD</x:v>
      </x:c>
      <x:c r="E98" s="186" t="str">
        <x:v>GOLD - COMMODITY EXCHANGE INC.</x:v>
      </x:c>
      <x:c r="F98" s="186" t="n">
        <x:v>393524</x:v>
      </x:c>
      <x:c r="G98" s="186" t="n">
        <x:v>21781</x:v>
      </x:c>
      <x:c r="H98" s="186" t="n">
        <x:v>105209</x:v>
      </x:c>
      <x:c r="I98" s="186" t="n">
        <x:f>G98-H98</x:f>
        <x:v>-83428</x:v>
      </x:c>
      <x:c r="J98" s="186" t="n">
        <x:v>28749</x:v>
      </x:c>
      <x:c r="K98" s="186" t="n">
        <x:v>100265</x:v>
      </x:c>
      <x:c r="L98" s="186" t="n">
        <x:f>J98-K98</x:f>
        <x:v>-71516</x:v>
      </x:c>
      <x:c r="M98" s="186" t="n">
        <x:v>150856</x:v>
      </x:c>
      <x:c r="N98" s="186" t="n">
        <x:v>68538</x:v>
      </x:c>
      <x:c r="O98" s="186" t="n">
        <x:f>M98-N98</x:f>
        <x:v>82318</x:v>
      </x:c>
      <x:c r="P98" s="186" t="n">
        <x:v>76819</x:v>
      </x:c>
      <x:c r="Q98" s="186" t="n">
        <x:v>22757</x:v>
      </x:c>
      <x:c r="R98" s="186" t="n">
        <x:f>P98-Q98</x:f>
        <x:v>54062</x:v>
      </x:c>
      <x:c r="S98" s="186" t="n">
        <x:v>45639</x:v>
      </x:c>
      <x:c r="T98" s="186" t="n">
        <x:v>27075</x:v>
      </x:c>
      <x:c r="U98" s="186" t="n">
        <x:f>S98-T98</x:f>
        <x:v>18564</x:v>
      </x:c>
      <x:c r="V98" s="196" t="n">
        <x:f>IFERROR(O98/F98,"")</x:f>
        <x:v>0.20918165092853294</x:v>
      </x:c>
      <x:c r="W98" s="196" t="n">
        <x:f>IFERROR(I98/F98,"")</x:f>
        <x:v>-0.21200231752065948</x:v>
      </x:c>
    </x:row>
    <x:row r="99">
      <x:c r="A99" s="186" t="str">
        <x:v>Silver</x:v>
      </x:c>
      <x:c r="B99" s="187" t="n">
        <x:v>42710</x:v>
      </x:c>
      <x:c r="C99" s="187" t="n">
        <x:v>42713</x:v>
      </x:c>
      <x:c r="D99" s="186" t="str">
        <x:v>084691-SILVER</x:v>
      </x:c>
      <x:c r="E99" s="186" t="str">
        <x:v>SILVER - COMMODITY EXCHANGE INC.</x:v>
      </x:c>
      <x:c r="F99" s="186" t="n">
        <x:v>159337</x:v>
      </x:c>
      <x:c r="G99" s="186" t="n">
        <x:v>11878</x:v>
      </x:c>
      <x:c r="H99" s="186" t="n">
        <x:v>60095</x:v>
      </x:c>
      <x:c r="I99" s="186" t="n">
        <x:f>G99-H99</x:f>
        <x:v>-48217</x:v>
      </x:c>
      <x:c r="J99" s="186" t="n">
        <x:v>24686</x:v>
      </x:c>
      <x:c r="K99" s="186" t="n">
        <x:v>52209</x:v>
      </x:c>
      <x:c r="L99" s="186" t="n">
        <x:f>J99-K99</x:f>
        <x:v>-27523</x:v>
      </x:c>
      <x:c r="M99" s="186" t="n">
        <x:v>56166</x:v>
      </x:c>
      <x:c r="N99" s="186" t="n">
        <x:v>15591</x:v>
      </x:c>
      <x:c r="O99" s="186" t="n">
        <x:f>M99-N99</x:f>
        <x:v>40575</x:v>
      </x:c>
      <x:c r="P99" s="186" t="n">
        <x:v>25329</x:v>
      </x:c>
      <x:c r="Q99" s="186" t="n">
        <x:v>6539</x:v>
      </x:c>
      <x:c r="R99" s="186" t="n">
        <x:f>P99-Q99</x:f>
        <x:v>18790</x:v>
      </x:c>
      <x:c r="S99" s="186" t="n">
        <x:v>26158</x:v>
      </x:c>
      <x:c r="T99" s="186" t="n">
        <x:v>9783</x:v>
      </x:c>
      <x:c r="U99" s="186" t="n">
        <x:f>S99-T99</x:f>
        <x:v>16375</x:v>
      </x:c>
      <x:c r="V99" s="196" t="n">
        <x:f>IFERROR(O99/F99,"")</x:f>
        <x:v>0.2546489515931642</x:v>
      </x:c>
      <x:c r="W99" s="196" t="n">
        <x:f>IFERROR(I99/F99,"")</x:f>
        <x:v>-0.3026101909788687</x:v>
      </x:c>
    </x:row>
    <x:row r="100">
      <x:c r="A100" s="186" t="str">
        <x:v>Gold</x:v>
      </x:c>
      <x:c r="B100" s="187" t="n">
        <x:v>42717</x:v>
      </x:c>
      <x:c r="C100" s="187" t="n">
        <x:v>42720</x:v>
      </x:c>
      <x:c r="D100" s="186" t="str">
        <x:v>088691-GOLD</x:v>
      </x:c>
      <x:c r="E100" s="186" t="str">
        <x:v>GOLD - COMMODITY EXCHANGE INC.</x:v>
      </x:c>
      <x:c r="F100" s="186" t="n">
        <x:v>397034</x:v>
      </x:c>
      <x:c r="G100" s="186" t="n">
        <x:v>22199</x:v>
      </x:c>
      <x:c r="H100" s="186" t="n">
        <x:v>103372</x:v>
      </x:c>
      <x:c r="I100" s="186" t="n">
        <x:f>G100-H100</x:f>
        <x:v>-81173</x:v>
      </x:c>
      <x:c r="J100" s="186" t="n">
        <x:v>28815</x:v>
      </x:c>
      <x:c r="K100" s="186" t="n">
        <x:v>97528</x:v>
      </x:c>
      <x:c r="L100" s="186" t="n">
        <x:f>J100-K100</x:f>
        <x:v>-68713</x:v>
      </x:c>
      <x:c r="M100" s="186" t="n">
        <x:v>146150</x:v>
      </x:c>
      <x:c r="N100" s="186" t="n">
        <x:v>77432</x:v>
      </x:c>
      <x:c r="O100" s="186" t="n">
        <x:f>M100-N100</x:f>
        <x:v>68718</x:v>
      </x:c>
      <x:c r="P100" s="186" t="n">
        <x:v>83605</x:v>
      </x:c>
      <x:c r="Q100" s="186" t="n">
        <x:v>23012</x:v>
      </x:c>
      <x:c r="R100" s="186" t="n">
        <x:f>P100-Q100</x:f>
        <x:v>60593</x:v>
      </x:c>
      <x:c r="S100" s="186" t="n">
        <x:v>46092</x:v>
      </x:c>
      <x:c r="T100" s="186" t="n">
        <x:v>25517</x:v>
      </x:c>
      <x:c r="U100" s="186" t="n">
        <x:f>S100-T100</x:f>
        <x:v>20575</x:v>
      </x:c>
      <x:c r="V100" s="196" t="n">
        <x:f>IFERROR(O100/F100,"")</x:f>
        <x:v>0.17307837615922061</x:v>
      </x:c>
      <x:c r="W100" s="196" t="n">
        <x:f>IFERROR(I100/F100,"")</x:f>
        <x:v>-0.20444848552013178</x:v>
      </x:c>
    </x:row>
    <x:row r="101">
      <x:c r="A101" s="186" t="str">
        <x:v>Silver</x:v>
      </x:c>
      <x:c r="B101" s="187" t="n">
        <x:v>42717</x:v>
      </x:c>
      <x:c r="C101" s="187" t="n">
        <x:v>42720</x:v>
      </x:c>
      <x:c r="D101" s="186" t="str">
        <x:v>084691-SILVER</x:v>
      </x:c>
      <x:c r="E101" s="186" t="str">
        <x:v>SILVER - COMMODITY EXCHANGE INC.</x:v>
      </x:c>
      <x:c r="F101" s="186" t="n">
        <x:v>163556</x:v>
      </x:c>
      <x:c r="G101" s="186" t="n">
        <x:v>10677</x:v>
      </x:c>
      <x:c r="H101" s="186" t="n">
        <x:v>62887</x:v>
      </x:c>
      <x:c r="I101" s="186" t="n">
        <x:f>G101-H101</x:f>
        <x:v>-52210</x:v>
      </x:c>
      <x:c r="J101" s="186" t="n">
        <x:v>24729</x:v>
      </x:c>
      <x:c r="K101" s="186" t="n">
        <x:v>53650</x:v>
      </x:c>
      <x:c r="L101" s="186" t="n">
        <x:f>J101-K101</x:f>
        <x:v>-28921</x:v>
      </x:c>
      <x:c r="M101" s="186" t="n">
        <x:v>59636</x:v>
      </x:c>
      <x:c r="N101" s="186" t="n">
        <x:v>13701</x:v>
      </x:c>
      <x:c r="O101" s="186" t="n">
        <x:f>M101-N101</x:f>
        <x:v>45935</x:v>
      </x:c>
      <x:c r="P101" s="186" t="n">
        <x:v>27404</x:v>
      </x:c>
      <x:c r="Q101" s="186" t="n">
        <x:v>6406</x:v>
      </x:c>
      <x:c r="R101" s="186" t="n">
        <x:f>P101-Q101</x:f>
        <x:v>20998</x:v>
      </x:c>
      <x:c r="S101" s="186" t="n">
        <x:v>25028</x:v>
      </x:c>
      <x:c r="T101" s="186" t="n">
        <x:v>10830</x:v>
      </x:c>
      <x:c r="U101" s="186" t="n">
        <x:f>S101-T101</x:f>
        <x:v>14198</x:v>
      </x:c>
      <x:c r="V101" s="196" t="n">
        <x:f>IFERROR(O101/F101,"")</x:f>
        <x:v>0.28085181833745015</x:v>
      </x:c>
      <x:c r="W101" s="196" t="n">
        <x:f>IFERROR(I101/F101,"")</x:f>
        <x:v>-0.31921788256010175</x:v>
      </x:c>
    </x:row>
    <x:row r="102">
      <x:c r="A102" s="186" t="str">
        <x:v>Gold</x:v>
      </x:c>
      <x:c r="B102" s="187" t="n">
        <x:v>42724</x:v>
      </x:c>
      <x:c r="C102" s="187" t="n">
        <x:v>42727</x:v>
      </x:c>
      <x:c r="D102" s="186" t="str">
        <x:v>088691-GOLD</x:v>
      </x:c>
      <x:c r="E102" s="186" t="str">
        <x:v>GOLD - COMMODITY EXCHANGE INC.</x:v>
      </x:c>
      <x:c r="F102" s="186" t="n">
        <x:v>398661</x:v>
      </x:c>
      <x:c r="G102" s="186" t="n">
        <x:v>22130</x:v>
      </x:c>
      <x:c r="H102" s="186" t="n">
        <x:v>101474</x:v>
      </x:c>
      <x:c r="I102" s="186" t="n">
        <x:f>G102-H102</x:f>
        <x:v>-79344</x:v>
      </x:c>
      <x:c r="J102" s="186" t="n">
        <x:v>39604</x:v>
      </x:c>
      <x:c r="K102" s="186" t="n">
        <x:v>94282</x:v>
      </x:c>
      <x:c r="L102" s="186" t="n">
        <x:f>J102-K102</x:f>
        <x:v>-54678</x:v>
      </x:c>
      <x:c r="M102" s="186" t="n">
        <x:v>137588</x:v>
      </x:c>
      <x:c r="N102" s="186" t="n">
        <x:v>83783</x:v>
      </x:c>
      <x:c r="O102" s="186" t="n">
        <x:f>M102-N102</x:f>
        <x:v>53805</x:v>
      </x:c>
      <x:c r="P102" s="186" t="n">
        <x:v>81479</x:v>
      </x:c>
      <x:c r="Q102" s="186" t="n">
        <x:v>20450</x:v>
      </x:c>
      <x:c r="R102" s="186" t="n">
        <x:f>P102-Q102</x:f>
        <x:v>61029</x:v>
      </x:c>
      <x:c r="S102" s="186" t="n">
        <x:v>47292</x:v>
      </x:c>
      <x:c r="T102" s="186" t="n">
        <x:v>28104</x:v>
      </x:c>
      <x:c r="U102" s="186" t="n">
        <x:f>S102-T102</x:f>
        <x:v>19188</x:v>
      </x:c>
      <x:c r="V102" s="196" t="n">
        <x:f>IFERROR(O102/F102,"")</x:f>
        <x:v>0.1349642929707195</x:v>
      </x:c>
      <x:c r="W102" s="196" t="n">
        <x:f>IFERROR(I102/F102,"")</x:f>
        <x:v>-0.1990262403395366</x:v>
      </x:c>
    </x:row>
    <x:row r="103">
      <x:c r="A103" s="186" t="str">
        <x:v>Silver</x:v>
      </x:c>
      <x:c r="B103" s="187" t="n">
        <x:v>42724</x:v>
      </x:c>
      <x:c r="C103" s="187" t="n">
        <x:v>42727</x:v>
      </x:c>
      <x:c r="D103" s="186" t="str">
        <x:v>084691-SILVER</x:v>
      </x:c>
      <x:c r="E103" s="186" t="str">
        <x:v>SILVER - COMMODITY EXCHANGE INC.</x:v>
      </x:c>
      <x:c r="F103" s="186" t="n">
        <x:v>159697</x:v>
      </x:c>
      <x:c r="G103" s="186" t="n">
        <x:v>10859</x:v>
      </x:c>
      <x:c r="H103" s="186" t="n">
        <x:v>58920</x:v>
      </x:c>
      <x:c r="I103" s="186" t="n">
        <x:f>G103-H103</x:f>
        <x:v>-48061</x:v>
      </x:c>
      <x:c r="J103" s="186" t="n">
        <x:v>25559</x:v>
      </x:c>
      <x:c r="K103" s="186" t="n">
        <x:v>51446</x:v>
      </x:c>
      <x:c r="L103" s="186" t="n">
        <x:f>J103-K103</x:f>
        <x:v>-25887</x:v>
      </x:c>
      <x:c r="M103" s="186" t="n">
        <x:v>59215</x:v>
      </x:c>
      <x:c r="N103" s="186" t="n">
        <x:v>16139</x:v>
      </x:c>
      <x:c r="O103" s="186" t="n">
        <x:f>M103-N103</x:f>
        <x:v>43076</x:v>
      </x:c>
      <x:c r="P103" s="186" t="n">
        <x:v>24314</x:v>
      </x:c>
      <x:c r="Q103" s="186" t="n">
        <x:v>6496</x:v>
      </x:c>
      <x:c r="R103" s="186" t="n">
        <x:f>P103-Q103</x:f>
        <x:v>17818</x:v>
      </x:c>
      <x:c r="S103" s="186" t="n">
        <x:v>24275</x:v>
      </x:c>
      <x:c r="T103" s="186" t="n">
        <x:v>11221</x:v>
      </x:c>
      <x:c r="U103" s="186" t="n">
        <x:f>S103-T103</x:f>
        <x:v>13054</x:v>
      </x:c>
      <x:c r="V103" s="196" t="n">
        <x:f>IFERROR(O103/F103,"")</x:f>
        <x:v>0.26973581219434306</x:v>
      </x:c>
      <x:c r="W103" s="196" t="n">
        <x:f>IFERROR(I103/F103,"")</x:f>
        <x:v>-0.3009511762900994</x:v>
      </x:c>
    </x:row>
    <x:row r="104">
      <x:c r="A104" s="186" t="str">
        <x:v>Gold</x:v>
      </x:c>
      <x:c r="B104" s="187" t="n">
        <x:v>42731</x:v>
      </x:c>
      <x:c r="C104" s="187" t="n">
        <x:v>42734</x:v>
      </x:c>
      <x:c r="D104" s="186" t="str">
        <x:v>088691-GOLD</x:v>
      </x:c>
      <x:c r="E104" s="186" t="str">
        <x:v>GOLD - COMMODITY EXCHANGE INC.</x:v>
      </x:c>
      <x:c r="F104" s="186" t="n">
        <x:v>401513</x:v>
      </x:c>
      <x:c r="G104" s="186" t="n">
        <x:v>23547</x:v>
      </x:c>
      <x:c r="H104" s="186" t="n">
        <x:v>97994</x:v>
      </x:c>
      <x:c r="I104" s="186" t="n">
        <x:f>G104-H104</x:f>
        <x:v>-74447</x:v>
      </x:c>
      <x:c r="J104" s="186" t="n">
        <x:v>41038</x:v>
      </x:c>
      <x:c r="K104" s="186" t="n">
        <x:v>87558</x:v>
      </x:c>
      <x:c r="L104" s="186" t="n">
        <x:f>J104-K104</x:f>
        <x:v>-46520</x:v>
      </x:c>
      <x:c r="M104" s="186" t="n">
        <x:v>130595</x:v>
      </x:c>
      <x:c r="N104" s="186" t="n">
        <x:v>87229</x:v>
      </x:c>
      <x:c r="O104" s="186" t="n">
        <x:f>M104-N104</x:f>
        <x:v>43366</x:v>
      </x:c>
      <x:c r="P104" s="186" t="n">
        <x:v>75943</x:v>
      </x:c>
      <x:c r="Q104" s="186" t="n">
        <x:v>20966</x:v>
      </x:c>
      <x:c r="R104" s="186" t="n">
        <x:f>P104-Q104</x:f>
        <x:v>54977</x:v>
      </x:c>
      <x:c r="S104" s="186" t="n">
        <x:v>49164</x:v>
      </x:c>
      <x:c r="T104" s="186" t="n">
        <x:v>26540</x:v>
      </x:c>
      <x:c r="U104" s="186" t="n">
        <x:f>S104-T104</x:f>
        <x:v>22624</x:v>
      </x:c>
      <x:c r="V104" s="196" t="n">
        <x:f>IFERROR(O104/F104,"")</x:f>
        <x:v>0.10800646554407951</x:v>
      </x:c>
      <x:c r="W104" s="196" t="n">
        <x:f>IFERROR(I104/F104,"")</x:f>
        <x:v>-0.18541616336208291</x:v>
      </x:c>
    </x:row>
    <x:row r="105">
      <x:c r="A105" s="186" t="str">
        <x:v>Silver</x:v>
      </x:c>
      <x:c r="B105" s="187" t="n">
        <x:v>42731</x:v>
      </x:c>
      <x:c r="C105" s="187" t="n">
        <x:v>42734</x:v>
      </x:c>
      <x:c r="D105" s="186" t="str">
        <x:v>084691-SILVER</x:v>
      </x:c>
      <x:c r="E105" s="186" t="str">
        <x:v>SILVER - COMMODITY EXCHANGE INC.</x:v>
      </x:c>
      <x:c r="F105" s="186" t="n">
        <x:v>163097</x:v>
      </x:c>
      <x:c r="G105" s="186" t="n">
        <x:v>10496</x:v>
      </x:c>
      <x:c r="H105" s="186" t="n">
        <x:v>58612</x:v>
      </x:c>
      <x:c r="I105" s="186" t="n">
        <x:f>G105-H105</x:f>
        <x:v>-48116</x:v>
      </x:c>
      <x:c r="J105" s="186" t="n">
        <x:v>25696</x:v>
      </x:c>
      <x:c r="K105" s="186" t="n">
        <x:v>51587</x:v>
      </x:c>
      <x:c r="L105" s="186" t="n">
        <x:f>J105-K105</x:f>
        <x:v>-25891</x:v>
      </x:c>
      <x:c r="M105" s="186" t="n">
        <x:v>58183</x:v>
      </x:c>
      <x:c r="N105" s="186" t="n">
        <x:v>18967</x:v>
      </x:c>
      <x:c r="O105" s="186" t="n">
        <x:f>M105-N105</x:f>
        <x:v>39216</x:v>
      </x:c>
      <x:c r="P105" s="186" t="n">
        <x:v>26147</x:v>
      </x:c>
      <x:c r="Q105" s="186" t="n">
        <x:v>6452</x:v>
      </x:c>
      <x:c r="R105" s="186" t="n">
        <x:f>P105-Q105</x:f>
        <x:v>19695</x:v>
      </x:c>
      <x:c r="S105" s="186" t="n">
        <x:v>25484</x:v>
      </x:c>
      <x:c r="T105" s="186" t="n">
        <x:v>10388</x:v>
      </x:c>
      <x:c r="U105" s="186" t="n">
        <x:f>S105-T105</x:f>
        <x:v>15096</x:v>
      </x:c>
      <x:c r="V105" s="196" t="n">
        <x:f>IFERROR(O105/F105,"")</x:f>
        <x:v>0.24044586963586087</x:v>
      </x:c>
      <x:c r="W105" s="196" t="n">
        <x:f>IFERROR(I105/F105,"")</x:f>
        <x:v>-0.29501462319969096</x:v>
      </x:c>
    </x:row>
    <x:row r="106">
      <x:c r="A106" s="186" t="str">
        <x:v>Gold</x:v>
      </x:c>
      <x:c r="B106" s="187" t="n">
        <x:v>42738</x:v>
      </x:c>
      <x:c r="C106" s="187" t="n">
        <x:v>42741</x:v>
      </x:c>
      <x:c r="D106" s="186" t="str">
        <x:v>088691-GOLD</x:v>
      </x:c>
      <x:c r="E106" s="186" t="str">
        <x:v>GOLD - COMMODITY EXCHANGE INC.</x:v>
      </x:c>
      <x:c r="F106" s="186" t="n">
        <x:v>424673</x:v>
      </x:c>
      <x:c r="G106" s="186" t="n">
        <x:v>24768</x:v>
      </x:c>
      <x:c r="H106" s="186" t="n">
        <x:v>97997</x:v>
      </x:c>
      <x:c r="I106" s="186" t="n">
        <x:f>G106-H106</x:f>
        <x:v>-73229</x:v>
      </x:c>
      <x:c r="J106" s="186" t="n">
        <x:v>45237</x:v>
      </x:c>
      <x:c r="K106" s="186" t="n">
        <x:v>89620</x:v>
      </x:c>
      <x:c r="L106" s="186" t="n">
        <x:f>J106-K106</x:f>
        <x:v>-44383</x:v>
      </x:c>
      <x:c r="M106" s="186" t="n">
        <x:v>127786</x:v>
      </x:c>
      <x:c r="N106" s="186" t="n">
        <x:v>91229</x:v>
      </x:c>
      <x:c r="O106" s="186" t="n">
        <x:f>M106-N106</x:f>
        <x:v>36557</x:v>
      </x:c>
      <x:c r="P106" s="186" t="n">
        <x:v>81069</x:v>
      </x:c>
      <x:c r="Q106" s="186" t="n">
        <x:v>21076</x:v>
      </x:c>
      <x:c r="R106" s="186" t="n">
        <x:f>P106-Q106</x:f>
        <x:v>59993</x:v>
      </x:c>
      <x:c r="S106" s="186" t="n">
        <x:v>47387</x:v>
      </x:c>
      <x:c r="T106" s="186" t="n">
        <x:v>26325</x:v>
      </x:c>
      <x:c r="U106" s="186" t="n">
        <x:f>S106-T106</x:f>
        <x:v>21062</x:v>
      </x:c>
      <x:c r="V106" s="196" t="n">
        <x:f>IFERROR(O106/F106,"")</x:f>
        <x:v>0.08608270363314832</x:v>
      </x:c>
      <x:c r="W106" s="196" t="n">
        <x:f>IFERROR(I106/F106,"")</x:f>
        <x:v>-0.1724362038556725</x:v>
      </x:c>
    </x:row>
    <x:row r="107">
      <x:c r="A107" s="186" t="str">
        <x:v>Silver</x:v>
      </x:c>
      <x:c r="B107" s="187" t="n">
        <x:v>42738</x:v>
      </x:c>
      <x:c r="C107" s="187" t="n">
        <x:v>42741</x:v>
      </x:c>
      <x:c r="D107" s="186" t="str">
        <x:v>084691-SILVER</x:v>
      </x:c>
      <x:c r="E107" s="186" t="str">
        <x:v>SILVER - COMMODITY EXCHANGE INC.</x:v>
      </x:c>
      <x:c r="F107" s="186" t="n">
        <x:v>163812</x:v>
      </x:c>
      <x:c r="G107" s="186" t="n">
        <x:v>10781</x:v>
      </x:c>
      <x:c r="H107" s="186" t="n">
        <x:v>59939</x:v>
      </x:c>
      <x:c r="I107" s="186" t="n">
        <x:f>G107-H107</x:f>
        <x:v>-49158</x:v>
      </x:c>
      <x:c r="J107" s="186" t="n">
        <x:v>25817</x:v>
      </x:c>
      <x:c r="K107" s="186" t="n">
        <x:v>52473</x:v>
      </x:c>
      <x:c r="L107" s="186" t="n">
        <x:f>J107-K107</x:f>
        <x:v>-26656</x:v>
      </x:c>
      <x:c r="M107" s="186" t="n">
        <x:v>61676</x:v>
      </x:c>
      <x:c r="N107" s="186" t="n">
        <x:v>19343</x:v>
      </x:c>
      <x:c r="O107" s="186" t="n">
        <x:f>M107-N107</x:f>
        <x:v>42333</x:v>
      </x:c>
      <x:c r="P107" s="186" t="n">
        <x:v>25145</x:v>
      </x:c>
      <x:c r="Q107" s="186" t="n">
        <x:v>6187</x:v>
      </x:c>
      <x:c r="R107" s="186" t="n">
        <x:f>P107-Q107</x:f>
        <x:v>18958</x:v>
      </x:c>
      <x:c r="S107" s="186" t="n">
        <x:v>24621</x:v>
      </x:c>
      <x:c r="T107" s="186" t="n">
        <x:v>10098</x:v>
      </x:c>
      <x:c r="U107" s="186" t="n">
        <x:f>S107-T107</x:f>
        <x:v>14523</x:v>
      </x:c>
      <x:c r="V107" s="196" t="n">
        <x:f>IFERROR(O107/F107,"")</x:f>
        <x:v>0.2584242912607135</x:v>
      </x:c>
      <x:c r="W107" s="196" t="n">
        <x:f>IFERROR(I107/F107,"")</x:f>
        <x:v>-0.30008790564793786</x:v>
      </x:c>
    </x:row>
    <x:row r="108">
      <x:c r="A108" s="186" t="str">
        <x:v>Gold</x:v>
      </x:c>
      <x:c r="B108" s="187" t="n">
        <x:v>42745</x:v>
      </x:c>
      <x:c r="C108" s="187" t="n">
        <x:v>42748</x:v>
      </x:c>
      <x:c r="D108" s="186" t="str">
        <x:v>088691-GOLD</x:v>
      </x:c>
      <x:c r="E108" s="186" t="str">
        <x:v>GOLD - COMMODITY EXCHANGE INC.</x:v>
      </x:c>
      <x:c r="F108" s="186" t="n">
        <x:v>444001</x:v>
      </x:c>
      <x:c r="G108" s="186" t="n">
        <x:v>24588</x:v>
      </x:c>
      <x:c r="H108" s="186" t="n">
        <x:v>96661</x:v>
      </x:c>
      <x:c r="I108" s="186" t="n">
        <x:f>G108-H108</x:f>
        <x:v>-72073</x:v>
      </x:c>
      <x:c r="J108" s="186" t="n">
        <x:v>43277</x:v>
      </x:c>
      <x:c r="K108" s="186" t="n">
        <x:v>97020</x:v>
      </x:c>
      <x:c r="L108" s="186" t="n">
        <x:f>J108-K108</x:f>
        <x:v>-53743</x:v>
      </x:c>
      <x:c r="M108" s="186" t="n">
        <x:v>135563</x:v>
      </x:c>
      <x:c r="N108" s="186" t="n">
        <x:v>79884</x:v>
      </x:c>
      <x:c r="O108" s="186" t="n">
        <x:f>M108-N108</x:f>
        <x:v>55679</x:v>
      </x:c>
      <x:c r="P108" s="186" t="n">
        <x:v>78437</x:v>
      </x:c>
      <x:c r="Q108" s="186" t="n">
        <x:v>24634</x:v>
      </x:c>
      <x:c r="R108" s="186" t="n">
        <x:f>P108-Q108</x:f>
        <x:v>53803</x:v>
      </x:c>
      <x:c r="S108" s="186" t="n">
        <x:v>44077</x:v>
      </x:c>
      <x:c r="T108" s="186" t="n">
        <x:v>27743</x:v>
      </x:c>
      <x:c r="U108" s="186" t="n">
        <x:f>S108-T108</x:f>
        <x:v>16334</x:v>
      </x:c>
      <x:c r="V108" s="196" t="n">
        <x:f>IFERROR(O108/F108,"")</x:f>
        <x:v>0.12540287071425515</x:v>
      </x:c>
      <x:c r="W108" s="196" t="n">
        <x:f>IFERROR(I108/F108,"")</x:f>
        <x:v>-0.1623262109770023</x:v>
      </x:c>
    </x:row>
    <x:row r="109">
      <x:c r="A109" s="186" t="str">
        <x:v>Silver</x:v>
      </x:c>
      <x:c r="B109" s="187" t="n">
        <x:v>42745</x:v>
      </x:c>
      <x:c r="C109" s="187" t="n">
        <x:v>42748</x:v>
      </x:c>
      <x:c r="D109" s="186" t="str">
        <x:v>084691-SILVER</x:v>
      </x:c>
      <x:c r="E109" s="186" t="str">
        <x:v>SILVER - COMMODITY EXCHANGE INC.</x:v>
      </x:c>
      <x:c r="F109" s="186" t="n">
        <x:v>165040</x:v>
      </x:c>
      <x:c r="G109" s="186" t="n">
        <x:v>9915</x:v>
      </x:c>
      <x:c r="H109" s="186" t="n">
        <x:v>58682</x:v>
      </x:c>
      <x:c r="I109" s="186" t="n">
        <x:f>G109-H109</x:f>
        <x:v>-48767</x:v>
      </x:c>
      <x:c r="J109" s="186" t="n">
        <x:v>26008</x:v>
      </x:c>
      <x:c r="K109" s="186" t="n">
        <x:v>56178</x:v>
      </x:c>
      <x:c r="L109" s="186" t="n">
        <x:f>J109-K109</x:f>
        <x:v>-30170</x:v>
      </x:c>
      <x:c r="M109" s="186" t="n">
        <x:v>64671</x:v>
      </x:c>
      <x:c r="N109" s="186" t="n">
        <x:v>17897</x:v>
      </x:c>
      <x:c r="O109" s="186" t="n">
        <x:f>M109-N109</x:f>
        <x:v>46774</x:v>
      </x:c>
      <x:c r="P109" s="186" t="n">
        <x:v>23759</x:v>
      </x:c>
      <x:c r="Q109" s="186" t="n">
        <x:v>5932</x:v>
      </x:c>
      <x:c r="R109" s="186" t="n">
        <x:f>P109-Q109</x:f>
        <x:v>17827</x:v>
      </x:c>
      <x:c r="S109" s="186" t="n">
        <x:v>24649</x:v>
      </x:c>
      <x:c r="T109" s="186" t="n">
        <x:v>10313</x:v>
      </x:c>
      <x:c r="U109" s="186" t="n">
        <x:f>S109-T109</x:f>
        <x:v>14336</x:v>
      </x:c>
      <x:c r="V109" s="196" t="n">
        <x:f>IFERROR(O109/F109,"")</x:f>
        <x:v>0.28341008240426563</x:v>
      </x:c>
      <x:c r="W109" s="196" t="n">
        <x:f>IFERROR(I109/F109,"")</x:f>
        <x:v>-0.295485942801745</x:v>
      </x:c>
    </x:row>
    <x:row r="110">
      <x:c r="A110" s="186" t="str">
        <x:v>Gold</x:v>
      </x:c>
      <x:c r="B110" s="187" t="n">
        <x:v>42752</x:v>
      </x:c>
      <x:c r="C110" s="187" t="n">
        <x:v>42755</x:v>
      </x:c>
      <x:c r="D110" s="186" t="str">
        <x:v>088691-GOLD</x:v>
      </x:c>
      <x:c r="E110" s="186" t="str">
        <x:v>GOLD - COMMODITY EXCHANGE INC.</x:v>
      </x:c>
      <x:c r="F110" s="186" t="n">
        <x:v>467937</x:v>
      </x:c>
      <x:c r="G110" s="186" t="n">
        <x:v>23844</x:v>
      </x:c>
      <x:c r="H110" s="186" t="n">
        <x:v>99443</x:v>
      </x:c>
      <x:c r="I110" s="186" t="n">
        <x:f>G110-H110</x:f>
        <x:v>-75599</x:v>
      </x:c>
      <x:c r="J110" s="186" t="n">
        <x:v>55461</x:v>
      </x:c>
      <x:c r="K110" s="186" t="n">
        <x:v>102973</x:v>
      </x:c>
      <x:c r="L110" s="186" t="n">
        <x:f>J110-K110</x:f>
        <x:v>-47512</x:v>
      </x:c>
      <x:c r="M110" s="186" t="n">
        <x:v>141566</x:v>
      </x:c>
      <x:c r="N110" s="186" t="n">
        <x:v>82931</x:v>
      </x:c>
      <x:c r="O110" s="186" t="n">
        <x:f>M110-N110</x:f>
        <x:v>58635</x:v>
      </x:c>
      <x:c r="P110" s="186" t="n">
        <x:v>76578</x:v>
      </x:c>
      <x:c r="Q110" s="186" t="n">
        <x:v>28172</x:v>
      </x:c>
      <x:c r="R110" s="186" t="n">
        <x:f>P110-Q110</x:f>
        <x:v>48406</x:v>
      </x:c>
      <x:c r="S110" s="186" t="n">
        <x:v>43995</x:v>
      </x:c>
      <x:c r="T110" s="186" t="n">
        <x:v>27925</x:v>
      </x:c>
      <x:c r="U110" s="186" t="n">
        <x:f>S110-T110</x:f>
        <x:v>16070</x:v>
      </x:c>
      <x:c r="V110" s="196" t="n">
        <x:f>IFERROR(O110/F110,"")</x:f>
        <x:v>0.1253053295635951</x:v>
      </x:c>
      <x:c r="W110" s="196" t="n">
        <x:f>IFERROR(I110/F110,"")</x:f>
        <x:v>-0.16155807298845784</x:v>
      </x:c>
    </x:row>
    <x:row r="111">
      <x:c r="A111" s="186" t="str">
        <x:v>Silver</x:v>
      </x:c>
      <x:c r="B111" s="187" t="n">
        <x:v>42752</x:v>
      </x:c>
      <x:c r="C111" s="187" t="n">
        <x:v>42755</x:v>
      </x:c>
      <x:c r="D111" s="186" t="str">
        <x:v>084691-SILVER</x:v>
      </x:c>
      <x:c r="E111" s="186" t="str">
        <x:v>SILVER - COMMODITY EXCHANGE INC.</x:v>
      </x:c>
      <x:c r="F111" s="186" t="n">
        <x:v>172056</x:v>
      </x:c>
      <x:c r="G111" s="186" t="n">
        <x:v>11209</x:v>
      </x:c>
      <x:c r="H111" s="186" t="n">
        <x:v>62574</x:v>
      </x:c>
      <x:c r="I111" s="186" t="n">
        <x:f>G111-H111</x:f>
        <x:v>-51365</x:v>
      </x:c>
      <x:c r="J111" s="186" t="n">
        <x:v>28683</x:v>
      </x:c>
      <x:c r="K111" s="186" t="n">
        <x:v>59054</x:v>
      </x:c>
      <x:c r="L111" s="186" t="n">
        <x:f>J111-K111</x:f>
        <x:v>-30371</x:v>
      </x:c>
      <x:c r="M111" s="186" t="n">
        <x:v>67215</x:v>
      </x:c>
      <x:c r="N111" s="186" t="n">
        <x:v>15438</x:v>
      </x:c>
      <x:c r="O111" s="186" t="n">
        <x:f>M111-N111</x:f>
        <x:v>51777</x:v>
      </x:c>
      <x:c r="P111" s="186" t="n">
        <x:v>23623</x:v>
      </x:c>
      <x:c r="Q111" s="186" t="n">
        <x:v>5918</x:v>
      </x:c>
      <x:c r="R111" s="186" t="n">
        <x:f>P111-Q111</x:f>
        <x:v>17705</x:v>
      </x:c>
      <x:c r="S111" s="186" t="n">
        <x:v>23572</x:v>
      </x:c>
      <x:c r="T111" s="186" t="n">
        <x:v>11318</x:v>
      </x:c>
      <x:c r="U111" s="186" t="n">
        <x:f>S111-T111</x:f>
        <x:v>12254</x:v>
      </x:c>
      <x:c r="V111" s="196" t="n">
        <x:f>IFERROR(O111/F111,"")</x:f>
        <x:v>0.3009310922025387</x:v>
      </x:c>
      <x:c r="W111" s="196" t="n">
        <x:f>IFERROR(I111/F111,"")</x:f>
        <x:v>-0.29853652299251404</x:v>
      </x:c>
    </x:row>
    <x:row r="112">
      <x:c r="A112" s="186" t="str">
        <x:v>Gold</x:v>
      </x:c>
      <x:c r="B112" s="187" t="n">
        <x:v>42759</x:v>
      </x:c>
      <x:c r="C112" s="187" t="n">
        <x:v>42762</x:v>
      </x:c>
      <x:c r="D112" s="186" t="str">
        <x:v>088691-GOLD</x:v>
      </x:c>
      <x:c r="E112" s="186" t="str">
        <x:v>GOLD - COMMODITY EXCHANGE INC.</x:v>
      </x:c>
      <x:c r="F112" s="186" t="n">
        <x:v>482374</x:v>
      </x:c>
      <x:c r="G112" s="186" t="n">
        <x:v>23117</x:v>
      </x:c>
      <x:c r="H112" s="186" t="n">
        <x:v>108482</x:v>
      </x:c>
      <x:c r="I112" s="186" t="n">
        <x:f>G112-H112</x:f>
        <x:v>-85365</x:v>
      </x:c>
      <x:c r="J112" s="186" t="n">
        <x:v>58497</x:v>
      </x:c>
      <x:c r="K112" s="186" t="n">
        <x:v>99506</x:v>
      </x:c>
      <x:c r="L112" s="186" t="n">
        <x:f>J112-K112</x:f>
        <x:v>-41009</x:v>
      </x:c>
      <x:c r="M112" s="186" t="n">
        <x:v>135159</x:v>
      </x:c>
      <x:c r="N112" s="186" t="n">
        <x:v>75405</x:v>
      </x:c>
      <x:c r="O112" s="186" t="n">
        <x:f>M112-N112</x:f>
        <x:v>59754</x:v>
      </x:c>
      <x:c r="P112" s="186" t="n">
        <x:v>74695</x:v>
      </x:c>
      <x:c r="Q112" s="186" t="n">
        <x:v>25042</x:v>
      </x:c>
      <x:c r="R112" s="186" t="n">
        <x:f>P112-Q112</x:f>
        <x:v>49653</x:v>
      </x:c>
      <x:c r="S112" s="186" t="n">
        <x:v>43722</x:v>
      </x:c>
      <x:c r="T112" s="186" t="n">
        <x:v>26755</x:v>
      </x:c>
      <x:c r="U112" s="186" t="n">
        <x:f>S112-T112</x:f>
        <x:v>16967</x:v>
      </x:c>
      <x:c r="V112" s="196" t="n">
        <x:f>IFERROR(O112/F112,"")</x:f>
        <x:v>0.12387483570839225</x:v>
      </x:c>
      <x:c r="W112" s="196" t="n">
        <x:f>IFERROR(I112/F112,"")</x:f>
        <x:v>-0.17696849332675477</x:v>
      </x:c>
    </x:row>
    <x:row r="113">
      <x:c r="A113" s="186" t="str">
        <x:v>Silver</x:v>
      </x:c>
      <x:c r="B113" s="187" t="n">
        <x:v>42759</x:v>
      </x:c>
      <x:c r="C113" s="187" t="n">
        <x:v>42762</x:v>
      </x:c>
      <x:c r="D113" s="186" t="str">
        <x:v>084691-SILVER</x:v>
      </x:c>
      <x:c r="E113" s="186" t="str">
        <x:v>SILVER - COMMODITY EXCHANGE INC.</x:v>
      </x:c>
      <x:c r="F113" s="186" t="n">
        <x:v>177601</x:v>
      </x:c>
      <x:c r="G113" s="186" t="n">
        <x:v>11387</x:v>
      </x:c>
      <x:c r="H113" s="186" t="n">
        <x:v>65079</x:v>
      </x:c>
      <x:c r="I113" s="186" t="n">
        <x:f>G113-H113</x:f>
        <x:v>-53692</x:v>
      </x:c>
      <x:c r="J113" s="186" t="n">
        <x:v>30725</x:v>
      </x:c>
      <x:c r="K113" s="186" t="n">
        <x:v>60117</x:v>
      </x:c>
      <x:c r="L113" s="186" t="n">
        <x:f>J113-K113</x:f>
        <x:v>-29392</x:v>
      </x:c>
      <x:c r="M113" s="186" t="n">
        <x:v>71727</x:v>
      </x:c>
      <x:c r="N113" s="186" t="n">
        <x:v>15625</x:v>
      </x:c>
      <x:c r="O113" s="186" t="n">
        <x:f>M113-N113</x:f>
        <x:v>56102</x:v>
      </x:c>
      <x:c r="P113" s="186" t="n">
        <x:v>20592</x:v>
      </x:c>
      <x:c r="Q113" s="186" t="n">
        <x:v>5673</x:v>
      </x:c>
      <x:c r="R113" s="186" t="n">
        <x:f>P113-Q113</x:f>
        <x:v>14919</x:v>
      </x:c>
      <x:c r="S113" s="186" t="n">
        <x:v>22660</x:v>
      </x:c>
      <x:c r="T113" s="186" t="n">
        <x:v>10597</x:v>
      </x:c>
      <x:c r="U113" s="186" t="n">
        <x:f>S113-T113</x:f>
        <x:v>12063</x:v>
      </x:c>
      <x:c r="V113" s="196" t="n">
        <x:f>IFERROR(O113/F113,"")</x:f>
        <x:v>0.3158878609917737</x:v>
      </x:c>
      <x:c r="W113" s="196" t="n">
        <x:f>IFERROR(I113/F113,"")</x:f>
        <x:v>-0.3023181175781668</x:v>
      </x:c>
    </x:row>
    <x:row r="114">
      <x:c r="A114" s="186" t="str">
        <x:v>Gold</x:v>
      </x:c>
      <x:c r="B114" s="187" t="n">
        <x:v>42766</x:v>
      </x:c>
      <x:c r="C114" s="187" t="n">
        <x:v>42769</x:v>
      </x:c>
      <x:c r="D114" s="186" t="str">
        <x:v>088691-GOLD</x:v>
      </x:c>
      <x:c r="E114" s="186" t="str">
        <x:v>GOLD - COMMODITY EXCHANGE INC.</x:v>
      </x:c>
      <x:c r="F114" s="186" t="n">
        <x:v>398433</x:v>
      </x:c>
      <x:c r="G114" s="186" t="n">
        <x:v>20746</x:v>
      </x:c>
      <x:c r="H114" s="186" t="n">
        <x:v>110568</x:v>
      </x:c>
      <x:c r="I114" s="186" t="n">
        <x:f>G114-H114</x:f>
        <x:v>-89822</x:v>
      </x:c>
      <x:c r="J114" s="186" t="n">
        <x:v>58393</x:v>
      </x:c>
      <x:c r="K114" s="186" t="n">
        <x:v>100374</x:v>
      </x:c>
      <x:c r="L114" s="186" t="n">
        <x:f>J114-K114</x:f>
        <x:v>-41981</x:v>
      </x:c>
      <x:c r="M114" s="186" t="n">
        <x:v>140663</x:v>
      </x:c>
      <x:c r="N114" s="186" t="n">
        <x:v>70826</x:v>
      </x:c>
      <x:c r="O114" s="186" t="n">
        <x:f>M114-N114</x:f>
        <x:v>69837</x:v>
      </x:c>
      <x:c r="P114" s="186" t="n">
        <x:v>71751</x:v>
      </x:c>
      <x:c r="Q114" s="186" t="n">
        <x:v>22433</x:v>
      </x:c>
      <x:c r="R114" s="186" t="n">
        <x:f>P114-Q114</x:f>
        <x:v>49318</x:v>
      </x:c>
      <x:c r="S114" s="186" t="n">
        <x:v>39227</x:v>
      </x:c>
      <x:c r="T114" s="186" t="n">
        <x:v>26579</x:v>
      </x:c>
      <x:c r="U114" s="186" t="n">
        <x:f>S114-T114</x:f>
        <x:v>12648</x:v>
      </x:c>
      <x:c r="V114" s="196" t="n">
        <x:f>IFERROR(O114/F114,"")</x:f>
        <x:v>0.17527915609399825</x:v>
      </x:c>
      <x:c r="W114" s="196" t="n">
        <x:f>IFERROR(I114/F114,"")</x:f>
        <x:v>-0.2254381539681703</x:v>
      </x:c>
    </x:row>
    <x:row r="115">
      <x:c r="A115" s="186" t="str">
        <x:v>Silver</x:v>
      </x:c>
      <x:c r="B115" s="187" t="n">
        <x:v>42766</x:v>
      </x:c>
      <x:c r="C115" s="187" t="n">
        <x:v>42769</x:v>
      </x:c>
      <x:c r="D115" s="186" t="str">
        <x:v>084691-SILVER</x:v>
      </x:c>
      <x:c r="E115" s="186" t="str">
        <x:v>SILVER - COMMODITY EXCHANGE INC.</x:v>
      </x:c>
      <x:c r="F115" s="186" t="n">
        <x:v>186839</x:v>
      </x:c>
      <x:c r="G115" s="186" t="n">
        <x:v>12146</x:v>
      </x:c>
      <x:c r="H115" s="186" t="n">
        <x:v>71140</x:v>
      </x:c>
      <x:c r="I115" s="186" t="n">
        <x:f>G115-H115</x:f>
        <x:v>-58994</x:v>
      </x:c>
      <x:c r="J115" s="186" t="n">
        <x:v>30438</x:v>
      </x:c>
      <x:c r="K115" s="186" t="n">
        <x:v>60857</x:v>
      </x:c>
      <x:c r="L115" s="186" t="n">
        <x:f>J115-K115</x:f>
        <x:v>-30419</x:v>
      </x:c>
      <x:c r="M115" s="186" t="n">
        <x:v>76808</x:v>
      </x:c>
      <x:c r="N115" s="186" t="n">
        <x:v>12844</x:v>
      </x:c>
      <x:c r="O115" s="186" t="n">
        <x:f>M115-N115</x:f>
        <x:v>63964</x:v>
      </x:c>
      <x:c r="P115" s="186" t="n">
        <x:v>20101</x:v>
      </x:c>
      <x:c r="Q115" s="186" t="n">
        <x:v>8091</x:v>
      </x:c>
      <x:c r="R115" s="186" t="n">
        <x:f>P115-Q115</x:f>
        <x:v>12010</x:v>
      </x:c>
      <x:c r="S115" s="186" t="n">
        <x:v>24165</x:v>
      </x:c>
      <x:c r="T115" s="186" t="n">
        <x:v>10726</x:v>
      </x:c>
      <x:c r="U115" s="186" t="n">
        <x:f>S115-T115</x:f>
        <x:v>13439</x:v>
      </x:c>
      <x:c r="V115" s="196" t="n">
        <x:f>IFERROR(O115/F115,"")</x:f>
        <x:v>0.34234822494233</x:v>
      </x:c>
      <x:c r="W115" s="196" t="n">
        <x:f>IFERROR(I115/F115,"")</x:f>
        <x:v>-0.31574778285047556</x:v>
      </x:c>
    </x:row>
    <x:row r="116">
      <x:c r="A116" s="186" t="str">
        <x:v>Gold</x:v>
      </x:c>
      <x:c r="B116" s="187" t="n">
        <x:v>42773</x:v>
      </x:c>
      <x:c r="C116" s="187" t="n">
        <x:v>42776</x:v>
      </x:c>
      <x:c r="D116" s="186" t="str">
        <x:v>088691-GOLD</x:v>
      </x:c>
      <x:c r="E116" s="186" t="str">
        <x:v>GOLD - COMMODITY EXCHANGE INC.</x:v>
      </x:c>
      <x:c r="F116" s="186" t="n">
        <x:v>415543</x:v>
      </x:c>
      <x:c r="G116" s="186" t="n">
        <x:v>22551</x:v>
      </x:c>
      <x:c r="H116" s="186" t="n">
        <x:v>115774</x:v>
      </x:c>
      <x:c r="I116" s="186" t="n">
        <x:f>G116-H116</x:f>
        <x:v>-93223</x:v>
      </x:c>
      <x:c r="J116" s="186" t="n">
        <x:v>62157</x:v>
      </x:c>
      <x:c r="K116" s="186" t="n">
        <x:v>103080</x:v>
      </x:c>
      <x:c r="L116" s="186" t="n">
        <x:f>J116-K116</x:f>
        <x:v>-40923</x:v>
      </x:c>
      <x:c r="M116" s="186" t="n">
        <x:v>142542</x:v>
      </x:c>
      <x:c r="N116" s="186" t="n">
        <x:v>72393</x:v>
      </x:c>
      <x:c r="O116" s="186" t="n">
        <x:f>M116-N116</x:f>
        <x:v>70149</x:v>
      </x:c>
      <x:c r="P116" s="186" t="n">
        <x:v>73866</x:v>
      </x:c>
      <x:c r="Q116" s="186" t="n">
        <x:v>26866</x:v>
      </x:c>
      <x:c r="R116" s="186" t="n">
        <x:f>P116-Q116</x:f>
        <x:v>47000</x:v>
      </x:c>
      <x:c r="S116" s="186" t="n">
        <x:v>41364</x:v>
      </x:c>
      <x:c r="T116" s="186" t="n">
        <x:v>24367</x:v>
      </x:c>
      <x:c r="U116" s="186" t="n">
        <x:f>S116-T116</x:f>
        <x:v>16997</x:v>
      </x:c>
      <x:c r="V116" s="196" t="n">
        <x:f>IFERROR(O116/F116,"")</x:f>
        <x:v>0.16881285450603187</x:v>
      </x:c>
      <x:c r="W116" s="196" t="n">
        <x:f>IFERROR(I116/F116,"")</x:f>
        <x:v>-0.22434020065312132</x:v>
      </x:c>
    </x:row>
    <x:row r="117">
      <x:c r="A117" s="186" t="str">
        <x:v>Silver</x:v>
      </x:c>
      <x:c r="B117" s="187" t="n">
        <x:v>42773</x:v>
      </x:c>
      <x:c r="C117" s="187" t="n">
        <x:v>42776</x:v>
      </x:c>
      <x:c r="D117" s="186" t="str">
        <x:v>084691-SILVER</x:v>
      </x:c>
      <x:c r="E117" s="186" t="str">
        <x:v>SILVER - COMMODITY EXCHANGE INC.</x:v>
      </x:c>
      <x:c r="F117" s="186" t="n">
        <x:v>193936</x:v>
      </x:c>
      <x:c r="G117" s="186" t="n">
        <x:v>12572</x:v>
      </x:c>
      <x:c r="H117" s="186" t="n">
        <x:v>72338</x:v>
      </x:c>
      <x:c r="I117" s="186" t="n">
        <x:f>G117-H117</x:f>
        <x:v>-59766</x:v>
      </x:c>
      <x:c r="J117" s="186" t="n">
        <x:v>30775</x:v>
      </x:c>
      <x:c r="K117" s="186" t="n">
        <x:v>63721</x:v>
      </x:c>
      <x:c r="L117" s="186" t="n">
        <x:f>J117-K117</x:f>
        <x:v>-32946</x:v>
      </x:c>
      <x:c r="M117" s="186" t="n">
        <x:v>77999</x:v>
      </x:c>
      <x:c r="N117" s="186" t="n">
        <x:v>12338</x:v>
      </x:c>
      <x:c r="O117" s="186" t="n">
        <x:f>M117-N117</x:f>
        <x:v>65661</x:v>
      </x:c>
      <x:c r="P117" s="186" t="n">
        <x:v>20561</x:v>
      </x:c>
      <x:c r="Q117" s="186" t="n">
        <x:v>7945</x:v>
      </x:c>
      <x:c r="R117" s="186" t="n">
        <x:f>P117-Q117</x:f>
        <x:v>12616</x:v>
      </x:c>
      <x:c r="S117" s="186" t="n">
        <x:v>25918</x:v>
      </x:c>
      <x:c r="T117" s="186" t="n">
        <x:v>11483</x:v>
      </x:c>
      <x:c r="U117" s="186" t="n">
        <x:f>S117-T117</x:f>
        <x:v>14435</x:v>
      </x:c>
      <x:c r="V117" s="196" t="n">
        <x:f>IFERROR(O117/F117,"")</x:f>
        <x:v>0.3385704562329841</x:v>
      </x:c>
      <x:c r="W117" s="196" t="n">
        <x:f>IFERROR(I117/F117,"")</x:f>
        <x:v>-0.3081738305420345</x:v>
      </x:c>
    </x:row>
    <x:row r="118">
      <x:c r="A118" s="186" t="str">
        <x:v>Gold</x:v>
      </x:c>
      <x:c r="B118" s="187" t="n">
        <x:v>42780</x:v>
      </x:c>
      <x:c r="C118" s="187" t="n">
        <x:v>42783</x:v>
      </x:c>
      <x:c r="D118" s="186" t="str">
        <x:v>088691-GOLD</x:v>
      </x:c>
      <x:c r="E118" s="186" t="str">
        <x:v>GOLD - COMMODITY EXCHANGE INC.</x:v>
      </x:c>
      <x:c r="F118" s="186" t="n">
        <x:v>415128</x:v>
      </x:c>
      <x:c r="G118" s="186" t="n">
        <x:v>20992</x:v>
      </x:c>
      <x:c r="H118" s="186" t="n">
        <x:v>113422</x:v>
      </x:c>
      <x:c r="I118" s="186" t="n">
        <x:f>G118-H118</x:f>
        <x:v>-92430</x:v>
      </x:c>
      <x:c r="J118" s="186" t="n">
        <x:v>63220</x:v>
      </x:c>
      <x:c r="K118" s="186" t="n">
        <x:v>98578</x:v>
      </x:c>
      <x:c r="L118" s="186" t="n">
        <x:f>J118-K118</x:f>
        <x:v>-35358</x:v>
      </x:c>
      <x:c r="M118" s="186" t="n">
        <x:v>135739</x:v>
      </x:c>
      <x:c r="N118" s="186" t="n">
        <x:v>72114</x:v>
      </x:c>
      <x:c r="O118" s="186" t="n">
        <x:f>M118-N118</x:f>
        <x:v>63625</x:v>
      </x:c>
      <x:c r="P118" s="186" t="n">
        <x:v>76520</x:v>
      </x:c>
      <x:c r="Q118" s="186" t="n">
        <x:v>30393</x:v>
      </x:c>
      <x:c r="R118" s="186" t="n">
        <x:f>P118-Q118</x:f>
        <x:v>46127</x:v>
      </x:c>
      <x:c r="S118" s="186" t="n">
        <x:v>39763</x:v>
      </x:c>
      <x:c r="T118" s="186" t="n">
        <x:v>21727</x:v>
      </x:c>
      <x:c r="U118" s="186" t="n">
        <x:f>S118-T118</x:f>
        <x:v>18036</x:v>
      </x:c>
      <x:c r="V118" s="196" t="n">
        <x:f>IFERROR(O118/F118,"")</x:f>
        <x:v>0.15326598061320845</x:v>
      </x:c>
      <x:c r="W118" s="196" t="n">
        <x:f>IFERROR(I118/F118,"")</x:f>
        <x:v>-0.22265421749436318</x:v>
      </x:c>
    </x:row>
    <x:row r="119">
      <x:c r="A119" s="186" t="str">
        <x:v>Silver</x:v>
      </x:c>
      <x:c r="B119" s="187" t="n">
        <x:v>42780</x:v>
      </x:c>
      <x:c r="C119" s="187" t="n">
        <x:v>42783</x:v>
      </x:c>
      <x:c r="D119" s="186" t="str">
        <x:v>084691-SILVER</x:v>
      </x:c>
      <x:c r="E119" s="186" t="str">
        <x:v>SILVER - COMMODITY EXCHANGE INC.</x:v>
      </x:c>
      <x:c r="F119" s="186" t="n">
        <x:v>195338</x:v>
      </x:c>
      <x:c r="G119" s="186" t="n">
        <x:v>12956</x:v>
      </x:c>
      <x:c r="H119" s="186" t="n">
        <x:v>74670</x:v>
      </x:c>
      <x:c r="I119" s="186" t="n">
        <x:f>G119-H119</x:f>
        <x:v>-61714</x:v>
      </x:c>
      <x:c r="J119" s="186" t="n">
        <x:v>29927</x:v>
      </x:c>
      <x:c r="K119" s="186" t="n">
        <x:v>67240</x:v>
      </x:c>
      <x:c r="L119" s="186" t="n">
        <x:f>J119-K119</x:f>
        <x:v>-37313</x:v>
      </x:c>
      <x:c r="M119" s="186" t="n">
        <x:v>84040</x:v>
      </x:c>
      <x:c r="N119" s="186" t="n">
        <x:v>11874</x:v>
      </x:c>
      <x:c r="O119" s="186" t="n">
        <x:f>M119-N119</x:f>
        <x:v>72166</x:v>
      </x:c>
      <x:c r="P119" s="186" t="n">
        <x:v>20725</x:v>
      </x:c>
      <x:c r="Q119" s="186" t="n">
        <x:v>8079</x:v>
      </x:c>
      <x:c r="R119" s="186" t="n">
        <x:f>P119-Q119</x:f>
        <x:v>12646</x:v>
      </x:c>
      <x:c r="S119" s="186" t="n">
        <x:v>25568</x:v>
      </x:c>
      <x:c r="T119" s="186" t="n">
        <x:v>11353</x:v>
      </x:c>
      <x:c r="U119" s="186" t="n">
        <x:f>S119-T119</x:f>
        <x:v>14215</x:v>
      </x:c>
      <x:c r="V119" s="196" t="n">
        <x:f>IFERROR(O119/F119,"")</x:f>
        <x:v>0.3694416856935159</x:v>
      </x:c>
      <x:c r="W119" s="196" t="n">
        <x:f>IFERROR(I119/F119,"")</x:f>
        <x:v>-0.31593443160061024</x:v>
      </x:c>
    </x:row>
    <x:row r="120">
      <x:c r="A120" s="186" t="str">
        <x:v>Gold</x:v>
      </x:c>
      <x:c r="B120" s="187" t="n">
        <x:v>42787</x:v>
      </x:c>
      <x:c r="C120" s="187" t="n">
        <x:v>42790</x:v>
      </x:c>
      <x:c r="D120" s="186" t="str">
        <x:v>088691-GOLD</x:v>
      </x:c>
      <x:c r="E120" s="186" t="str">
        <x:v>GOLD - COMMODITY EXCHANGE INC.</x:v>
      </x:c>
      <x:c r="F120" s="186" t="n">
        <x:v>427168</x:v>
      </x:c>
      <x:c r="G120" s="186" t="n">
        <x:v>20557</x:v>
      </x:c>
      <x:c r="H120" s="186" t="n">
        <x:v>116326</x:v>
      </x:c>
      <x:c r="I120" s="186" t="n">
        <x:f>G120-H120</x:f>
        <x:v>-95769</x:v>
      </x:c>
      <x:c r="J120" s="186" t="n">
        <x:v>61324</x:v>
      </x:c>
      <x:c r="K120" s="186" t="n">
        <x:v>105119</x:v>
      </x:c>
      <x:c r="L120" s="186" t="n">
        <x:f>J120-K120</x:f>
        <x:v>-43795</x:v>
      </x:c>
      <x:c r="M120" s="186" t="n">
        <x:v>142639</x:v>
      </x:c>
      <x:c r="N120" s="186" t="n">
        <x:v>64597</x:v>
      </x:c>
      <x:c r="O120" s="186" t="n">
        <x:f>M120-N120</x:f>
        <x:v>78042</x:v>
      </x:c>
      <x:c r="P120" s="186" t="n">
        <x:v>77034</x:v>
      </x:c>
      <x:c r="Q120" s="186" t="n">
        <x:v>31313</x:v>
      </x:c>
      <x:c r="R120" s="186" t="n">
        <x:f>P120-Q120</x:f>
        <x:v>45721</x:v>
      </x:c>
      <x:c r="S120" s="186" t="n">
        <x:v>40344</x:v>
      </x:c>
      <x:c r="T120" s="186" t="n">
        <x:v>24543</x:v>
      </x:c>
      <x:c r="U120" s="186" t="n">
        <x:f>S120-T120</x:f>
        <x:v>15801</x:v>
      </x:c>
      <x:c r="V120" s="196" t="n">
        <x:f>IFERROR(O120/F120,"")</x:f>
        <x:v>0.1826962693834744</x:v>
      </x:c>
      <x:c r="W120" s="196" t="n">
        <x:f>IFERROR(I120/F120,"")</x:f>
        <x:v>-0.22419516443179263</x:v>
      </x:c>
    </x:row>
    <x:row r="121">
      <x:c r="A121" s="186" t="str">
        <x:v>Silver</x:v>
      </x:c>
      <x:c r="B121" s="187" t="n">
        <x:v>42787</x:v>
      </x:c>
      <x:c r="C121" s="187" t="n">
        <x:v>42790</x:v>
      </x:c>
      <x:c r="D121" s="186" t="str">
        <x:v>084691-SILVER</x:v>
      </x:c>
      <x:c r="E121" s="186" t="str">
        <x:v>SILVER - COMMODITY EXCHANGE INC.</x:v>
      </x:c>
      <x:c r="F121" s="186" t="n">
        <x:v>208147</x:v>
      </x:c>
      <x:c r="G121" s="186" t="n">
        <x:v>13968</x:v>
      </x:c>
      <x:c r="H121" s="186" t="n">
        <x:v>77309</x:v>
      </x:c>
      <x:c r="I121" s="186" t="n">
        <x:f>G121-H121</x:f>
        <x:v>-63341</x:v>
      </x:c>
      <x:c r="J121" s="186" t="n">
        <x:v>29889</x:v>
      </x:c>
      <x:c r="K121" s="186" t="n">
        <x:v>68781</x:v>
      </x:c>
      <x:c r="L121" s="186" t="n">
        <x:f>J121-K121</x:f>
        <x:v>-38892</x:v>
      </x:c>
      <x:c r="M121" s="186" t="n">
        <x:v>89710</x:v>
      </x:c>
      <x:c r="N121" s="186" t="n">
        <x:v>12278</x:v>
      </x:c>
      <x:c r="O121" s="186" t="n">
        <x:f>M121-N121</x:f>
        <x:v>77432</x:v>
      </x:c>
      <x:c r="P121" s="186" t="n">
        <x:v>19138</x:v>
      </x:c>
      <x:c r="Q121" s="186" t="n">
        <x:v>8553</x:v>
      </x:c>
      <x:c r="R121" s="186" t="n">
        <x:f>P121-Q121</x:f>
        <x:v>10585</x:v>
      </x:c>
      <x:c r="S121" s="186" t="n">
        <x:v>25219</x:v>
      </x:c>
      <x:c r="T121" s="186" t="n">
        <x:v>11003</x:v>
      </x:c>
      <x:c r="U121" s="186" t="n">
        <x:f>S121-T121</x:f>
        <x:v>14216</x:v>
      </x:c>
      <x:c r="V121" s="196" t="n">
        <x:f>IFERROR(O121/F121,"")</x:f>
        <x:v>0.3720063224548036</x:v>
      </x:c>
      <x:c r="W121" s="196" t="n">
        <x:f>IFERROR(I121/F121,"")</x:f>
        <x:v>-0.3043089739462976</x:v>
      </x:c>
    </x:row>
    <x:row r="122">
      <x:c r="A122" s="186" t="str">
        <x:v>Gold</x:v>
      </x:c>
      <x:c r="B122" s="187" t="n">
        <x:v>42794</x:v>
      </x:c>
      <x:c r="C122" s="187" t="n">
        <x:v>42797</x:v>
      </x:c>
      <x:c r="D122" s="186" t="str">
        <x:v>088691-GOLD</x:v>
      </x:c>
      <x:c r="E122" s="186" t="str">
        <x:v>GOLD - COMMODITY EXCHANGE INC.</x:v>
      </x:c>
      <x:c r="F122" s="186" t="n">
        <x:v>446081</x:v>
      </x:c>
      <x:c r="G122" s="186" t="n">
        <x:v>19559</x:v>
      </x:c>
      <x:c r="H122" s="186" t="n">
        <x:v>126908</x:v>
      </x:c>
      <x:c r="I122" s="186" t="n">
        <x:f>G122-H122</x:f>
        <x:v>-107349</x:v>
      </x:c>
      <x:c r="J122" s="186" t="n">
        <x:v>56402</x:v>
      </x:c>
      <x:c r="K122" s="186" t="n">
        <x:v>128960</x:v>
      </x:c>
      <x:c r="L122" s="186" t="n">
        <x:f>J122-K122</x:f>
        <x:v>-72558</x:v>
      </x:c>
      <x:c r="M122" s="186" t="n">
        <x:v>166437</x:v>
      </x:c>
      <x:c r="N122" s="186" t="n">
        <x:v>52191</x:v>
      </x:c>
      <x:c r="O122" s="186" t="n">
        <x:f>M122-N122</x:f>
        <x:v>114246</x:v>
      </x:c>
      <x:c r="P122" s="186" t="n">
        <x:v>81057</x:v>
      </x:c>
      <x:c r="Q122" s="186" t="n">
        <x:v>31505</x:v>
      </x:c>
      <x:c r="R122" s="186" t="n">
        <x:f>P122-Q122</x:f>
        <x:v>49552</x:v>
      </x:c>
      <x:c r="S122" s="186" t="n">
        <x:v>43997</x:v>
      </x:c>
      <x:c r="T122" s="186" t="n">
        <x:v>27888</x:v>
      </x:c>
      <x:c r="U122" s="186" t="n">
        <x:f>S122-T122</x:f>
        <x:v>16109</x:v>
      </x:c>
      <x:c r="V122" s="196" t="n">
        <x:f>IFERROR(O122/F122,"")</x:f>
        <x:v>0.25611043734209704</x:v>
      </x:c>
      <x:c r="W122" s="196" t="n">
        <x:f>IFERROR(I122/F122,"")</x:f>
        <x:v>-0.2406491197786949</x:v>
      </x:c>
    </x:row>
    <x:row r="123">
      <x:c r="A123" s="186" t="str">
        <x:v>Silver</x:v>
      </x:c>
      <x:c r="B123" s="187" t="n">
        <x:v>42794</x:v>
      </x:c>
      <x:c r="C123" s="187" t="n">
        <x:v>42797</x:v>
      </x:c>
      <x:c r="D123" s="186" t="str">
        <x:v>084691-SILVER</x:v>
      </x:c>
      <x:c r="E123" s="186" t="str">
        <x:v>SILVER - COMMODITY EXCHANGE INC.</x:v>
      </x:c>
      <x:c r="F123" s="186" t="n">
        <x:v>197629</x:v>
      </x:c>
      <x:c r="G123" s="186" t="n">
        <x:v>15836</x:v>
      </x:c>
      <x:c r="H123" s="186" t="n">
        <x:v>81023</x:v>
      </x:c>
      <x:c r="I123" s="186" t="n">
        <x:f>G123-H123</x:f>
        <x:v>-65187</x:v>
      </x:c>
      <x:c r="J123" s="186" t="n">
        <x:v>27952</x:v>
      </x:c>
      <x:c r="K123" s="186" t="n">
        <x:v>70775</x:v>
      </x:c>
      <x:c r="L123" s="186" t="n">
        <x:f>J123-K123</x:f>
        <x:v>-42823</x:v>
      </x:c>
      <x:c r="M123" s="186" t="n">
        <x:v>96033</x:v>
      </x:c>
      <x:c r="N123" s="186" t="n">
        <x:v>11188</x:v>
      </x:c>
      <x:c r="O123" s="186" t="n">
        <x:f>M123-N123</x:f>
        <x:v>84845</x:v>
      </x:c>
      <x:c r="P123" s="186" t="n">
        <x:v>19196</x:v>
      </x:c>
      <x:c r="Q123" s="186" t="n">
        <x:v>8618</x:v>
      </x:c>
      <x:c r="R123" s="186" t="n">
        <x:f>P123-Q123</x:f>
        <x:v>10578</x:v>
      </x:c>
      <x:c r="S123" s="186" t="n">
        <x:v>23798</x:v>
      </x:c>
      <x:c r="T123" s="186" t="n">
        <x:v>11211</x:v>
      </x:c>
      <x:c r="U123" s="186" t="n">
        <x:f>S123-T123</x:f>
        <x:v>12587</x:v>
      </x:c>
      <x:c r="V123" s="196" t="n">
        <x:f>IFERROR(O123/F123,"")</x:f>
        <x:v>0.4293145236782051</x:v>
      </x:c>
      <x:c r="W123" s="196" t="n">
        <x:f>IFERROR(I123/F123,"")</x:f>
        <x:v>-0.32984531622383356</x:v>
      </x:c>
    </x:row>
    <x:row r="124">
      <x:c r="A124" s="186" t="str">
        <x:v>Gold</x:v>
      </x:c>
      <x:c r="B124" s="187" t="n">
        <x:v>42801</x:v>
      </x:c>
      <x:c r="C124" s="187" t="n">
        <x:v>42804</x:v>
      </x:c>
      <x:c r="D124" s="186" t="str">
        <x:v>088691-GOLD</x:v>
      </x:c>
      <x:c r="E124" s="186" t="str">
        <x:v>GOLD - COMMODITY EXCHANGE INC.</x:v>
      </x:c>
      <x:c r="F124" s="186" t="n">
        <x:v>434401</x:v>
      </x:c>
      <x:c r="G124" s="186" t="n">
        <x:v>20164</x:v>
      </x:c>
      <x:c r="H124" s="186" t="n">
        <x:v>118027</x:v>
      </x:c>
      <x:c r="I124" s="186" t="n">
        <x:f>G124-H124</x:f>
        <x:v>-97863</x:v>
      </x:c>
      <x:c r="J124" s="186" t="n">
        <x:v>57578</x:v>
      </x:c>
      <x:c r="K124" s="186" t="n">
        <x:v>112363</x:v>
      </x:c>
      <x:c r="L124" s="186" t="n">
        <x:f>J124-K124</x:f>
        <x:v>-54785</x:v>
      </x:c>
      <x:c r="M124" s="186" t="n">
        <x:v>150277</x:v>
      </x:c>
      <x:c r="N124" s="186" t="n">
        <x:v>60030</x:v>
      </x:c>
      <x:c r="O124" s="186" t="n">
        <x:f>M124-N124</x:f>
        <x:v>90247</x:v>
      </x:c>
      <x:c r="P124" s="186" t="n">
        <x:v>79692</x:v>
      </x:c>
      <x:c r="Q124" s="186" t="n">
        <x:v>36254</x:v>
      </x:c>
      <x:c r="R124" s="186" t="n">
        <x:f>P124-Q124</x:f>
        <x:v>43438</x:v>
      </x:c>
      <x:c r="S124" s="186" t="n">
        <x:v>43791</x:v>
      </x:c>
      <x:c r="T124" s="186" t="n">
        <x:v>24828</x:v>
      </x:c>
      <x:c r="U124" s="186" t="n">
        <x:f>S124-T124</x:f>
        <x:v>18963</x:v>
      </x:c>
      <x:c r="V124" s="196" t="n">
        <x:f>IFERROR(O124/F124,"")</x:f>
        <x:v>0.20775044256343794</x:v>
      </x:c>
      <x:c r="W124" s="196" t="n">
        <x:f>IFERROR(I124/F124,"")</x:f>
        <x:v>-0.22528263056484676</x:v>
      </x:c>
    </x:row>
    <x:row r="125">
      <x:c r="A125" s="186" t="str">
        <x:v>Silver</x:v>
      </x:c>
      <x:c r="B125" s="187" t="n">
        <x:v>42801</x:v>
      </x:c>
      <x:c r="C125" s="187" t="n">
        <x:v>42804</x:v>
      </x:c>
      <x:c r="D125" s="186" t="str">
        <x:v>084691-SILVER</x:v>
      </x:c>
      <x:c r="E125" s="186" t="str">
        <x:v>SILVER - COMMODITY EXCHANGE INC.</x:v>
      </x:c>
      <x:c r="F125" s="186" t="n">
        <x:v>192398</x:v>
      </x:c>
      <x:c r="G125" s="186" t="n">
        <x:v>14081</x:v>
      </x:c>
      <x:c r="H125" s="186" t="n">
        <x:v>78848</x:v>
      </x:c>
      <x:c r="I125" s="186" t="n">
        <x:f>G125-H125</x:f>
        <x:v>-64767</x:v>
      </x:c>
      <x:c r="J125" s="186" t="n">
        <x:v>26346</x:v>
      </x:c>
      <x:c r="K125" s="186" t="n">
        <x:v>67441</x:v>
      </x:c>
      <x:c r="L125" s="186" t="n">
        <x:f>J125-K125</x:f>
        <x:v>-41095</x:v>
      </x:c>
      <x:c r="M125" s="186" t="n">
        <x:v>94487</x:v>
      </x:c>
      <x:c r="N125" s="186" t="n">
        <x:v>11086</x:v>
      </x:c>
      <x:c r="O125" s="186" t="n">
        <x:f>M125-N125</x:f>
        <x:v>83401</x:v>
      </x:c>
      <x:c r="P125" s="186" t="n">
        <x:v>18950</x:v>
      </x:c>
      <x:c r="Q125" s="186" t="n">
        <x:v>8898</x:v>
      </x:c>
      <x:c r="R125" s="186" t="n">
        <x:f>P125-Q125</x:f>
        <x:v>10052</x:v>
      </x:c>
      <x:c r="S125" s="186" t="n">
        <x:v>22860</x:v>
      </x:c>
      <x:c r="T125" s="186" t="n">
        <x:v>10451</x:v>
      </x:c>
      <x:c r="U125" s="186" t="n">
        <x:f>S125-T125</x:f>
        <x:v>12409</x:v>
      </x:c>
      <x:c r="V125" s="196" t="n">
        <x:f>IFERROR(O125/F125,"")</x:f>
        <x:v>0.4334816370232539</x:v>
      </x:c>
      <x:c r="W125" s="196" t="n">
        <x:f>IFERROR(I125/F125,"")</x:f>
        <x:v>-0.3366303184024782</x:v>
      </x:c>
    </x:row>
    <x:row r="126">
      <x:c r="A126" s="186" t="str">
        <x:v>Gold</x:v>
      </x:c>
      <x:c r="B126" s="187" t="n">
        <x:v>42808</x:v>
      </x:c>
      <x:c r="C126" s="187" t="n">
        <x:v>42811</x:v>
      </x:c>
      <x:c r="D126" s="186" t="str">
        <x:v>088691-GOLD</x:v>
      </x:c>
      <x:c r="E126" s="186" t="str">
        <x:v>GOLD - COMMODITY EXCHANGE INC.</x:v>
      </x:c>
      <x:c r="F126" s="186" t="n">
        <x:v>426170</x:v>
      </x:c>
      <x:c r="G126" s="186" t="n">
        <x:v>20937</x:v>
      </x:c>
      <x:c r="H126" s="186" t="n">
        <x:v>109327</x:v>
      </x:c>
      <x:c r="I126" s="186" t="n">
        <x:f>G126-H126</x:f>
        <x:v>-88390</x:v>
      </x:c>
      <x:c r="J126" s="186" t="n">
        <x:v>56881</x:v>
      </x:c>
      <x:c r="K126" s="186" t="n">
        <x:v>91778</x:v>
      </x:c>
      <x:c r="L126" s="186" t="n">
        <x:f>J126-K126</x:f>
        <x:v>-34897</x:v>
      </x:c>
      <x:c r="M126" s="186" t="n">
        <x:v>121179</x:v>
      </x:c>
      <x:c r="N126" s="186" t="n">
        <x:v>74805</x:v>
      </x:c>
      <x:c r="O126" s="186" t="n">
        <x:f>M126-N126</x:f>
        <x:v>46374</x:v>
      </x:c>
      <x:c r="P126" s="186" t="n">
        <x:v>89136</x:v>
      </x:c>
      <x:c r="Q126" s="186" t="n">
        <x:v>29472</x:v>
      </x:c>
      <x:c r="R126" s="186" t="n">
        <x:f>P126-Q126</x:f>
        <x:v>59664</x:v>
      </x:c>
      <x:c r="S126" s="186" t="n">
        <x:v>44232</x:v>
      </x:c>
      <x:c r="T126" s="186" t="n">
        <x:v>26983</x:v>
      </x:c>
      <x:c r="U126" s="186" t="n">
        <x:f>S126-T126</x:f>
        <x:v>17249</x:v>
      </x:c>
      <x:c r="V126" s="196" t="n">
        <x:f>IFERROR(O126/F126,"")</x:f>
        <x:v>0.10881573081164793</x:v>
      </x:c>
      <x:c r="W126" s="196" t="n">
        <x:f>IFERROR(I126/F126,"")</x:f>
        <x:v>-0.2074054954595584</x:v>
      </x:c>
    </x:row>
    <x:row r="127">
      <x:c r="A127" s="186" t="str">
        <x:v>Silver</x:v>
      </x:c>
      <x:c r="B127" s="187" t="n">
        <x:v>42808</x:v>
      </x:c>
      <x:c r="C127" s="187" t="n">
        <x:v>42811</x:v>
      </x:c>
      <x:c r="D127" s="186" t="str">
        <x:v>084691-SILVER</x:v>
      </x:c>
      <x:c r="E127" s="186" t="str">
        <x:v>SILVER - COMMODITY EXCHANGE INC.</x:v>
      </x:c>
      <x:c r="F127" s="186" t="n">
        <x:v>186936</x:v>
      </x:c>
      <x:c r="G127" s="186" t="n">
        <x:v>13482</x:v>
      </x:c>
      <x:c r="H127" s="186" t="n">
        <x:v>74057</x:v>
      </x:c>
      <x:c r="I127" s="186" t="n">
        <x:f>G127-H127</x:f>
        <x:v>-60575</x:v>
      </x:c>
      <x:c r="J127" s="186" t="n">
        <x:v>25937</x:v>
      </x:c>
      <x:c r="K127" s="186" t="n">
        <x:v>63361</x:v>
      </x:c>
      <x:c r="L127" s="186" t="n">
        <x:f>J127-K127</x:f>
        <x:v>-37424</x:v>
      </x:c>
      <x:c r="M127" s="186" t="n">
        <x:v>80582</x:v>
      </x:c>
      <x:c r="N127" s="186" t="n">
        <x:v>13066</x:v>
      </x:c>
      <x:c r="O127" s="186" t="n">
        <x:f>M127-N127</x:f>
        <x:v>67516</x:v>
      </x:c>
      <x:c r="P127" s="186" t="n">
        <x:v>22093</x:v>
      </x:c>
      <x:c r="Q127" s="186" t="n">
        <x:v>6731</x:v>
      </x:c>
      <x:c r="R127" s="186" t="n">
        <x:f>P127-Q127</x:f>
        <x:v>15362</x:v>
      </x:c>
      <x:c r="S127" s="186" t="n">
        <x:v>24596</x:v>
      </x:c>
      <x:c r="T127" s="186" t="n">
        <x:v>9475</x:v>
      </x:c>
      <x:c r="U127" s="186" t="n">
        <x:f>S127-T127</x:f>
        <x:v>15121</x:v>
      </x:c>
      <x:c r="V127" s="196" t="n">
        <x:f>IFERROR(O127/F127,"")</x:f>
        <x:v>0.3611717379209997</x:v>
      </x:c>
      <x:c r="W127" s="196" t="n">
        <x:f>IFERROR(I127/F127,"")</x:f>
        <x:v>-0.32404138314717335</x:v>
      </x:c>
    </x:row>
    <x:row r="128">
      <x:c r="A128" s="186" t="str">
        <x:v>Gold</x:v>
      </x:c>
      <x:c r="B128" s="187" t="n">
        <x:v>42815</x:v>
      </x:c>
      <x:c r="C128" s="187" t="n">
        <x:v>42818</x:v>
      </x:c>
      <x:c r="D128" s="186" t="str">
        <x:v>088691-GOLD</x:v>
      </x:c>
      <x:c r="E128" s="186" t="str">
        <x:v>GOLD - COMMODITY EXCHANGE INC.</x:v>
      </x:c>
      <x:c r="F128" s="186" t="n">
        <x:v>446880</x:v>
      </x:c>
      <x:c r="G128" s="186" t="n">
        <x:v>18872</x:v>
      </x:c>
      <x:c r="H128" s="186" t="n">
        <x:v>117388</x:v>
      </x:c>
      <x:c r="I128" s="186" t="n">
        <x:f>G128-H128</x:f>
        <x:v>-98516</x:v>
      </x:c>
      <x:c r="J128" s="186" t="n">
        <x:v>57057</x:v>
      </x:c>
      <x:c r="K128" s="186" t="n">
        <x:v>87538</x:v>
      </x:c>
      <x:c r="L128" s="186" t="n">
        <x:f>J128-K128</x:f>
        <x:v>-30481</x:v>
      </x:c>
      <x:c r="M128" s="186" t="n">
        <x:v>130259</x:v>
      </x:c>
      <x:c r="N128" s="186" t="n">
        <x:v>74064</x:v>
      </x:c>
      <x:c r="O128" s="186" t="n">
        <x:f>M128-N128</x:f>
        <x:v>56195</x:v>
      </x:c>
      <x:c r="P128" s="186" t="n">
        <x:v>89460</x:v>
      </x:c>
      <x:c r="Q128" s="186" t="n">
        <x:v>29403</x:v>
      </x:c>
      <x:c r="R128" s="186" t="n">
        <x:f>P128-Q128</x:f>
        <x:v>60057</x:v>
      </x:c>
      <x:c r="S128" s="186" t="n">
        <x:v>43297</x:v>
      </x:c>
      <x:c r="T128" s="186" t="n">
        <x:v>30552</x:v>
      </x:c>
      <x:c r="U128" s="186" t="n">
        <x:f>S128-T128</x:f>
        <x:v>12745</x:v>
      </x:c>
      <x:c r="V128" s="196" t="n">
        <x:f>IFERROR(O128/F128,"")</x:f>
        <x:v>0.12574964196204796</x:v>
      </x:c>
      <x:c r="W128" s="196" t="n">
        <x:f>IFERROR(I128/F128,"")</x:f>
        <x:v>-0.220452918009309</x:v>
      </x:c>
    </x:row>
    <x:row r="129">
      <x:c r="A129" s="186" t="str">
        <x:v>Silver</x:v>
      </x:c>
      <x:c r="B129" s="187" t="n">
        <x:v>42815</x:v>
      </x:c>
      <x:c r="C129" s="187" t="n">
        <x:v>42818</x:v>
      </x:c>
      <x:c r="D129" s="186" t="str">
        <x:v>084691-SILVER</x:v>
      </x:c>
      <x:c r="E129" s="186" t="str">
        <x:v>SILVER - COMMODITY EXCHANGE INC.</x:v>
      </x:c>
      <x:c r="F129" s="186" t="n">
        <x:v>190819</x:v>
      </x:c>
      <x:c r="G129" s="186" t="n">
        <x:v>13613</x:v>
      </x:c>
      <x:c r="H129" s="186" t="n">
        <x:v>74274</x:v>
      </x:c>
      <x:c r="I129" s="186" t="n">
        <x:f>G129-H129</x:f>
        <x:v>-60661</x:v>
      </x:c>
      <x:c r="J129" s="186" t="n">
        <x:v>27382</x:v>
      </x:c>
      <x:c r="K129" s="186" t="n">
        <x:v>60455</x:v>
      </x:c>
      <x:c r="L129" s="186" t="n">
        <x:f>J129-K129</x:f>
        <x:v>-33073</x:v>
      </x:c>
      <x:c r="M129" s="186" t="n">
        <x:v>78914</x:v>
      </x:c>
      <x:c r="N129" s="186" t="n">
        <x:v>14129</x:v>
      </x:c>
      <x:c r="O129" s="186" t="n">
        <x:f>M129-N129</x:f>
        <x:v>64785</x:v>
      </x:c>
      <x:c r="P129" s="186" t="n">
        <x:v>21423</x:v>
      </x:c>
      <x:c r="Q129" s="186" t="n">
        <x:v>7096</x:v>
      </x:c>
      <x:c r="R129" s="186" t="n">
        <x:f>P129-Q129</x:f>
        <x:v>14327</x:v>
      </x:c>
      <x:c r="S129" s="186" t="n">
        <x:v>24652</x:v>
      </x:c>
      <x:c r="T129" s="186" t="n">
        <x:v>10030</x:v>
      </x:c>
      <x:c r="U129" s="186" t="n">
        <x:f>S129-T129</x:f>
        <x:v>14622</x:v>
      </x:c>
      <x:c r="V129" s="196" t="n">
        <x:f>IFERROR(O129/F129,"")</x:f>
        <x:v>0.33951021648787594</x:v>
      </x:c>
      <x:c r="W129" s="196" t="n">
        <x:f>IFERROR(I129/F129,"")</x:f>
        <x:v>-0.3178981128713598</x:v>
      </x:c>
    </x:row>
    <x:row r="130">
      <x:c r="A130" s="186" t="str">
        <x:v>Gold</x:v>
      </x:c>
      <x:c r="B130" s="187" t="n">
        <x:v>42822</x:v>
      </x:c>
      <x:c r="C130" s="187" t="n">
        <x:v>42825</x:v>
      </x:c>
      <x:c r="D130" s="186" t="str">
        <x:v>088691-GOLD</x:v>
      </x:c>
      <x:c r="E130" s="186" t="str">
        <x:v>GOLD - COMMODITY EXCHANGE INC.</x:v>
      </x:c>
      <x:c r="F130" s="186" t="n">
        <x:v>449418</x:v>
      </x:c>
      <x:c r="G130" s="186" t="n">
        <x:v>17857</x:v>
      </x:c>
      <x:c r="H130" s="186" t="n">
        <x:v>131503</x:v>
      </x:c>
      <x:c r="I130" s="186" t="n">
        <x:f>G130-H130</x:f>
        <x:v>-113646</x:v>
      </x:c>
      <x:c r="J130" s="186" t="n">
        <x:v>59196</x:v>
      </x:c>
      <x:c r="K130" s="186" t="n">
        <x:v>97664</x:v>
      </x:c>
      <x:c r="L130" s="186" t="n">
        <x:f>J130-K130</x:f>
        <x:v>-38468</x:v>
      </x:c>
      <x:c r="M130" s="186" t="n">
        <x:v>150879</x:v>
      </x:c>
      <x:c r="N130" s="186" t="n">
        <x:v>59836</x:v>
      </x:c>
      <x:c r="O130" s="186" t="n">
        <x:f>M130-N130</x:f>
        <x:v>91043</x:v>
      </x:c>
      <x:c r="P130" s="186" t="n">
        <x:v>76960</x:v>
      </x:c>
      <x:c r="Q130" s="186" t="n">
        <x:v>30183</x:v>
      </x:c>
      <x:c r="R130" s="186" t="n">
        <x:f>P130-Q130</x:f>
        <x:v>46777</x:v>
      </x:c>
      <x:c r="S130" s="186" t="n">
        <x:v>42014</x:v>
      </x:c>
      <x:c r="T130" s="186" t="n">
        <x:v>27720</x:v>
      </x:c>
      <x:c r="U130" s="186" t="n">
        <x:f>S130-T130</x:f>
        <x:v>14294</x:v>
      </x:c>
      <x:c r="V130" s="196" t="n">
        <x:f>IFERROR(O130/F130,"")</x:f>
        <x:v>0.2025797809611542</x:v>
      </x:c>
      <x:c r="W130" s="196" t="n">
        <x:f>IFERROR(I130/F130,"")</x:f>
        <x:v>-0.25287371667356445</x:v>
      </x:c>
    </x:row>
    <x:row r="131">
      <x:c r="A131" s="186" t="str">
        <x:v>Silver</x:v>
      </x:c>
      <x:c r="B131" s="187" t="n">
        <x:v>42822</x:v>
      </x:c>
      <x:c r="C131" s="187" t="n">
        <x:v>42825</x:v>
      </x:c>
      <x:c r="D131" s="186" t="str">
        <x:v>084691-SILVER</x:v>
      </x:c>
      <x:c r="E131" s="186" t="str">
        <x:v>SILVER - COMMODITY EXCHANGE INC.</x:v>
      </x:c>
      <x:c r="F131" s="186" t="n">
        <x:v>201829</x:v>
      </x:c>
      <x:c r="G131" s="186" t="n">
        <x:v>12889</x:v>
      </x:c>
      <x:c r="H131" s="186" t="n">
        <x:v>78660</x:v>
      </x:c>
      <x:c r="I131" s="186" t="n">
        <x:f>G131-H131</x:f>
        <x:v>-65771</x:v>
      </x:c>
      <x:c r="J131" s="186" t="n">
        <x:v>27955</x:v>
      </x:c>
      <x:c r="K131" s="186" t="n">
        <x:v>63951</x:v>
      </x:c>
      <x:c r="L131" s="186" t="n">
        <x:f>J131-K131</x:f>
        <x:v>-35996</x:v>
      </x:c>
      <x:c r="M131" s="186" t="n">
        <x:v>93000</x:v>
      </x:c>
      <x:c r="N131" s="186" t="n">
        <x:v>11830</x:v>
      </x:c>
      <x:c r="O131" s="186" t="n">
        <x:f>M131-N131</x:f>
        <x:v>81170</x:v>
      </x:c>
      <x:c r="P131" s="186" t="n">
        <x:v>19197</x:v>
      </x:c>
      <x:c r="Q131" s="186" t="n">
        <x:v>9679</x:v>
      </x:c>
      <x:c r="R131" s="186" t="n">
        <x:f>P131-Q131</x:f>
        <x:v>9518</x:v>
      </x:c>
      <x:c r="S131" s="186" t="n">
        <x:v>22659</x:v>
      </x:c>
      <x:c r="T131" s="186" t="n">
        <x:v>11580</x:v>
      </x:c>
      <x:c r="U131" s="186" t="n">
        <x:f>S131-T131</x:f>
        <x:v>11079</x:v>
      </x:c>
      <x:c r="V131" s="196" t="n">
        <x:f>IFERROR(O131/F131,"")</x:f>
        <x:v>0.4021721358179449</x:v>
      </x:c>
      <x:c r="W131" s="196" t="n">
        <x:f>IFERROR(I131/F131,"")</x:f>
        <x:v>-0.32587487427475736</x:v>
      </x:c>
    </x:row>
    <x:row r="132">
      <x:c r="A132" s="186" t="str">
        <x:v>Gold</x:v>
      </x:c>
      <x:c r="B132" s="187" t="n">
        <x:v>42829</x:v>
      </x:c>
      <x:c r="C132" s="187" t="n">
        <x:v>42832</x:v>
      </x:c>
      <x:c r="D132" s="186" t="str">
        <x:v>088691-GOLD</x:v>
      </x:c>
      <x:c r="E132" s="186" t="str">
        <x:v>GOLD - COMMODITY EXCHANGE INC.</x:v>
      </x:c>
      <x:c r="F132" s="186" t="n">
        <x:v>427808</x:v>
      </x:c>
      <x:c r="G132" s="186" t="n">
        <x:v>16834</x:v>
      </x:c>
      <x:c r="H132" s="186" t="n">
        <x:v>139711</x:v>
      </x:c>
      <x:c r="I132" s="186" t="n">
        <x:f>G132-H132</x:f>
        <x:v>-122877</x:v>
      </x:c>
      <x:c r="J132" s="186" t="n">
        <x:v>58279</x:v>
      </x:c>
      <x:c r="K132" s="186" t="n">
        <x:v>106418</x:v>
      </x:c>
      <x:c r="L132" s="186" t="n">
        <x:f>J132-K132</x:f>
        <x:v>-48139</x:v>
      </x:c>
      <x:c r="M132" s="186" t="n">
        <x:v>163428</x:v>
      </x:c>
      <x:c r="N132" s="186" t="n">
        <x:v>54302</x:v>
      </x:c>
      <x:c r="O132" s="186" t="n">
        <x:f>M132-N132</x:f>
        <x:v>109126</x:v>
      </x:c>
      <x:c r="P132" s="186" t="n">
        <x:v>75633</x:v>
      </x:c>
      <x:c r="Q132" s="186" t="n">
        <x:v>29323</x:v>
      </x:c>
      <x:c r="R132" s="186" t="n">
        <x:f>P132-Q132</x:f>
        <x:v>46310</x:v>
      </x:c>
      <x:c r="S132" s="186" t="n">
        <x:v>43589</x:v>
      </x:c>
      <x:c r="T132" s="186" t="n">
        <x:v>28009</x:v>
      </x:c>
      <x:c r="U132" s="186" t="n">
        <x:f>S132-T132</x:f>
        <x:v>15580</x:v>
      </x:c>
      <x:c r="V132" s="196" t="n">
        <x:f>IFERROR(O132/F132,"")</x:f>
        <x:v>0.2550817189019373</x:v>
      </x:c>
      <x:c r="W132" s="196" t="n">
        <x:f>IFERROR(I132/F132,"")</x:f>
        <x:v>-0.2872246428304286</x:v>
      </x:c>
    </x:row>
    <x:row r="133">
      <x:c r="A133" s="186" t="str">
        <x:v>Silver</x:v>
      </x:c>
      <x:c r="B133" s="187" t="n">
        <x:v>42829</x:v>
      </x:c>
      <x:c r="C133" s="187" t="n">
        <x:v>42832</x:v>
      </x:c>
      <x:c r="D133" s="186" t="str">
        <x:v>084691-SILVER</x:v>
      </x:c>
      <x:c r="E133" s="186" t="str">
        <x:v>SILVER - COMMODITY EXCHANGE INC.</x:v>
      </x:c>
      <x:c r="F133" s="186" t="n">
        <x:v>219160</x:v>
      </x:c>
      <x:c r="G133" s="186" t="n">
        <x:v>13241</x:v>
      </x:c>
      <x:c r="H133" s="186" t="n">
        <x:v>84388</x:v>
      </x:c>
      <x:c r="I133" s="186" t="n">
        <x:f>G133-H133</x:f>
        <x:v>-71147</x:v>
      </x:c>
      <x:c r="J133" s="186" t="n">
        <x:v>27443</x:v>
      </x:c>
      <x:c r="K133" s="186" t="n">
        <x:v>68642</x:v>
      </x:c>
      <x:c r="L133" s="186" t="n">
        <x:f>J133-K133</x:f>
        <x:v>-41199</x:v>
      </x:c>
      <x:c r="M133" s="186" t="n">
        <x:v>107825</x:v>
      </x:c>
      <x:c r="N133" s="186" t="n">
        <x:v>14751</x:v>
      </x:c>
      <x:c r="O133" s="186" t="n">
        <x:f>M133-N133</x:f>
        <x:v>93074</x:v>
      </x:c>
      <x:c r="P133" s="186" t="n">
        <x:v>18699</x:v>
      </x:c>
      <x:c r="Q133" s="186" t="n">
        <x:v>10391</x:v>
      </x:c>
      <x:c r="R133" s="186" t="n">
        <x:f>P133-Q133</x:f>
        <x:v>8308</x:v>
      </x:c>
      <x:c r="S133" s="186" t="n">
        <x:v>23457</x:v>
      </x:c>
      <x:c r="T133" s="186" t="n">
        <x:v>12493</x:v>
      </x:c>
      <x:c r="U133" s="186" t="n">
        <x:f>S133-T133</x:f>
        <x:v>10964</x:v>
      </x:c>
      <x:c r="V133" s="196" t="n">
        <x:f>IFERROR(O133/F133,"")</x:f>
        <x:v>0.42468516152582586</x:v>
      </x:c>
      <x:c r="W133" s="196" t="n">
        <x:f>IFERROR(I133/F133,"")</x:f>
        <x:v>-0.3246349698850155</x:v>
      </x:c>
    </x:row>
    <x:row r="134">
      <x:c r="A134" s="186" t="str">
        <x:v>Gold</x:v>
      </x:c>
      <x:c r="B134" s="187" t="n">
        <x:v>42836</x:v>
      </x:c>
      <x:c r="C134" s="187" t="n">
        <x:v>42839</x:v>
      </x:c>
      <x:c r="D134" s="186" t="str">
        <x:v>088691-GOLD</x:v>
      </x:c>
      <x:c r="E134" s="186" t="str">
        <x:v>GOLD - COMMODITY EXCHANGE INC.</x:v>
      </x:c>
      <x:c r="F134" s="186" t="n">
        <x:v>456131</x:v>
      </x:c>
      <x:c r="G134" s="186" t="n">
        <x:v>17653</x:v>
      </x:c>
      <x:c r="H134" s="186" t="n">
        <x:v>153297</x:v>
      </x:c>
      <x:c r="I134" s="186" t="n">
        <x:f>G134-H134</x:f>
        <x:v>-135644</x:v>
      </x:c>
      <x:c r="J134" s="186" t="n">
        <x:v>58431</x:v>
      </x:c>
      <x:c r="K134" s="186" t="n">
        <x:v>110151</x:v>
      </x:c>
      <x:c r="L134" s="186" t="n">
        <x:f>J134-K134</x:f>
        <x:v>-51720</x:v>
      </x:c>
      <x:c r="M134" s="186" t="n">
        <x:v>179841</x:v>
      </x:c>
      <x:c r="N134" s="186" t="n">
        <x:v>46830</x:v>
      </x:c>
      <x:c r="O134" s="186" t="n">
        <x:f>M134-N134</x:f>
        <x:v>133011</x:v>
      </x:c>
      <x:c r="P134" s="186" t="n">
        <x:v>73163</x:v>
      </x:c>
      <x:c r="Q134" s="186" t="n">
        <x:v>33508</x:v>
      </x:c>
      <x:c r="R134" s="186" t="n">
        <x:f>P134-Q134</x:f>
        <x:v>39655</x:v>
      </x:c>
      <x:c r="S134" s="186" t="n">
        <x:v>47518</x:v>
      </x:c>
      <x:c r="T134" s="186" t="n">
        <x:v>32820</x:v>
      </x:c>
      <x:c r="U134" s="186" t="n">
        <x:f>S134-T134</x:f>
        <x:v>14698</x:v>
      </x:c>
      <x:c r="V134" s="196" t="n">
        <x:f>IFERROR(O134/F134,"")</x:f>
        <x:v>0.2916070164053748</x:v>
      </x:c>
      <x:c r="W134" s="196" t="n">
        <x:f>IFERROR(I134/F134,"")</x:f>
        <x:v>-0.297379480894743</x:v>
      </x:c>
    </x:row>
    <x:row r="135">
      <x:c r="A135" s="186" t="str">
        <x:v>Silver</x:v>
      </x:c>
      <x:c r="B135" s="187" t="n">
        <x:v>42836</x:v>
      </x:c>
      <x:c r="C135" s="187" t="n">
        <x:v>42839</x:v>
      </x:c>
      <x:c r="D135" s="186" t="str">
        <x:v>084691-SILVER</x:v>
      </x:c>
      <x:c r="E135" s="186" t="str">
        <x:v>SILVER - COMMODITY EXCHANGE INC.</x:v>
      </x:c>
      <x:c r="F135" s="186" t="n">
        <x:v>220172</x:v>
      </x:c>
      <x:c r="G135" s="186" t="n">
        <x:v>12030</x:v>
      </x:c>
      <x:c r="H135" s="186" t="n">
        <x:v>84890</x:v>
      </x:c>
      <x:c r="I135" s="186" t="n">
        <x:f>G135-H135</x:f>
        <x:v>-72860</x:v>
      </x:c>
      <x:c r="J135" s="186" t="n">
        <x:v>27456</x:v>
      </x:c>
      <x:c r="K135" s="186" t="n">
        <x:v>69010</x:v>
      </x:c>
      <x:c r="L135" s="186" t="n">
        <x:f>J135-K135</x:f>
        <x:v>-41554</x:v>
      </x:c>
      <x:c r="M135" s="186" t="n">
        <x:v>114249</x:v>
      </x:c>
      <x:c r="N135" s="186" t="n">
        <x:v>15685</x:v>
      </x:c>
      <x:c r="O135" s="186" t="n">
        <x:f>M135-N135</x:f>
        <x:v>98564</x:v>
      </x:c>
      <x:c r="P135" s="186" t="n">
        <x:v>17720</x:v>
      </x:c>
      <x:c r="Q135" s="186" t="n">
        <x:v>10769</x:v>
      </x:c>
      <x:c r="R135" s="186" t="n">
        <x:f>P135-Q135</x:f>
        <x:v>6951</x:v>
      </x:c>
      <x:c r="S135" s="186" t="n">
        <x:v>22501</x:v>
      </x:c>
      <x:c r="T135" s="186" t="n">
        <x:v>13602</x:v>
      </x:c>
      <x:c r="U135" s="186" t="n">
        <x:f>S135-T135</x:f>
        <x:v>8899</x:v>
      </x:c>
      <x:c r="V135" s="196" t="n">
        <x:f>IFERROR(O135/F135,"")</x:f>
        <x:v>0.4476681866904057</x:v>
      </x:c>
      <x:c r="W135" s="196" t="n">
        <x:f>IFERROR(I135/F135,"")</x:f>
        <x:v>-0.3309230964882001</x:v>
      </x:c>
    </x:row>
    <x:row r="136">
      <x:c r="A136" s="186" t="str">
        <x:v>Gold</x:v>
      </x:c>
      <x:c r="B136" s="187" t="n">
        <x:v>42843</x:v>
      </x:c>
      <x:c r="C136" s="187" t="n">
        <x:v>42846</x:v>
      </x:c>
      <x:c r="D136" s="186" t="str">
        <x:v>088691-GOLD</x:v>
      </x:c>
      <x:c r="E136" s="186" t="str">
        <x:v>GOLD - COMMODITY EXCHANGE INC.</x:v>
      </x:c>
      <x:c r="F136" s="186" t="n">
        <x:v>472263</x:v>
      </x:c>
      <x:c r="G136" s="186" t="n">
        <x:v>17577</x:v>
      </x:c>
      <x:c r="H136" s="186" t="n">
        <x:v>167357</x:v>
      </x:c>
      <x:c r="I136" s="186" t="n">
        <x:f>G136-H136</x:f>
        <x:v>-149780</x:v>
      </x:c>
      <x:c r="J136" s="186" t="n">
        <x:v>56226</x:v>
      </x:c>
      <x:c r="K136" s="186" t="n">
        <x:v>117510</x:v>
      </x:c>
      <x:c r="L136" s="186" t="n">
        <x:f>J136-K136</x:f>
        <x:v>-61284</x:v>
      </x:c>
      <x:c r="M136" s="186" t="n">
        <x:v>199001</x:v>
      </x:c>
      <x:c r="N136" s="186" t="n">
        <x:v>47765</x:v>
      </x:c>
      <x:c r="O136" s="186" t="n">
        <x:f>M136-N136</x:f>
        <x:v>151236</x:v>
      </x:c>
      <x:c r="P136" s="186" t="n">
        <x:v>80310</x:v>
      </x:c>
      <x:c r="Q136" s="186" t="n">
        <x:v>35778</x:v>
      </x:c>
      <x:c r="R136" s="186" t="n">
        <x:f>P136-Q136</x:f>
        <x:v>44532</x:v>
      </x:c>
      <x:c r="S136" s="186" t="n">
        <x:v>46822</x:v>
      </x:c>
      <x:c r="T136" s="186" t="n">
        <x:v>31526</x:v>
      </x:c>
      <x:c r="U136" s="186" t="n">
        <x:f>S136-T136</x:f>
        <x:v>15296</x:v>
      </x:c>
      <x:c r="V136" s="196" t="n">
        <x:f>IFERROR(O136/F136,"")</x:f>
        <x:v>0.3202368171971973</x:v>
      </x:c>
      <x:c r="W136" s="196" t="n">
        <x:f>IFERROR(I136/F136,"")</x:f>
        <x:v>-0.3171537893080762</x:v>
      </x:c>
    </x:row>
    <x:row r="137">
      <x:c r="A137" s="186" t="str">
        <x:v>Silver</x:v>
      </x:c>
      <x:c r="B137" s="187" t="n">
        <x:v>42843</x:v>
      </x:c>
      <x:c r="C137" s="187" t="n">
        <x:v>42846</x:v>
      </x:c>
      <x:c r="D137" s="186" t="str">
        <x:v>084691-SILVER</x:v>
      </x:c>
      <x:c r="E137" s="186" t="str">
        <x:v>SILVER - COMMODITY EXCHANGE INC.</x:v>
      </x:c>
      <x:c r="F137" s="186" t="n">
        <x:v>227984</x:v>
      </x:c>
      <x:c r="G137" s="186" t="n">
        <x:v>10563</x:v>
      </x:c>
      <x:c r="H137" s="186" t="n">
        <x:v>85466</x:v>
      </x:c>
      <x:c r="I137" s="186" t="n">
        <x:f>G137-H137</x:f>
        <x:v>-74903</x:v>
      </x:c>
      <x:c r="J137" s="186" t="n">
        <x:v>28070</x:v>
      </x:c>
      <x:c r="K137" s="186" t="n">
        <x:v>69999</x:v>
      </x:c>
      <x:c r="L137" s="186" t="n">
        <x:f>J137-K137</x:f>
        <x:v>-41929</x:v>
      </x:c>
      <x:c r="M137" s="186" t="n">
        <x:v>110289</x:v>
      </x:c>
      <x:c r="N137" s="186" t="n">
        <x:v>13983</x:v>
      </x:c>
      <x:c r="O137" s="186" t="n">
        <x:f>M137-N137</x:f>
        <x:v>96306</x:v>
      </x:c>
      <x:c r="P137" s="186" t="n">
        <x:v>18089</x:v>
      </x:c>
      <x:c r="Q137" s="186" t="n">
        <x:v>10508</x:v>
      </x:c>
      <x:c r="R137" s="186" t="n">
        <x:f>P137-Q137</x:f>
        <x:v>7581</x:v>
      </x:c>
      <x:c r="S137" s="186" t="n">
        <x:v>25810</x:v>
      </x:c>
      <x:c r="T137" s="186" t="n">
        <x:v>12865</x:v>
      </x:c>
      <x:c r="U137" s="186" t="n">
        <x:f>S137-T137</x:f>
        <x:v>12945</x:v>
      </x:c>
      <x:c r="V137" s="196" t="n">
        <x:f>IFERROR(O137/F137,"")</x:f>
        <x:v>0.4224243806582918</x:v>
      </x:c>
      <x:c r="W137" s="196" t="n">
        <x:f>IFERROR(I137/F137,"")</x:f>
        <x:v>-0.3285449856130255</x:v>
      </x:c>
    </x:row>
    <x:row r="138">
      <x:c r="A138" s="186" t="str">
        <x:v>Gold</x:v>
      </x:c>
      <x:c r="B138" s="187" t="n">
        <x:v>42850</x:v>
      </x:c>
      <x:c r="C138" s="187" t="n">
        <x:v>42853</x:v>
      </x:c>
      <x:c r="D138" s="186" t="str">
        <x:v>088691-GOLD</x:v>
      </x:c>
      <x:c r="E138" s="186" t="str">
        <x:v>GOLD - COMMODITY EXCHANGE INC.</x:v>
      </x:c>
      <x:c r="F138" s="186" t="n">
        <x:v>475985</x:v>
      </x:c>
      <x:c r="G138" s="186" t="n">
        <x:v>17618</x:v>
      </x:c>
      <x:c r="H138" s="186" t="n">
        <x:v>169292</x:v>
      </x:c>
      <x:c r="I138" s="186" t="n">
        <x:f>G138-H138</x:f>
        <x:v>-151674</x:v>
      </x:c>
      <x:c r="J138" s="186" t="n">
        <x:v>57558</x:v>
      </x:c>
      <x:c r="K138" s="186" t="n">
        <x:v>120464</x:v>
      </x:c>
      <x:c r="L138" s="186" t="n">
        <x:f>J138-K138</x:f>
        <x:v>-62906</x:v>
      </x:c>
      <x:c r="M138" s="186" t="n">
        <x:v>207394</x:v>
      </x:c>
      <x:c r="N138" s="186" t="n">
        <x:v>47014</x:v>
      </x:c>
      <x:c r="O138" s="186" t="n">
        <x:f>M138-N138</x:f>
        <x:v>160380</x:v>
      </x:c>
      <x:c r="P138" s="186" t="n">
        <x:v>80074</x:v>
      </x:c>
      <x:c r="Q138" s="186" t="n">
        <x:v>39777</x:v>
      </x:c>
      <x:c r="R138" s="186" t="n">
        <x:f>P138-Q138</x:f>
        <x:v>40297</x:v>
      </x:c>
      <x:c r="S138" s="186" t="n">
        <x:v>44669</x:v>
      </x:c>
      <x:c r="T138" s="186" t="n">
        <x:v>30766</x:v>
      </x:c>
      <x:c r="U138" s="186" t="n">
        <x:f>S138-T138</x:f>
        <x:v>13903</x:v>
      </x:c>
      <x:c r="V138" s="196" t="n">
        <x:f>IFERROR(O138/F138,"")</x:f>
        <x:v>0.3369433910732481</x:v>
      </x:c>
      <x:c r="W138" s="196" t="n">
        <x:f>IFERROR(I138/F138,"")</x:f>
        <x:v>-0.31865289872580016</x:v>
      </x:c>
    </x:row>
    <x:row r="139">
      <x:c r="A139" s="186" t="str">
        <x:v>Silver</x:v>
      </x:c>
      <x:c r="B139" s="187" t="n">
        <x:v>42850</x:v>
      </x:c>
      <x:c r="C139" s="187" t="n">
        <x:v>42853</x:v>
      </x:c>
      <x:c r="D139" s="186" t="str">
        <x:v>084691-SILVER</x:v>
      </x:c>
      <x:c r="E139" s="186" t="str">
        <x:v>SILVER - COMMODITY EXCHANGE INC.</x:v>
      </x:c>
      <x:c r="F139" s="186" t="n">
        <x:v>214782</x:v>
      </x:c>
      <x:c r="G139" s="186" t="n">
        <x:v>9817</x:v>
      </x:c>
      <x:c r="H139" s="186" t="n">
        <x:v>79079</x:v>
      </x:c>
      <x:c r="I139" s="186" t="n">
        <x:f>G139-H139</x:f>
        <x:v>-69262</x:v>
      </x:c>
      <x:c r="J139" s="186" t="n">
        <x:v>27393</x:v>
      </x:c>
      <x:c r="K139" s="186" t="n">
        <x:v>66220</x:v>
      </x:c>
      <x:c r="L139" s="186" t="n">
        <x:f>J139-K139</x:f>
        <x:v>-38827</x:v>
      </x:c>
      <x:c r="M139" s="186" t="n">
        <x:v>99509</x:v>
      </x:c>
      <x:c r="N139" s="186" t="n">
        <x:v>19298</x:v>
      </x:c>
      <x:c r="O139" s="186" t="n">
        <x:f>M139-N139</x:f>
        <x:v>80211</x:v>
      </x:c>
      <x:c r="P139" s="186" t="n">
        <x:v>21509</x:v>
      </x:c>
      <x:c r="Q139" s="186" t="n">
        <x:v>8107</x:v>
      </x:c>
      <x:c r="R139" s="186" t="n">
        <x:f>P139-Q139</x:f>
        <x:v>13402</x:v>
      </x:c>
      <x:c r="S139" s="186" t="n">
        <x:v>25326</x:v>
      </x:c>
      <x:c r="T139" s="186" t="n">
        <x:v>10850</x:v>
      </x:c>
      <x:c r="U139" s="186" t="n">
        <x:f>S139-T139</x:f>
        <x:v>14476</x:v>
      </x:c>
      <x:c r="V139" s="196" t="n">
        <x:f>IFERROR(O139/F139,"")</x:f>
        <x:v>0.37345308266055816</x:v>
      </x:c>
      <x:c r="W139" s="196" t="n">
        <x:f>IFERROR(I139/F139,"")</x:f>
        <x:v>-0.3224758126844894</x:v>
      </x:c>
    </x:row>
    <x:row r="140">
      <x:c r="A140" s="186" t="str">
        <x:v>Gold</x:v>
      </x:c>
      <x:c r="B140" s="187" t="n">
        <x:v>42857</x:v>
      </x:c>
      <x:c r="C140" s="187" t="n">
        <x:v>42860</x:v>
      </x:c>
      <x:c r="D140" s="186" t="str">
        <x:v>088691-GOLD</x:v>
      </x:c>
      <x:c r="E140" s="186" t="str">
        <x:v>GOLD - COMMODITY EXCHANGE INC.</x:v>
      </x:c>
      <x:c r="F140" s="186" t="n">
        <x:v>461905</x:v>
      </x:c>
      <x:c r="G140" s="186" t="n">
        <x:v>17427</x:v>
      </x:c>
      <x:c r="H140" s="186" t="n">
        <x:v>170723</x:v>
      </x:c>
      <x:c r="I140" s="186" t="n">
        <x:f>G140-H140</x:f>
        <x:v>-153296</x:v>
      </x:c>
      <x:c r="J140" s="186" t="n">
        <x:v>59280</x:v>
      </x:c>
      <x:c r="K140" s="186" t="n">
        <x:v>109970</x:v>
      </x:c>
      <x:c r="L140" s="186" t="n">
        <x:f>J140-K140</x:f>
        <x:v>-50690</x:v>
      </x:c>
      <x:c r="M140" s="186" t="n">
        <x:v>195331</x:v>
      </x:c>
      <x:c r="N140" s="186" t="n">
        <x:v>51720</x:v>
      </x:c>
      <x:c r="O140" s="186" t="n">
        <x:f>M140-N140</x:f>
        <x:v>143611</x:v>
      </x:c>
      <x:c r="P140" s="186" t="n">
        <x:v>80701</x:v>
      </x:c>
      <x:c r="Q140" s="186" t="n">
        <x:v>34678</x:v>
      </x:c>
      <x:c r="R140" s="186" t="n">
        <x:f>P140-Q140</x:f>
        <x:v>46023</x:v>
      </x:c>
      <x:c r="S140" s="186" t="n">
        <x:v>44782</x:v>
      </x:c>
      <x:c r="T140" s="186" t="n">
        <x:v>30430</x:v>
      </x:c>
      <x:c r="U140" s="186" t="n">
        <x:f>S140-T140</x:f>
        <x:v>14352</x:v>
      </x:c>
      <x:c r="V140" s="196" t="n">
        <x:f>IFERROR(O140/F140,"")</x:f>
        <x:v>0.31091025210811746</x:v>
      </x:c>
      <x:c r="W140" s="196" t="n">
        <x:f>IFERROR(I140/F140,"")</x:f>
        <x:v>-0.33187776707331595</x:v>
      </x:c>
    </x:row>
    <x:row r="141">
      <x:c r="A141" s="186" t="str">
        <x:v>Silver</x:v>
      </x:c>
      <x:c r="B141" s="187" t="n">
        <x:v>42857</x:v>
      </x:c>
      <x:c r="C141" s="187" t="n">
        <x:v>42860</x:v>
      </x:c>
      <x:c r="D141" s="186" t="str">
        <x:v>084691-SILVER</x:v>
      </x:c>
      <x:c r="E141" s="186" t="str">
        <x:v>SILVER - COMMODITY EXCHANGE INC.</x:v>
      </x:c>
      <x:c r="F141" s="186" t="n">
        <x:v>189240</x:v>
      </x:c>
      <x:c r="G141" s="186" t="n">
        <x:v>10800</x:v>
      </x:c>
      <x:c r="H141" s="186" t="n">
        <x:v>66819</x:v>
      </x:c>
      <x:c r="I141" s="186" t="n">
        <x:f>G141-H141</x:f>
        <x:v>-56019</x:v>
      </x:c>
      <x:c r="J141" s="186" t="n">
        <x:v>27447</x:v>
      </x:c>
      <x:c r="K141" s="186" t="n">
        <x:v>58002</x:v>
      </x:c>
      <x:c r="L141" s="186" t="n">
        <x:f>J141-K141</x:f>
        <x:v>-30555</x:v>
      </x:c>
      <x:c r="M141" s="186" t="n">
        <x:v>78203</x:v>
      </x:c>
      <x:c r="N141" s="186" t="n">
        <x:v>23827</x:v>
      </x:c>
      <x:c r="O141" s="186" t="n">
        <x:f>M141-N141</x:f>
        <x:v>54376</x:v>
      </x:c>
      <x:c r="P141" s="186" t="n">
        <x:v>23335</x:v>
      </x:c>
      <x:c r="Q141" s="186" t="n">
        <x:v>6344</x:v>
      </x:c>
      <x:c r="R141" s="186" t="n">
        <x:f>P141-Q141</x:f>
        <x:v>16991</x:v>
      </x:c>
      <x:c r="S141" s="186" t="n">
        <x:v>27513</x:v>
      </x:c>
      <x:c r="T141" s="186" t="n">
        <x:v>12306</x:v>
      </x:c>
      <x:c r="U141" s="186" t="n">
        <x:f>S141-T141</x:f>
        <x:v>15207</x:v>
      </x:c>
      <x:c r="V141" s="196" t="n">
        <x:f>IFERROR(O141/F141,"")</x:f>
        <x:v>0.28733882900021135</x:v>
      </x:c>
      <x:c r="W141" s="196" t="n">
        <x:f>IFERROR(I141/F141,"")</x:f>
        <x:v>-0.29602092580849715</x:v>
      </x:c>
    </x:row>
    <x:row r="142">
      <x:c r="A142" s="186" t="str">
        <x:v>Gold</x:v>
      </x:c>
      <x:c r="B142" s="187" t="n">
        <x:v>42864</x:v>
      </x:c>
      <x:c r="C142" s="187" t="n">
        <x:v>42867</x:v>
      </x:c>
      <x:c r="D142" s="186" t="str">
        <x:v>088691-GOLD</x:v>
      </x:c>
      <x:c r="E142" s="186" t="str">
        <x:v>GOLD - COMMODITY EXCHANGE INC.</x:v>
      </x:c>
      <x:c r="F142" s="186" t="n">
        <x:v>433033</x:v>
      </x:c>
      <x:c r="G142" s="186" t="n">
        <x:v>17259</x:v>
      </x:c>
      <x:c r="H142" s="186" t="n">
        <x:v>155245</x:v>
      </x:c>
      <x:c r="I142" s="186" t="n">
        <x:f>G142-H142</x:f>
        <x:v>-137986</x:v>
      </x:c>
      <x:c r="J142" s="186" t="n">
        <x:v>59970</x:v>
      </x:c>
      <x:c r="K142" s="186" t="n">
        <x:v>86406</x:v>
      </x:c>
      <x:c r="L142" s="186" t="n">
        <x:f>J142-K142</x:f>
        <x:v>-26436</x:v>
      </x:c>
      <x:c r="M142" s="186" t="n">
        <x:v>151419</x:v>
      </x:c>
      <x:c r="N142" s="186" t="n">
        <x:v>55457</x:v>
      </x:c>
      <x:c r="O142" s="186" t="n">
        <x:f>M142-N142</x:f>
        <x:v>95962</x:v>
      </x:c>
      <x:c r="P142" s="186" t="n">
        <x:v>84696</x:v>
      </x:c>
      <x:c r="Q142" s="186" t="n">
        <x:v>30652</x:v>
      </x:c>
      <x:c r="R142" s="186" t="n">
        <x:f>P142-Q142</x:f>
        <x:v>54044</x:v>
      </x:c>
      <x:c r="S142" s="186" t="n">
        <x:v>45099</x:v>
      </x:c>
      <x:c r="T142" s="186" t="n">
        <x:v>30683</x:v>
      </x:c>
      <x:c r="U142" s="186" t="n">
        <x:f>S142-T142</x:f>
        <x:v>14416</x:v>
      </x:c>
      <x:c r="V142" s="196" t="n">
        <x:f>IFERROR(O142/F142,"")</x:f>
        <x:v>0.22160435809741982</x:v>
      </x:c>
      <x:c r="W142" s="196" t="n">
        <x:f>IFERROR(I142/F142,"")</x:f>
        <x:v>-0.31865007978606713</x:v>
      </x:c>
    </x:row>
    <x:row r="143">
      <x:c r="A143" s="186" t="str">
        <x:v>Silver</x:v>
      </x:c>
      <x:c r="B143" s="187" t="n">
        <x:v>42864</x:v>
      </x:c>
      <x:c r="C143" s="187" t="n">
        <x:v>42867</x:v>
      </x:c>
      <x:c r="D143" s="186" t="str">
        <x:v>084691-SILVER</x:v>
      </x:c>
      <x:c r="E143" s="186" t="str">
        <x:v>SILVER - COMMODITY EXCHANGE INC.</x:v>
      </x:c>
      <x:c r="F143" s="186" t="n">
        <x:v>196083</x:v>
      </x:c>
      <x:c r="G143" s="186" t="n">
        <x:v>12415</x:v>
      </x:c>
      <x:c r="H143" s="186" t="n">
        <x:v>59509</x:v>
      </x:c>
      <x:c r="I143" s="186" t="n">
        <x:f>G143-H143</x:f>
        <x:v>-47094</x:v>
      </x:c>
      <x:c r="J143" s="186" t="n">
        <x:v>30181</x:v>
      </x:c>
      <x:c r="K143" s="186" t="n">
        <x:v>52356</x:v>
      </x:c>
      <x:c r="L143" s="186" t="n">
        <x:f>J143-K143</x:f>
        <x:v>-22175</x:v>
      </x:c>
      <x:c r="M143" s="186" t="n">
        <x:v>67963</x:v>
      </x:c>
      <x:c r="N143" s="186" t="n">
        <x:v>34862</x:v>
      </x:c>
      <x:c r="O143" s="186" t="n">
        <x:f>M143-N143</x:f>
        <x:v>33101</x:v>
      </x:c>
      <x:c r="P143" s="186" t="n">
        <x:v>27019</x:v>
      </x:c>
      <x:c r="Q143" s="186" t="n">
        <x:v>6465</x:v>
      </x:c>
      <x:c r="R143" s="186" t="n">
        <x:f>P143-Q143</x:f>
        <x:v>20554</x:v>
      </x:c>
      <x:c r="S143" s="186" t="n">
        <x:v>29746</x:v>
      </x:c>
      <x:c r="T143" s="186" t="n">
        <x:v>14132</x:v>
      </x:c>
      <x:c r="U143" s="186" t="n">
        <x:f>S143-T143</x:f>
        <x:v>15614</x:v>
      </x:c>
      <x:c r="V143" s="196" t="n">
        <x:f>IFERROR(O143/F143,"")</x:f>
        <x:v>0.16881116669981588</x:v>
      </x:c>
      <x:c r="W143" s="196" t="n">
        <x:f>IFERROR(I143/F143,"")</x:f>
        <x:v>-0.24017380395036797</x:v>
      </x:c>
    </x:row>
    <x:row r="144">
      <x:c r="A144" s="186" t="str">
        <x:v>Gold</x:v>
      </x:c>
      <x:c r="B144" s="187" t="n">
        <x:v>42871</x:v>
      </x:c>
      <x:c r="C144" s="187" t="n">
        <x:v>42874</x:v>
      </x:c>
      <x:c r="D144" s="186" t="str">
        <x:v>088691-GOLD</x:v>
      </x:c>
      <x:c r="E144" s="186" t="str">
        <x:v>GOLD - COMMODITY EXCHANGE INC.</x:v>
      </x:c>
      <x:c r="F144" s="186" t="n">
        <x:v>435021</x:v>
      </x:c>
      <x:c r="G144" s="186" t="n">
        <x:v>20336</x:v>
      </x:c>
      <x:c r="H144" s="186" t="n">
        <x:v>148925</x:v>
      </x:c>
      <x:c r="I144" s="186" t="n">
        <x:f>G144-H144</x:f>
        <x:v>-128589</x:v>
      </x:c>
      <x:c r="J144" s="186" t="n">
        <x:v>63431</x:v>
      </x:c>
      <x:c r="K144" s="186" t="n">
        <x:v>77701</x:v>
      </x:c>
      <x:c r="L144" s="186" t="n">
        <x:f>J144-K144</x:f>
        <x:v>-14270</x:v>
      </x:c>
      <x:c r="M144" s="186" t="n">
        <x:v>132094</x:v>
      </x:c>
      <x:c r="N144" s="186" t="n">
        <x:v>66226</x:v>
      </x:c>
      <x:c r="O144" s="186" t="n">
        <x:f>M144-N144</x:f>
        <x:v>65868</x:v>
      </x:c>
      <x:c r="P144" s="186" t="n">
        <x:v>89438</x:v>
      </x:c>
      <x:c r="Q144" s="186" t="n">
        <x:v>28582</x:v>
      </x:c>
      <x:c r="R144" s="186" t="n">
        <x:f>P144-Q144</x:f>
        <x:v>60856</x:v>
      </x:c>
      <x:c r="S144" s="186" t="n">
        <x:v>45111</x:v>
      </x:c>
      <x:c r="T144" s="186" t="n">
        <x:v>28976</x:v>
      </x:c>
      <x:c r="U144" s="186" t="n">
        <x:f>S144-T144</x:f>
        <x:v>16135</x:v>
      </x:c>
      <x:c r="V144" s="196" t="n">
        <x:f>IFERROR(O144/F144,"")</x:f>
        <x:v>0.15141338004372204</x:v>
      </x:c>
      <x:c r="W144" s="196" t="n">
        <x:f>IFERROR(I144/F144,"")</x:f>
        <x:v>-0.29559262656285556</x:v>
      </x:c>
    </x:row>
    <x:row r="145">
      <x:c r="A145" s="186" t="str">
        <x:v>Silver</x:v>
      </x:c>
      <x:c r="B145" s="187" t="n">
        <x:v>42871</x:v>
      </x:c>
      <x:c r="C145" s="187" t="n">
        <x:v>42874</x:v>
      </x:c>
      <x:c r="D145" s="186" t="str">
        <x:v>084691-SILVER</x:v>
      </x:c>
      <x:c r="E145" s="186" t="str">
        <x:v>SILVER - COMMODITY EXCHANGE INC.</x:v>
      </x:c>
      <x:c r="F145" s="186" t="n">
        <x:v>215127</x:v>
      </x:c>
      <x:c r="G145" s="186" t="n">
        <x:v>13952</x:v>
      </x:c>
      <x:c r="H145" s="186" t="n">
        <x:v>56681</x:v>
      </x:c>
      <x:c r="I145" s="186" t="n">
        <x:f>G145-H145</x:f>
        <x:v>-42729</x:v>
      </x:c>
      <x:c r="J145" s="186" t="n">
        <x:v>34351</x:v>
      </x:c>
      <x:c r="K145" s="186" t="n">
        <x:v>48959</x:v>
      </x:c>
      <x:c r="L145" s="186" t="n">
        <x:f>J145-K145</x:f>
        <x:v>-14608</x:v>
      </x:c>
      <x:c r="M145" s="186" t="n">
        <x:v>68867</x:v>
      </x:c>
      <x:c r="N145" s="186" t="n">
        <x:v>51020</x:v>
      </x:c>
      <x:c r="O145" s="186" t="n">
        <x:f>M145-N145</x:f>
        <x:v>17847</x:v>
      </x:c>
      <x:c r="P145" s="186" t="n">
        <x:v>31275</x:v>
      </x:c>
      <x:c r="Q145" s="186" t="n">
        <x:v>6118</x:v>
      </x:c>
      <x:c r="R145" s="186" t="n">
        <x:f>P145-Q145</x:f>
        <x:v>25157</x:v>
      </x:c>
      <x:c r="S145" s="186" t="n">
        <x:v>29040</x:v>
      </x:c>
      <x:c r="T145" s="186" t="n">
        <x:v>14707</x:v>
      </x:c>
      <x:c r="U145" s="186" t="n">
        <x:f>S145-T145</x:f>
        <x:v>14333</x:v>
      </x:c>
      <x:c r="V145" s="196" t="n">
        <x:f>IFERROR(O145/F145,"")</x:f>
        <x:v>0.08296029787056018</x:v>
      </x:c>
      <x:c r="W145" s="196" t="n">
        <x:f>IFERROR(I145/F145,"")</x:f>
        <x:v>-0.1986222092066547</x:v>
      </x:c>
    </x:row>
    <x:row r="146">
      <x:c r="A146" s="186" t="str">
        <x:v>Gold</x:v>
      </x:c>
      <x:c r="B146" s="187" t="n">
        <x:v>42878</x:v>
      </x:c>
      <x:c r="C146" s="187" t="n">
        <x:v>42881</x:v>
      </x:c>
      <x:c r="D146" s="186" t="str">
        <x:v>088691-GOLD</x:v>
      </x:c>
      <x:c r="E146" s="186" t="str">
        <x:v>GOLD - COMMODITY EXCHANGE INC.</x:v>
      </x:c>
      <x:c r="F146" s="186" t="n">
        <x:v>462572</x:v>
      </x:c>
      <x:c r="G146" s="186" t="n">
        <x:v>19274</x:v>
      </x:c>
      <x:c r="H146" s="186" t="n">
        <x:v>166109</x:v>
      </x:c>
      <x:c r="I146" s="186" t="n">
        <x:f>G146-H146</x:f>
        <x:v>-146835</x:v>
      </x:c>
      <x:c r="J146" s="186" t="n">
        <x:v>57061</x:v>
      </x:c>
      <x:c r="K146" s="186" t="n">
        <x:v>84517</x:v>
      </x:c>
      <x:c r="L146" s="186" t="n">
        <x:f>J146-K146</x:f>
        <x:v>-27456</x:v>
      </x:c>
      <x:c r="M146" s="186" t="n">
        <x:v>161893</x:v>
      </x:c>
      <x:c r="N146" s="186" t="n">
        <x:v>50845</x:v>
      </x:c>
      <x:c r="O146" s="186" t="n">
        <x:f>M146-N146</x:f>
        <x:v>111048</x:v>
      </x:c>
      <x:c r="P146" s="186" t="n">
        <x:v>79859</x:v>
      </x:c>
      <x:c r="Q146" s="186" t="n">
        <x:v>31140</x:v>
      </x:c>
      <x:c r="R146" s="186" t="n">
        <x:f>P146-Q146</x:f>
        <x:v>48719</x:v>
      </x:c>
      <x:c r="S146" s="186" t="n">
        <x:v>45278</x:v>
      </x:c>
      <x:c r="T146" s="186" t="n">
        <x:v>30754</x:v>
      </x:c>
      <x:c r="U146" s="186" t="n">
        <x:f>S146-T146</x:f>
        <x:v>14524</x:v>
      </x:c>
      <x:c r="V146" s="196" t="n">
        <x:f>IFERROR(O146/F146,"")</x:f>
        <x:v>0.24006641128300027</x:v>
      </x:c>
      <x:c r="W146" s="196" t="n">
        <x:f>IFERROR(I146/F146,"")</x:f>
        <x:v>-0.31743166469219924</x:v>
      </x:c>
    </x:row>
    <x:row r="147">
      <x:c r="A147" s="186" t="str">
        <x:v>Silver</x:v>
      </x:c>
      <x:c r="B147" s="187" t="n">
        <x:v>42878</x:v>
      </x:c>
      <x:c r="C147" s="187" t="n">
        <x:v>42881</x:v>
      </x:c>
      <x:c r="D147" s="186" t="str">
        <x:v>084691-SILVER</x:v>
      </x:c>
      <x:c r="E147" s="186" t="str">
        <x:v>SILVER - COMMODITY EXCHANGE INC.</x:v>
      </x:c>
      <x:c r="F147" s="186" t="n">
        <x:v>203459</x:v>
      </x:c>
      <x:c r="G147" s="186" t="n">
        <x:v>12998</x:v>
      </x:c>
      <x:c r="H147" s="186" t="n">
        <x:v>60749</x:v>
      </x:c>
      <x:c r="I147" s="186" t="n">
        <x:f>G147-H147</x:f>
        <x:v>-47751</x:v>
      </x:c>
      <x:c r="J147" s="186" t="n">
        <x:v>33446</x:v>
      </x:c>
      <x:c r="K147" s="186" t="n">
        <x:v>49682</x:v>
      </x:c>
      <x:c r="L147" s="186" t="n">
        <x:f>J147-K147</x:f>
        <x:v>-16236</x:v>
      </x:c>
      <x:c r="M147" s="186" t="n">
        <x:v>68477</x:v>
      </x:c>
      <x:c r="N147" s="186" t="n">
        <x:v>38617</x:v>
      </x:c>
      <x:c r="O147" s="186" t="n">
        <x:f>M147-N147</x:f>
        <x:v>29860</x:v>
      </x:c>
      <x:c r="P147" s="186" t="n">
        <x:v>28054</x:v>
      </x:c>
      <x:c r="Q147" s="186" t="n">
        <x:v>6741</x:v>
      </x:c>
      <x:c r="R147" s="186" t="n">
        <x:f>P147-Q147</x:f>
        <x:v>21313</x:v>
      </x:c>
      <x:c r="S147" s="186" t="n">
        <x:v>25771</x:v>
      </x:c>
      <x:c r="T147" s="186" t="n">
        <x:v>12957</x:v>
      </x:c>
      <x:c r="U147" s="186" t="n">
        <x:f>S147-T147</x:f>
        <x:v>12814</x:v>
      </x:c>
      <x:c r="V147" s="196" t="n">
        <x:f>IFERROR(O147/F147,"")</x:f>
        <x:v>0.1467617554396709</x:v>
      </x:c>
      <x:c r="W147" s="196" t="n">
        <x:f>IFERROR(I147/F147,"")</x:f>
        <x:v>-0.23469593382450518</x:v>
      </x:c>
    </x:row>
    <x:row r="148">
      <x:c r="A148" s="186" t="str">
        <x:v>Gold</x:v>
      </x:c>
      <x:c r="B148" s="187" t="n">
        <x:v>42885</x:v>
      </x:c>
      <x:c r="C148" s="187" t="n">
        <x:v>42888</x:v>
      </x:c>
      <x:c r="D148" s="186" t="str">
        <x:v>088691-GOLD</x:v>
      </x:c>
      <x:c r="E148" s="186" t="str">
        <x:v>GOLD - COMMODITY EXCHANGE INC.</x:v>
      </x:c>
      <x:c r="F148" s="186" t="n">
        <x:v>434246</x:v>
      </x:c>
      <x:c r="G148" s="186" t="n">
        <x:v>21570</x:v>
      </x:c>
      <x:c r="H148" s="186" t="n">
        <x:v>177812</x:v>
      </x:c>
      <x:c r="I148" s="186" t="n">
        <x:f>G148-H148</x:f>
        <x:v>-156242</x:v>
      </x:c>
      <x:c r="J148" s="186" t="n">
        <x:v>60524</x:v>
      </x:c>
      <x:c r="K148" s="186" t="n">
        <x:v>87501</x:v>
      </x:c>
      <x:c r="L148" s="186" t="n">
        <x:f>J148-K148</x:f>
        <x:v>-26977</x:v>
      </x:c>
      <x:c r="M148" s="186" t="n">
        <x:v>175304</x:v>
      </x:c>
      <x:c r="N148" s="186" t="n">
        <x:v>51171</x:v>
      </x:c>
      <x:c r="O148" s="186" t="n">
        <x:f>M148-N148</x:f>
        <x:v>124133</x:v>
      </x:c>
      <x:c r="P148" s="186" t="n">
        <x:v>75238</x:v>
      </x:c>
      <x:c r="Q148" s="186" t="n">
        <x:v>32281</x:v>
      </x:c>
      <x:c r="R148" s="186" t="n">
        <x:f>P148-Q148</x:f>
        <x:v>42957</x:v>
      </x:c>
      <x:c r="S148" s="186" t="n">
        <x:v>44404</x:v>
      </x:c>
      <x:c r="T148" s="186" t="n">
        <x:v>28275</x:v>
      </x:c>
      <x:c r="U148" s="186" t="n">
        <x:f>S148-T148</x:f>
        <x:v>16129</x:v>
      </x:c>
      <x:c r="V148" s="196" t="n">
        <x:f>IFERROR(O148/F148,"")</x:f>
        <x:v>0.28585870681595227</x:v>
      </x:c>
      <x:c r="W148" s="196" t="n">
        <x:f>IFERROR(I148/F148,"")</x:f>
        <x:v>-0.3598006659819549</x:v>
      </x:c>
    </x:row>
    <x:row r="149">
      <x:c r="A149" s="186" t="str">
        <x:v>Silver</x:v>
      </x:c>
      <x:c r="B149" s="187" t="n">
        <x:v>42885</x:v>
      </x:c>
      <x:c r="C149" s="187" t="n">
        <x:v>42888</x:v>
      </x:c>
      <x:c r="D149" s="186" t="str">
        <x:v>084691-SILVER</x:v>
      </x:c>
      <x:c r="E149" s="186" t="str">
        <x:v>SILVER - COMMODITY EXCHANGE INC.</x:v>
      </x:c>
      <x:c r="F149" s="186" t="n">
        <x:v>205235</x:v>
      </x:c>
      <x:c r="G149" s="186" t="n">
        <x:v>13438</x:v>
      </x:c>
      <x:c r="H149" s="186" t="n">
        <x:v>66909</x:v>
      </x:c>
      <x:c r="I149" s="186" t="n">
        <x:f>G149-H149</x:f>
        <x:v>-53471</x:v>
      </x:c>
      <x:c r="J149" s="186" t="n">
        <x:v>32371</x:v>
      </x:c>
      <x:c r="K149" s="186" t="n">
        <x:v>49982</x:v>
      </x:c>
      <x:c r="L149" s="186" t="n">
        <x:f>J149-K149</x:f>
        <x:v>-17611</x:v>
      </x:c>
      <x:c r="M149" s="186" t="n">
        <x:v>70790</x:v>
      </x:c>
      <x:c r="N149" s="186" t="n">
        <x:v>28714</x:v>
      </x:c>
      <x:c r="O149" s="186" t="n">
        <x:f>M149-N149</x:f>
        <x:v>42076</x:v>
      </x:c>
      <x:c r="P149" s="186" t="n">
        <x:v>25778</x:v>
      </x:c>
      <x:c r="Q149" s="186" t="n">
        <x:v>6440</x:v>
      </x:c>
      <x:c r="R149" s="186" t="n">
        <x:f>P149-Q149</x:f>
        <x:v>19338</x:v>
      </x:c>
      <x:c r="S149" s="186" t="n">
        <x:v>23675</x:v>
      </x:c>
      <x:c r="T149" s="186" t="n">
        <x:v>14007</x:v>
      </x:c>
      <x:c r="U149" s="186" t="n">
        <x:f>S149-T149</x:f>
        <x:v>9668</x:v>
      </x:c>
      <x:c r="V149" s="196" t="n">
        <x:f>IFERROR(O149/F149,"")</x:f>
        <x:v>0.20501376470874852</x:v>
      </x:c>
      <x:c r="W149" s="196" t="n">
        <x:f>IFERROR(I149/F149,"")</x:f>
        <x:v>-0.2605354837137915</x:v>
      </x:c>
    </x:row>
    <x:row r="150">
      <x:c r="A150" s="186" t="str">
        <x:v>Gold</x:v>
      </x:c>
      <x:c r="B150" s="187" t="n">
        <x:v>42892</x:v>
      </x:c>
      <x:c r="C150" s="187" t="n">
        <x:v>42895</x:v>
      </x:c>
      <x:c r="D150" s="186" t="str">
        <x:v>088691-GOLD</x:v>
      </x:c>
      <x:c r="E150" s="186" t="str">
        <x:v>GOLD - COMMODITY EXCHANGE INC.</x:v>
      </x:c>
      <x:c r="F150" s="186" t="n">
        <x:v>494041</x:v>
      </x:c>
      <x:c r="G150" s="186" t="n">
        <x:v>18528</x:v>
      </x:c>
      <x:c r="H150" s="186" t="n">
        <x:v>192484</x:v>
      </x:c>
      <x:c r="I150" s="186" t="n">
        <x:f>G150-H150</x:f>
        <x:v>-173956</x:v>
      </x:c>
      <x:c r="J150" s="186" t="n">
        <x:v>68622</x:v>
      </x:c>
      <x:c r="K150" s="186" t="n">
        <x:v>111020</x:v>
      </x:c>
      <x:c r="L150" s="186" t="n">
        <x:f>J150-K150</x:f>
        <x:v>-42398</x:v>
      </x:c>
      <x:c r="M150" s="186" t="n">
        <x:v>229476</x:v>
      </x:c>
      <x:c r="N150" s="186" t="n">
        <x:v>63427</x:v>
      </x:c>
      <x:c r="O150" s="186" t="n">
        <x:f>M150-N150</x:f>
        <x:v>166049</x:v>
      </x:c>
      <x:c r="P150" s="186" t="n">
        <x:v>82764</x:v>
      </x:c>
      <x:c r="Q150" s="186" t="n">
        <x:v>44348</x:v>
      </x:c>
      <x:c r="R150" s="186" t="n">
        <x:f>P150-Q150</x:f>
        <x:v>38416</x:v>
      </x:c>
      <x:c r="S150" s="186" t="n">
        <x:v>44028</x:v>
      </x:c>
      <x:c r="T150" s="186" t="n">
        <x:v>32139</x:v>
      </x:c>
      <x:c r="U150" s="186" t="n">
        <x:f>S150-T150</x:f>
        <x:v>11889</x:v>
      </x:c>
      <x:c r="V150" s="196" t="n">
        <x:f>IFERROR(O150/F150,"")</x:f>
        <x:v>0.33610368370236476</x:v>
      </x:c>
      <x:c r="W150" s="196" t="n">
        <x:f>IFERROR(I150/F150,"")</x:f>
        <x:v>-0.352108428247858</x:v>
      </x:c>
    </x:row>
    <x:row r="151">
      <x:c r="A151" s="186" t="str">
        <x:v>Silver</x:v>
      </x:c>
      <x:c r="B151" s="187" t="n">
        <x:v>42892</x:v>
      </x:c>
      <x:c r="C151" s="187" t="n">
        <x:v>42895</x:v>
      </x:c>
      <x:c r="D151" s="186" t="str">
        <x:v>084691-SILVER</x:v>
      </x:c>
      <x:c r="E151" s="186" t="str">
        <x:v>SILVER - COMMODITY EXCHANGE INC.</x:v>
      </x:c>
      <x:c r="F151" s="186" t="n">
        <x:v>208967</x:v>
      </x:c>
      <x:c r="G151" s="186" t="n">
        <x:v>13522</x:v>
      </x:c>
      <x:c r="H151" s="186" t="n">
        <x:v>71161</x:v>
      </x:c>
      <x:c r="I151" s="186" t="n">
        <x:f>G151-H151</x:f>
        <x:v>-57639</x:v>
      </x:c>
      <x:c r="J151" s="186" t="n">
        <x:v>32243</x:v>
      </x:c>
      <x:c r="K151" s="186" t="n">
        <x:v>50228</x:v>
      </x:c>
      <x:c r="L151" s="186" t="n">
        <x:f>J151-K151</x:f>
        <x:v>-17985</x:v>
      </x:c>
      <x:c r="M151" s="186" t="n">
        <x:v>78394</x:v>
      </x:c>
      <x:c r="N151" s="186" t="n">
        <x:v>28168</x:v>
      </x:c>
      <x:c r="O151" s="186" t="n">
        <x:f>M151-N151</x:f>
        <x:v>50226</x:v>
      </x:c>
      <x:c r="P151" s="186" t="n">
        <x:v>23319</x:v>
      </x:c>
      <x:c r="Q151" s="186" t="n">
        <x:v>7604</x:v>
      </x:c>
      <x:c r="R151" s="186" t="n">
        <x:f>P151-Q151</x:f>
        <x:v>15715</x:v>
      </x:c>
      <x:c r="S151" s="186" t="n">
        <x:v>22852</x:v>
      </x:c>
      <x:c r="T151" s="186" t="n">
        <x:v>13169</x:v>
      </x:c>
      <x:c r="U151" s="186" t="n">
        <x:f>S151-T151</x:f>
        <x:v>9683</x:v>
      </x:c>
      <x:c r="V151" s="196" t="n">
        <x:f>IFERROR(O151/F151,"")</x:f>
        <x:v>0.24035374006422067</x:v>
      </x:c>
      <x:c r="W151" s="196" t="n">
        <x:f>IFERROR(I151/F151,"")</x:f>
        <x:v>-0.2758282408227136</x:v>
      </x:c>
    </x:row>
    <x:row r="152">
      <x:c r="A152" s="186" t="str">
        <x:v>Gold</x:v>
      </x:c>
      <x:c r="B152" s="187" t="n">
        <x:v>42899</x:v>
      </x:c>
      <x:c r="C152" s="187" t="n">
        <x:v>42902</x:v>
      </x:c>
      <x:c r="D152" s="186" t="str">
        <x:v>088691-GOLD</x:v>
      </x:c>
      <x:c r="E152" s="186" t="str">
        <x:v>GOLD - COMMODITY EXCHANGE INC.</x:v>
      </x:c>
      <x:c r="F152" s="186" t="n">
        <x:v>471134</x:v>
      </x:c>
      <x:c r="G152" s="186" t="n">
        <x:v>16856</x:v>
      </x:c>
      <x:c r="H152" s="186" t="n">
        <x:v>183073</x:v>
      </x:c>
      <x:c r="I152" s="186" t="n">
        <x:f>G152-H152</x:f>
        <x:v>-166217</x:v>
      </x:c>
      <x:c r="J152" s="186" t="n">
        <x:v>67130</x:v>
      </x:c>
      <x:c r="K152" s="186" t="n">
        <x:v>104524</x:v>
      </x:c>
      <x:c r="L152" s="186" t="n">
        <x:f>J152-K152</x:f>
        <x:v>-37394</x:v>
      </x:c>
      <x:c r="M152" s="186" t="n">
        <x:v>214955</x:v>
      </x:c>
      <x:c r="N152" s="186" t="n">
        <x:v>67459</x:v>
      </x:c>
      <x:c r="O152" s="186" t="n">
        <x:f>M152-N152</x:f>
        <x:v>147496</x:v>
      </x:c>
      <x:c r="P152" s="186" t="n">
        <x:v>82223</x:v>
      </x:c>
      <x:c r="Q152" s="186" t="n">
        <x:v>39445</x:v>
      </x:c>
      <x:c r="R152" s="186" t="n">
        <x:f>P152-Q152</x:f>
        <x:v>42778</x:v>
      </x:c>
      <x:c r="S152" s="186" t="n">
        <x:v>40186</x:v>
      </x:c>
      <x:c r="T152" s="186" t="n">
        <x:v>26849</x:v>
      </x:c>
      <x:c r="U152" s="186" t="n">
        <x:f>S152-T152</x:f>
        <x:v>13337</x:v>
      </x:c>
      <x:c r="V152" s="196" t="n">
        <x:f>IFERROR(O152/F152,"")</x:f>
        <x:v>0.3130659217971957</x:v>
      </x:c>
      <x:c r="W152" s="196" t="n">
        <x:f>IFERROR(I152/F152,"")</x:f>
        <x:v>-0.35280196292349947</x:v>
      </x:c>
    </x:row>
    <x:row r="153">
      <x:c r="A153" s="186" t="str">
        <x:v>Silver</x:v>
      </x:c>
      <x:c r="B153" s="187" t="n">
        <x:v>42899</x:v>
      </x:c>
      <x:c r="C153" s="187" t="n">
        <x:v>42902</x:v>
      </x:c>
      <x:c r="D153" s="186" t="str">
        <x:v>084691-SILVER</x:v>
      </x:c>
      <x:c r="E153" s="186" t="str">
        <x:v>SILVER - COMMODITY EXCHANGE INC.</x:v>
      </x:c>
      <x:c r="F153" s="186" t="n">
        <x:v>201214</x:v>
      </x:c>
      <x:c r="G153" s="186" t="n">
        <x:v>13383</x:v>
      </x:c>
      <x:c r="H153" s="186" t="n">
        <x:v>68151</x:v>
      </x:c>
      <x:c r="I153" s="186" t="n">
        <x:f>G153-H153</x:f>
        <x:v>-54768</x:v>
      </x:c>
      <x:c r="J153" s="186" t="n">
        <x:v>31200</x:v>
      </x:c>
      <x:c r="K153" s="186" t="n">
        <x:v>48345</x:v>
      </x:c>
      <x:c r="L153" s="186" t="n">
        <x:f>J153-K153</x:f>
        <x:v>-17145</x:v>
      </x:c>
      <x:c r="M153" s="186" t="n">
        <x:v>77308</x:v>
      </x:c>
      <x:c r="N153" s="186" t="n">
        <x:v>33378</x:v>
      </x:c>
      <x:c r="O153" s="186" t="n">
        <x:f>M153-N153</x:f>
        <x:v>43930</x:v>
      </x:c>
      <x:c r="P153" s="186" t="n">
        <x:v>25394</x:v>
      </x:c>
      <x:c r="Q153" s="186" t="n">
        <x:v>8666</x:v>
      </x:c>
      <x:c r="R153" s="186" t="n">
        <x:f>P153-Q153</x:f>
        <x:v>16728</x:v>
      </x:c>
      <x:c r="S153" s="186" t="n">
        <x:v>24935</x:v>
      </x:c>
      <x:c r="T153" s="186" t="n">
        <x:v>13680</x:v>
      </x:c>
      <x:c r="U153" s="186" t="n">
        <x:f>S153-T153</x:f>
        <x:v>11255</x:v>
      </x:c>
      <x:c r="V153" s="196" t="n">
        <x:f>IFERROR(O153/F153,"")</x:f>
        <x:v>0.2183247686542686</x:v>
      </x:c>
      <x:c r="W153" s="196" t="n">
        <x:f>IFERROR(I153/F153,"")</x:f>
        <x:v>-0.27218781993300667</x:v>
      </x:c>
    </x:row>
    <x:row r="154">
      <x:c r="A154" s="186" t="str">
        <x:v>Gold</x:v>
      </x:c>
      <x:c r="B154" s="187" t="n">
        <x:v>42906</x:v>
      </x:c>
      <x:c r="C154" s="187" t="n">
        <x:v>42909</x:v>
      </x:c>
      <x:c r="D154" s="186" t="str">
        <x:v>088691-GOLD</x:v>
      </x:c>
      <x:c r="E154" s="186" t="str">
        <x:v>GOLD - COMMODITY EXCHANGE INC.</x:v>
      </x:c>
      <x:c r="F154" s="186" t="n">
        <x:v>445841</x:v>
      </x:c>
      <x:c r="G154" s="186" t="n">
        <x:v>16301</x:v>
      </x:c>
      <x:c r="H154" s="186" t="n">
        <x:v>164235</x:v>
      </x:c>
      <x:c r="I154" s="186" t="n">
        <x:f>G154-H154</x:f>
        <x:v>-147934</x:v>
      </x:c>
      <x:c r="J154" s="186" t="n">
        <x:v>71455</x:v>
      </x:c>
      <x:c r="K154" s="186" t="n">
        <x:v>88537</x:v>
      </x:c>
      <x:c r="L154" s="186" t="n">
        <x:f>J154-K154</x:f>
        <x:v>-17082</x:v>
      </x:c>
      <x:c r="M154" s="186" t="n">
        <x:v>165035</x:v>
      </x:c>
      <x:c r="N154" s="186" t="n">
        <x:v>65659</x:v>
      </x:c>
      <x:c r="O154" s="186" t="n">
        <x:f>M154-N154</x:f>
        <x:v>99376</x:v>
      </x:c>
      <x:c r="P154" s="186" t="n">
        <x:v>87585</x:v>
      </x:c>
      <x:c r="Q154" s="186" t="n">
        <x:v>36286</x:v>
      </x:c>
      <x:c r="R154" s="186" t="n">
        <x:f>P154-Q154</x:f>
        <x:v>51299</x:v>
      </x:c>
      <x:c r="S154" s="186" t="n">
        <x:v>43201</x:v>
      </x:c>
      <x:c r="T154" s="186" t="n">
        <x:v>28860</x:v>
      </x:c>
      <x:c r="U154" s="186" t="n">
        <x:f>S154-T154</x:f>
        <x:v>14341</x:v>
      </x:c>
      <x:c r="V154" s="196" t="n">
        <x:f>IFERROR(O154/F154,"")</x:f>
        <x:v>0.222895606281163</x:v>
      </x:c>
      <x:c r="W154" s="196" t="n">
        <x:f>IFERROR(I154/F154,"")</x:f>
        <x:v>-0.331808873567034</x:v>
      </x:c>
    </x:row>
    <x:row r="155">
      <x:c r="A155" s="186" t="str">
        <x:v>Silver</x:v>
      </x:c>
      <x:c r="B155" s="187" t="n">
        <x:v>42906</x:v>
      </x:c>
      <x:c r="C155" s="187" t="n">
        <x:v>42909</x:v>
      </x:c>
      <x:c r="D155" s="186" t="str">
        <x:v>084691-SILVER</x:v>
      </x:c>
      <x:c r="E155" s="186" t="str">
        <x:v>SILVER - COMMODITY EXCHANGE INC.</x:v>
      </x:c>
      <x:c r="F155" s="186" t="n">
        <x:v>199929</x:v>
      </x:c>
      <x:c r="G155" s="186" t="n">
        <x:v>15743</x:v>
      </x:c>
      <x:c r="H155" s="186" t="n">
        <x:v>63142</x:v>
      </x:c>
      <x:c r="I155" s="186" t="n">
        <x:f>G155-H155</x:f>
        <x:v>-47399</x:v>
      </x:c>
      <x:c r="J155" s="186" t="n">
        <x:v>32466</x:v>
      </x:c>
      <x:c r="K155" s="186" t="n">
        <x:v>43901</x:v>
      </x:c>
      <x:c r="L155" s="186" t="n">
        <x:f>J155-K155</x:f>
        <x:v>-11435</x:v>
      </x:c>
      <x:c r="M155" s="186" t="n">
        <x:v>68683</x:v>
      </x:c>
      <x:c r="N155" s="186" t="n">
        <x:v>42364</x:v>
      </x:c>
      <x:c r="O155" s="186" t="n">
        <x:f>M155-N155</x:f>
        <x:v>26319</x:v>
      </x:c>
      <x:c r="P155" s="186" t="n">
        <x:v>27317</x:v>
      </x:c>
      <x:c r="Q155" s="186" t="n">
        <x:v>6955</x:v>
      </x:c>
      <x:c r="R155" s="186" t="n">
        <x:f>P155-Q155</x:f>
        <x:v>20362</x:v>
      </x:c>
      <x:c r="S155" s="186" t="n">
        <x:v>26161</x:v>
      </x:c>
      <x:c r="T155" s="186" t="n">
        <x:v>14008</x:v>
      </x:c>
      <x:c r="U155" s="186" t="n">
        <x:f>S155-T155</x:f>
        <x:v>12153</x:v>
      </x:c>
      <x:c r="V155" s="196" t="n">
        <x:f>IFERROR(O155/F155,"")</x:f>
        <x:v>0.13164173281514938</x:v>
      </x:c>
      <x:c r="W155" s="196" t="n">
        <x:f>IFERROR(I155/F155,"")</x:f>
        <x:v>-0.23707916310290153</x:v>
      </x:c>
    </x:row>
    <x:row r="156">
      <x:c r="A156" s="186" t="str">
        <x:v>Gold</x:v>
      </x:c>
      <x:c r="B156" s="187" t="n">
        <x:v>42913</x:v>
      </x:c>
      <x:c r="C156" s="187" t="n">
        <x:v>42916</x:v>
      </x:c>
      <x:c r="D156" s="186" t="str">
        <x:v>088691-GOLD</x:v>
      </x:c>
      <x:c r="E156" s="186" t="str">
        <x:v>GOLD - COMMODITY EXCHANGE INC.</x:v>
      </x:c>
      <x:c r="F156" s="186" t="n">
        <x:v>453144</x:v>
      </x:c>
      <x:c r="G156" s="186" t="n">
        <x:v>16646</x:v>
      </x:c>
      <x:c r="H156" s="186" t="n">
        <x:v>156631</x:v>
      </x:c>
      <x:c r="I156" s="186" t="n">
        <x:f>G156-H156</x:f>
        <x:v>-139985</x:v>
      </x:c>
      <x:c r="J156" s="186" t="n">
        <x:v>74033</x:v>
      </x:c>
      <x:c r="K156" s="186" t="n">
        <x:v>83911</x:v>
      </x:c>
      <x:c r="L156" s="186" t="n">
        <x:f>J156-K156</x:f>
        <x:v>-9878</x:v>
      </x:c>
      <x:c r="M156" s="186" t="n">
        <x:v>144515</x:v>
      </x:c>
      <x:c r="N156" s="186" t="n">
        <x:v>71860</x:v>
      </x:c>
      <x:c r="O156" s="186" t="n">
        <x:f>M156-N156</x:f>
        <x:v>72655</x:v>
      </x:c>
      <x:c r="P156" s="186" t="n">
        <x:v>92071</x:v>
      </x:c>
      <x:c r="Q156" s="186" t="n">
        <x:v>33054</x:v>
      </x:c>
      <x:c r="R156" s="186" t="n">
        <x:f>P156-Q156</x:f>
        <x:v>59017</x:v>
      </x:c>
      <x:c r="S156" s="186" t="n">
        <x:v>47403</x:v>
      </x:c>
      <x:c r="T156" s="186" t="n">
        <x:v>29212</x:v>
      </x:c>
      <x:c r="U156" s="186" t="n">
        <x:f>S156-T156</x:f>
        <x:v>18191</x:v>
      </x:c>
      <x:c r="V156" s="196" t="n">
        <x:f>IFERROR(O156/F156,"")</x:f>
        <x:v>0.16033534593859788</x:v>
      </x:c>
      <x:c r="W156" s="196" t="n">
        <x:f>IFERROR(I156/F156,"")</x:f>
        <x:v>-0.30891946048055363</x:v>
      </x:c>
    </x:row>
    <x:row r="157">
      <x:c r="A157" s="186" t="str">
        <x:v>Silver</x:v>
      </x:c>
      <x:c r="B157" s="187" t="n">
        <x:v>42913</x:v>
      </x:c>
      <x:c r="C157" s="187" t="n">
        <x:v>42916</x:v>
      </x:c>
      <x:c r="D157" s="186" t="str">
        <x:v>084691-SILVER</x:v>
      </x:c>
      <x:c r="E157" s="186" t="str">
        <x:v>SILVER - COMMODITY EXCHANGE INC.</x:v>
      </x:c>
      <x:c r="F157" s="186" t="n">
        <x:v>204637</x:v>
      </x:c>
      <x:c r="G157" s="186" t="n">
        <x:v>16161</x:v>
      </x:c>
      <x:c r="H157" s="186" t="n">
        <x:v>58520</x:v>
      </x:c>
      <x:c r="I157" s="186" t="n">
        <x:f>G157-H157</x:f>
        <x:v>-42359</x:v>
      </x:c>
      <x:c r="J157" s="186" t="n">
        <x:v>35405</x:v>
      </x:c>
      <x:c r="K157" s="186" t="n">
        <x:v>43254</x:v>
      </x:c>
      <x:c r="L157" s="186" t="n">
        <x:f>J157-K157</x:f>
        <x:v>-7849</x:v>
      </x:c>
      <x:c r="M157" s="186" t="n">
        <x:v>64435</x:v>
      </x:c>
      <x:c r="N157" s="186" t="n">
        <x:v>52602</x:v>
      </x:c>
      <x:c r="O157" s="186" t="n">
        <x:f>M157-N157</x:f>
        <x:v>11833</x:v>
      </x:c>
      <x:c r="P157" s="186" t="n">
        <x:v>29434</x:v>
      </x:c>
      <x:c r="Q157" s="186" t="n">
        <x:v>5735</x:v>
      </x:c>
      <x:c r="R157" s="186" t="n">
        <x:f>P157-Q157</x:f>
        <x:v>23699</x:v>
      </x:c>
      <x:c r="S157" s="186" t="n">
        <x:v>28981</x:v>
      </x:c>
      <x:c r="T157" s="186" t="n">
        <x:v>14305</x:v>
      </x:c>
      <x:c r="U157" s="186" t="n">
        <x:f>S157-T157</x:f>
        <x:v>14676</x:v>
      </x:c>
      <x:c r="V157" s="196" t="n">
        <x:f>IFERROR(O157/F157,"")</x:f>
        <x:v>0.05782434261643789</x:v>
      </x:c>
      <x:c r="W157" s="196" t="n">
        <x:f>IFERROR(I157/F157,"")</x:f>
        <x:v>-0.20699580232313805</x:v>
      </x:c>
    </x:row>
    <x:row r="158">
      <x:c r="A158" s="186" t="str">
        <x:v>Gold</x:v>
      </x:c>
      <x:c r="B158" s="187" t="n">
        <x:v>42919</x:v>
      </x:c>
      <x:c r="C158" s="187" t="n">
        <x:v>42922</x:v>
      </x:c>
      <x:c r="D158" s="186" t="str">
        <x:v>088691-GOLD</x:v>
      </x:c>
      <x:c r="E158" s="186" t="str">
        <x:v>GOLD - COMMODITY EXCHANGE INC.</x:v>
      </x:c>
      <x:c r="F158" s="186" t="n">
        <x:v>457201</x:v>
      </x:c>
      <x:c r="G158" s="186" t="n">
        <x:v>18166</x:v>
      </x:c>
      <x:c r="H158" s="186" t="n">
        <x:v>146455</x:v>
      </x:c>
      <x:c r="I158" s="186" t="n">
        <x:f>G158-H158</x:f>
        <x:v>-128289</x:v>
      </x:c>
      <x:c r="J158" s="186" t="n">
        <x:v>77273</x:v>
      </x:c>
      <x:c r="K158" s="186" t="n">
        <x:v>56210</x:v>
      </x:c>
      <x:c r="L158" s="186" t="n">
        <x:f>J158-K158</x:f>
        <x:v>21063</x:v>
      </x:c>
      <x:c r="M158" s="186" t="n">
        <x:v>129780</x:v>
      </x:c>
      <x:c r="N158" s="186" t="n">
        <x:v>96091</x:v>
      </x:c>
      <x:c r="O158" s="186" t="n">
        <x:f>M158-N158</x:f>
        <x:v>33689</x:v>
      </x:c>
      <x:c r="P158" s="186" t="n">
        <x:v>91901</x:v>
      </x:c>
      <x:c r="Q158" s="186" t="n">
        <x:v>31791</x:v>
      </x:c>
      <x:c r="R158" s="186" t="n">
        <x:f>P158-Q158</x:f>
        <x:v>60110</x:v>
      </x:c>
      <x:c r="S158" s="186" t="n">
        <x:v>47362</x:v>
      </x:c>
      <x:c r="T158" s="186" t="n">
        <x:v>33935</x:v>
      </x:c>
      <x:c r="U158" s="186" t="n">
        <x:f>S158-T158</x:f>
        <x:v>13427</x:v>
      </x:c>
      <x:c r="V158" s="196" t="n">
        <x:f>IFERROR(O158/F158,"")</x:f>
        <x:v>0.07368531564891591</x:v>
      </x:c>
      <x:c r="W158" s="196" t="n">
        <x:f>IFERROR(I158/F158,"")</x:f>
        <x:v>-0.2805964991327666</x:v>
      </x:c>
    </x:row>
    <x:row r="159">
      <x:c r="A159" s="186" t="str">
        <x:v>Silver</x:v>
      </x:c>
      <x:c r="B159" s="187" t="n">
        <x:v>42919</x:v>
      </x:c>
      <x:c r="C159" s="187" t="n">
        <x:v>42922</x:v>
      </x:c>
      <x:c r="D159" s="186" t="str">
        <x:v>084691-SILVER</x:v>
      </x:c>
      <x:c r="E159" s="186" t="str">
        <x:v>SILVER - COMMODITY EXCHANGE INC.</x:v>
      </x:c>
      <x:c r="F159" s="186" t="n">
        <x:v>203541</x:v>
      </x:c>
      <x:c r="G159" s="186" t="n">
        <x:v>16485</x:v>
      </x:c>
      <x:c r="H159" s="186" t="n">
        <x:v>55588</x:v>
      </x:c>
      <x:c r="I159" s="186" t="n">
        <x:f>G159-H159</x:f>
        <x:v>-39103</x:v>
      </x:c>
      <x:c r="J159" s="186" t="n">
        <x:v>39637</x:v>
      </x:c>
      <x:c r="K159" s="186" t="n">
        <x:v>39762</x:v>
      </x:c>
      <x:c r="L159" s="186" t="n">
        <x:f>J159-K159</x:f>
        <x:v>-125</x:v>
      </x:c>
      <x:c r="M159" s="186" t="n">
        <x:v>59796</x:v>
      </x:c>
      <x:c r="N159" s="186" t="n">
        <x:v>58630</x:v>
      </x:c>
      <x:c r="O159" s="186" t="n">
        <x:f>M159-N159</x:f>
        <x:v>1166</x:v>
      </x:c>
      <x:c r="P159" s="186" t="n">
        <x:v>32200</x:v>
      </x:c>
      <x:c r="Q159" s="186" t="n">
        <x:v>7091</x:v>
      </x:c>
      <x:c r="R159" s="186" t="n">
        <x:f>P159-Q159</x:f>
        <x:v>25109</x:v>
      </x:c>
      <x:c r="S159" s="186" t="n">
        <x:v>29384</x:v>
      </x:c>
      <x:c r="T159" s="186" t="n">
        <x:v>16431</x:v>
      </x:c>
      <x:c r="U159" s="186" t="n">
        <x:f>S159-T159</x:f>
        <x:v>12953</x:v>
      </x:c>
      <x:c r="V159" s="196" t="n">
        <x:f>IFERROR(O159/F159,"")</x:f>
        <x:v>0.005728575569541271</x:v>
      </x:c>
      <x:c r="W159" s="196" t="n">
        <x:f>IFERROR(I159/F159,"")</x:f>
        <x:v>-0.19211362821249772</x:v>
      </x:c>
    </x:row>
    <x:row r="160">
      <x:c r="A160" s="186" t="str">
        <x:v>Gold</x:v>
      </x:c>
      <x:c r="B160" s="187" t="n">
        <x:v>42927</x:v>
      </x:c>
      <x:c r="C160" s="187" t="n">
        <x:v>42930</x:v>
      </x:c>
      <x:c r="D160" s="186" t="str">
        <x:v>088691-GOLD</x:v>
      </x:c>
      <x:c r="E160" s="186" t="str">
        <x:v>GOLD - COMMODITY EXCHANGE INC.</x:v>
      </x:c>
      <x:c r="F160" s="186" t="n">
        <x:v>475669</x:v>
      </x:c>
      <x:c r="G160" s="186" t="n">
        <x:v>24005</x:v>
      </x:c>
      <x:c r="H160" s="186" t="n">
        <x:v>141642</x:v>
      </x:c>
      <x:c r="I160" s="186" t="n">
        <x:f>G160-H160</x:f>
        <x:v>-117637</x:v>
      </x:c>
      <x:c r="J160" s="186" t="n">
        <x:v>85352</x:v>
      </x:c>
      <x:c r="K160" s="186" t="n">
        <x:v>41631</x:v>
      </x:c>
      <x:c r="L160" s="186" t="n">
        <x:f>J160-K160</x:f>
        <x:v>43721</x:v>
      </x:c>
      <x:c r="M160" s="186" t="n">
        <x:v>123619</x:v>
      </x:c>
      <x:c r="N160" s="186" t="n">
        <x:v>100397</x:v>
      </x:c>
      <x:c r="O160" s="186" t="n">
        <x:f>M160-N160</x:f>
        <x:v>23222</x:v>
      </x:c>
      <x:c r="P160" s="186" t="n">
        <x:v>94018</x:v>
      </x:c>
      <x:c r="Q160" s="186" t="n">
        <x:v>56980</x:v>
      </x:c>
      <x:c r="R160" s="186" t="n">
        <x:f>P160-Q160</x:f>
        <x:v>37038</x:v>
      </x:c>
      <x:c r="S160" s="186" t="n">
        <x:v>45455</x:v>
      </x:c>
      <x:c r="T160" s="186" t="n">
        <x:v>31799</x:v>
      </x:c>
      <x:c r="U160" s="186" t="n">
        <x:f>S160-T160</x:f>
        <x:v>13656</x:v>
      </x:c>
      <x:c r="V160" s="196" t="n">
        <x:f>IFERROR(O160/F160,"")</x:f>
        <x:v>0.048819662412307716</x:v>
      </x:c>
      <x:c r="W160" s="196" t="n">
        <x:f>IFERROR(I160/F160,"")</x:f>
        <x:v>-0.2473085275685403</x:v>
      </x:c>
    </x:row>
    <x:row r="161">
      <x:c r="A161" s="186" t="str">
        <x:v>Silver</x:v>
      </x:c>
      <x:c r="B161" s="187" t="n">
        <x:v>42927</x:v>
      </x:c>
      <x:c r="C161" s="187" t="n">
        <x:v>42930</x:v>
      </x:c>
      <x:c r="D161" s="186" t="str">
        <x:v>084691-SILVER</x:v>
      </x:c>
      <x:c r="E161" s="186" t="str">
        <x:v>SILVER - COMMODITY EXCHANGE INC.</x:v>
      </x:c>
      <x:c r="F161" s="186" t="n">
        <x:v>207592</x:v>
      </x:c>
      <x:c r="G161" s="186" t="n">
        <x:v>16641</x:v>
      </x:c>
      <x:c r="H161" s="186" t="n">
        <x:v>49957</x:v>
      </x:c>
      <x:c r="I161" s="186" t="n">
        <x:f>G161-H161</x:f>
        <x:v>-33316</x:v>
      </x:c>
      <x:c r="J161" s="186" t="n">
        <x:v>44582</x:v>
      </x:c>
      <x:c r="K161" s="186" t="n">
        <x:v>35833</x:v>
      </x:c>
      <x:c r="L161" s="186" t="n">
        <x:f>J161-K161</x:f>
        <x:v>8749</x:v>
      </x:c>
      <x:c r="M161" s="186" t="n">
        <x:v>55697</x:v>
      </x:c>
      <x:c r="N161" s="186" t="n">
        <x:v>62058</x:v>
      </x:c>
      <x:c r="O161" s="186" t="n">
        <x:f>M161-N161</x:f>
        <x:v>-6361</x:v>
      </x:c>
      <x:c r="P161" s="186" t="n">
        <x:v>35477</x:v>
      </x:c>
      <x:c r="Q161" s="186" t="n">
        <x:v>15111</x:v>
      </x:c>
      <x:c r="R161" s="186" t="n">
        <x:f>P161-Q161</x:f>
        <x:v>20366</x:v>
      </x:c>
      <x:c r="S161" s="186" t="n">
        <x:v>26994</x:v>
      </x:c>
      <x:c r="T161" s="186" t="n">
        <x:v>16432</x:v>
      </x:c>
      <x:c r="U161" s="186" t="n">
        <x:f>S161-T161</x:f>
        <x:v>10562</x:v>
      </x:c>
      <x:c r="V161" s="196" t="n">
        <x:f>IFERROR(O161/F161,"")</x:f>
        <x:v>-0.030641835908898223</x:v>
      </x:c>
      <x:c r="W161" s="196" t="n">
        <x:f>IFERROR(I161/F161,"")</x:f>
        <x:v>-0.1604878800724498</x:v>
      </x:c>
    </x:row>
    <x:row r="162">
      <x:c r="A162" s="186" t="str">
        <x:v>Gold</x:v>
      </x:c>
      <x:c r="B162" s="187" t="n">
        <x:v>42934</x:v>
      </x:c>
      <x:c r="C162" s="187" t="n">
        <x:v>42937</x:v>
      </x:c>
      <x:c r="D162" s="186" t="str">
        <x:v>088691-GOLD</x:v>
      </x:c>
      <x:c r="E162" s="186" t="str">
        <x:v>GOLD - COMMODITY EXCHANGE INC.</x:v>
      </x:c>
      <x:c r="F162" s="186" t="n">
        <x:v>484204</x:v>
      </x:c>
      <x:c r="G162" s="186" t="n">
        <x:v>24116</x:v>
      </x:c>
      <x:c r="H162" s="186" t="n">
        <x:v>144914</x:v>
      </x:c>
      <x:c r="I162" s="186" t="n">
        <x:f>G162-H162</x:f>
        <x:v>-120798</x:v>
      </x:c>
      <x:c r="J162" s="186" t="n">
        <x:v>92227</x:v>
      </x:c>
      <x:c r="K162" s="186" t="n">
        <x:v>45064</x:v>
      </x:c>
      <x:c r="L162" s="186" t="n">
        <x:f>J162-K162</x:f>
        <x:v>47163</x:v>
      </x:c>
      <x:c r="M162" s="186" t="n">
        <x:v>127028</x:v>
      </x:c>
      <x:c r="N162" s="186" t="n">
        <x:v>98115</x:v>
      </x:c>
      <x:c r="O162" s="186" t="n">
        <x:f>M162-N162</x:f>
        <x:v>28913</x:v>
      </x:c>
      <x:c r="P162" s="186" t="n">
        <x:v>90204</x:v>
      </x:c>
      <x:c r="Q162" s="186" t="n">
        <x:v>58979</x:v>
      </x:c>
      <x:c r="R162" s="186" t="n">
        <x:f>P162-Q162</x:f>
        <x:v>31225</x:v>
      </x:c>
      <x:c r="S162" s="186" t="n">
        <x:v>44194</x:v>
      </x:c>
      <x:c r="T162" s="186" t="n">
        <x:v>30697</x:v>
      </x:c>
      <x:c r="U162" s="186" t="n">
        <x:f>S162-T162</x:f>
        <x:v>13497</x:v>
      </x:c>
      <x:c r="V162" s="196" t="n">
        <x:f>IFERROR(O162/F162,"")</x:f>
        <x:v>0.05971243525456213</x:v>
      </x:c>
      <x:c r="W162" s="196" t="n">
        <x:f>IFERROR(I162/F162,"")</x:f>
        <x:v>-0.24947749295751379</x:v>
      </x:c>
    </x:row>
    <x:row r="163">
      <x:c r="A163" s="186" t="str">
        <x:v>Silver</x:v>
      </x:c>
      <x:c r="B163" s="187" t="n">
        <x:v>42934</x:v>
      </x:c>
      <x:c r="C163" s="187" t="n">
        <x:v>42937</x:v>
      </x:c>
      <x:c r="D163" s="186" t="str">
        <x:v>084691-SILVER</x:v>
      </x:c>
      <x:c r="E163" s="186" t="str">
        <x:v>SILVER - COMMODITY EXCHANGE INC.</x:v>
      </x:c>
      <x:c r="F163" s="186" t="n">
        <x:v>209689</x:v>
      </x:c>
      <x:c r="G163" s="186" t="n">
        <x:v>16100</x:v>
      </x:c>
      <x:c r="H163" s="186" t="n">
        <x:v>49048</x:v>
      </x:c>
      <x:c r="I163" s="186" t="n">
        <x:f>G163-H163</x:f>
        <x:v>-32948</x:v>
      </x:c>
      <x:c r="J163" s="186" t="n">
        <x:v>44401</x:v>
      </x:c>
      <x:c r="K163" s="186" t="n">
        <x:v>33367</x:v>
      </x:c>
      <x:c r="L163" s="186" t="n">
        <x:f>J163-K163</x:f>
        <x:v>11034</x:v>
      </x:c>
      <x:c r="M163" s="186" t="n">
        <x:v>58827</x:v>
      </x:c>
      <x:c r="N163" s="186" t="n">
        <x:v>65913</x:v>
      </x:c>
      <x:c r="O163" s="186" t="n">
        <x:f>M163-N163</x:f>
        <x:v>-7086</x:v>
      </x:c>
      <x:c r="P163" s="186" t="n">
        <x:v>31949</x:v>
      </x:c>
      <x:c r="Q163" s="186" t="n">
        <x:v>15487</x:v>
      </x:c>
      <x:c r="R163" s="186" t="n">
        <x:f>P163-Q163</x:f>
        <x:v>16462</x:v>
      </x:c>
      <x:c r="S163" s="186" t="n">
        <x:v>27528</x:v>
      </x:c>
      <x:c r="T163" s="186" t="n">
        <x:v>14990</x:v>
      </x:c>
      <x:c r="U163" s="186" t="n">
        <x:f>S163-T163</x:f>
        <x:v>12538</x:v>
      </x:c>
      <x:c r="V163" s="196" t="n">
        <x:f>IFERROR(O163/F163,"")</x:f>
        <x:v>-0.03379290282275179</x:v>
      </x:c>
      <x:c r="W163" s="196" t="n">
        <x:f>IFERROR(I163/F163,"")</x:f>
        <x:v>-0.1571279370877824</x:v>
      </x:c>
    </x:row>
    <x:row r="164">
      <x:c r="A164" s="186" t="str">
        <x:v>Gold</x:v>
      </x:c>
      <x:c r="B164" s="187" t="n">
        <x:v>42941</x:v>
      </x:c>
      <x:c r="C164" s="187" t="n">
        <x:v>42944</x:v>
      </x:c>
      <x:c r="D164" s="186" t="str">
        <x:v>088691-GOLD</x:v>
      </x:c>
      <x:c r="E164" s="186" t="str">
        <x:v>GOLD - COMMODITY EXCHANGE INC.</x:v>
      </x:c>
      <x:c r="F164" s="186" t="n">
        <x:v>463827</x:v>
      </x:c>
      <x:c r="G164" s="186" t="n">
        <x:v>21746</x:v>
      </x:c>
      <x:c r="H164" s="186" t="n">
        <x:v>159307</x:v>
      </x:c>
      <x:c r="I164" s="186" t="n">
        <x:f>G164-H164</x:f>
        <x:v>-137561</x:v>
      </x:c>
      <x:c r="J164" s="186" t="n">
        <x:v>94201</x:v>
      </x:c>
      <x:c r="K164" s="186" t="n">
        <x:v>59983</x:v>
      </x:c>
      <x:c r="L164" s="186" t="n">
        <x:f>J164-K164</x:f>
        <x:v>34218</x:v>
      </x:c>
      <x:c r="M164" s="186" t="n">
        <x:v>136359</x:v>
      </x:c>
      <x:c r="N164" s="186" t="n">
        <x:v>62735</x:v>
      </x:c>
      <x:c r="O164" s="186" t="n">
        <x:f>M164-N164</x:f>
        <x:v>73624</x:v>
      </x:c>
      <x:c r="P164" s="186" t="n">
        <x:v>83940</x:v>
      </x:c>
      <x:c r="Q164" s="186" t="n">
        <x:v>66733</x:v>
      </x:c>
      <x:c r="R164" s="186" t="n">
        <x:f>P164-Q164</x:f>
        <x:v>17207</x:v>
      </x:c>
      <x:c r="S164" s="186" t="n">
        <x:v>43387</x:v>
      </x:c>
      <x:c r="T164" s="186" t="n">
        <x:v>30875</x:v>
      </x:c>
      <x:c r="U164" s="186" t="n">
        <x:f>S164-T164</x:f>
        <x:v>12512</x:v>
      </x:c>
      <x:c r="V164" s="196" t="n">
        <x:f>IFERROR(O164/F164,"")</x:f>
        <x:v>0.15873159604766432</x:v>
      </x:c>
      <x:c r="W164" s="196" t="n">
        <x:f>IFERROR(I164/F164,"")</x:f>
        <x:v>-0.29657825008031014</x:v>
      </x:c>
    </x:row>
    <x:row r="165">
      <x:c r="A165" s="186" t="str">
        <x:v>Silver</x:v>
      </x:c>
      <x:c r="B165" s="187" t="n">
        <x:v>42941</x:v>
      </x:c>
      <x:c r="C165" s="187" t="n">
        <x:v>42944</x:v>
      </x:c>
      <x:c r="D165" s="186" t="str">
        <x:v>084691-SILVER</x:v>
      </x:c>
      <x:c r="E165" s="186" t="str">
        <x:v>SILVER - COMMODITY EXCHANGE INC.</x:v>
      </x:c>
      <x:c r="F165" s="186" t="n">
        <x:v>206347</x:v>
      </x:c>
      <x:c r="G165" s="186" t="n">
        <x:v>15464</x:v>
      </x:c>
      <x:c r="H165" s="186" t="n">
        <x:v>52455</x:v>
      </x:c>
      <x:c r="I165" s="186" t="n">
        <x:f>G165-H165</x:f>
        <x:v>-36991</x:v>
      </x:c>
      <x:c r="J165" s="186" t="n">
        <x:v>43345</x:v>
      </x:c>
      <x:c r="K165" s="186" t="n">
        <x:v>35886</x:v>
      </x:c>
      <x:c r="L165" s="186" t="n">
        <x:f>J165-K165</x:f>
        <x:v>7459</x:v>
      </x:c>
      <x:c r="M165" s="186" t="n">
        <x:v>61965</x:v>
      </x:c>
      <x:c r="N165" s="186" t="n">
        <x:v>53745</x:v>
      </x:c>
      <x:c r="O165" s="186" t="n">
        <x:f>M165-N165</x:f>
        <x:v>8220</x:v>
      </x:c>
      <x:c r="P165" s="186" t="n">
        <x:v>28900</x:v>
      </x:c>
      <x:c r="Q165" s="186" t="n">
        <x:v>17703</x:v>
      </x:c>
      <x:c r="R165" s="186" t="n">
        <x:f>P165-Q165</x:f>
        <x:v>11197</x:v>
      </x:c>
      <x:c r="S165" s="186" t="n">
        <x:v>24782</x:v>
      </x:c>
      <x:c r="T165" s="186" t="n">
        <x:v>14667</x:v>
      </x:c>
      <x:c r="U165" s="186" t="n">
        <x:f>S165-T165</x:f>
        <x:v>10115</x:v>
      </x:c>
      <x:c r="V165" s="196" t="n">
        <x:f>IFERROR(O165/F165,"")</x:f>
        <x:v>0.03983581055212821</x:v>
      </x:c>
      <x:c r="W165" s="196" t="n">
        <x:f>IFERROR(I165/F165,"")</x:f>
        <x:v>-0.17926599369024024</x:v>
      </x:c>
    </x:row>
    <x:row r="166">
      <x:c r="A166" s="186" t="str">
        <x:v>Gold</x:v>
      </x:c>
      <x:c r="B166" s="187" t="n">
        <x:v>42948</x:v>
      </x:c>
      <x:c r="C166" s="187" t="n">
        <x:v>42951</x:v>
      </x:c>
      <x:c r="D166" s="186" t="str">
        <x:v>088691-GOLD</x:v>
      </x:c>
      <x:c r="E166" s="186" t="str">
        <x:v>GOLD - COMMODITY EXCHANGE INC.</x:v>
      </x:c>
      <x:c r="F166" s="186" t="n">
        <x:v>448709</x:v>
      </x:c>
      <x:c r="G166" s="186" t="n">
        <x:v>19082</x:v>
      </x:c>
      <x:c r="H166" s="186" t="n">
        <x:v>167618</x:v>
      </x:c>
      <x:c r="I166" s="186" t="n">
        <x:f>G166-H166</x:f>
        <x:v>-148536</x:v>
      </x:c>
      <x:c r="J166" s="186" t="n">
        <x:v>85526</x:v>
      </x:c>
      <x:c r="K166" s="186" t="n">
        <x:v>80375</x:v>
      </x:c>
      <x:c r="L166" s="186" t="n">
        <x:f>J166-K166</x:f>
        <x:v>5151</x:v>
      </x:c>
      <x:c r="M166" s="186" t="n">
        <x:v>158082</x:v>
      </x:c>
      <x:c r="N166" s="186" t="n">
        <x:v>39624</x:v>
      </x:c>
      <x:c r="O166" s="186" t="n">
        <x:f>M166-N166</x:f>
        <x:v>118458</x:v>
      </x:c>
      <x:c r="P166" s="186" t="n">
        <x:v>81684</x:v>
      </x:c>
      <x:c r="Q166" s="186" t="n">
        <x:v>70470</x:v>
      </x:c>
      <x:c r="R166" s="186" t="n">
        <x:f>P166-Q166</x:f>
        <x:v>11214</x:v>
      </x:c>
      <x:c r="S166" s="186" t="n">
        <x:v>42055</x:v>
      </x:c>
      <x:c r="T166" s="186" t="n">
        <x:v>28342</x:v>
      </x:c>
      <x:c r="U166" s="186" t="n">
        <x:f>S166-T166</x:f>
        <x:v>13713</x:v>
      </x:c>
      <x:c r="V166" s="196" t="n">
        <x:f>IFERROR(O166/F166,"")</x:f>
        <x:v>0.2639973791477327</x:v>
      </x:c>
      <x:c r="W166" s="196" t="n">
        <x:f>IFERROR(I166/F166,"")</x:f>
        <x:v>-0.3310296873920514</x:v>
      </x:c>
    </x:row>
    <x:row r="167">
      <x:c r="A167" s="186" t="str">
        <x:v>Silver</x:v>
      </x:c>
      <x:c r="B167" s="187" t="n">
        <x:v>42948</x:v>
      </x:c>
      <x:c r="C167" s="187" t="n">
        <x:v>42951</x:v>
      </x:c>
      <x:c r="D167" s="186" t="str">
        <x:v>084691-SILVER</x:v>
      </x:c>
      <x:c r="E167" s="186" t="str">
        <x:v>SILVER - COMMODITY EXCHANGE INC.</x:v>
      </x:c>
      <x:c r="F167" s="186" t="n">
        <x:v>207258</x:v>
      </x:c>
      <x:c r="G167" s="186" t="n">
        <x:v>14834</x:v>
      </x:c>
      <x:c r="H167" s="186" t="n">
        <x:v>55303</x:v>
      </x:c>
      <x:c r="I167" s="186" t="n">
        <x:f>G167-H167</x:f>
        <x:v>-40469</x:v>
      </x:c>
      <x:c r="J167" s="186" t="n">
        <x:v>38778</x:v>
      </x:c>
      <x:c r="K167" s="186" t="n">
        <x:v>37976</x:v>
      </x:c>
      <x:c r="L167" s="186" t="n">
        <x:f>J167-K167</x:f>
        <x:v>802</x:v>
      </x:c>
      <x:c r="M167" s="186" t="n">
        <x:v>66461</x:v>
      </x:c>
      <x:c r="N167" s="186" t="n">
        <x:v>43427</x:v>
      </x:c>
      <x:c r="O167" s="186" t="n">
        <x:f>M167-N167</x:f>
        <x:v>23034</x:v>
      </x:c>
      <x:c r="P167" s="186" t="n">
        <x:v>25798</x:v>
      </x:c>
      <x:c r="Q167" s="186" t="n">
        <x:v>18073</x:v>
      </x:c>
      <x:c r="R167" s="186" t="n">
        <x:f>P167-Q167</x:f>
        <x:v>7725</x:v>
      </x:c>
      <x:c r="S167" s="186" t="n">
        <x:v>23388</x:v>
      </x:c>
      <x:c r="T167" s="186" t="n">
        <x:v>14480</x:v>
      </x:c>
      <x:c r="U167" s="186" t="n">
        <x:f>S167-T167</x:f>
        <x:v>8908</x:v>
      </x:c>
      <x:c r="V167" s="196" t="n">
        <x:f>IFERROR(O167/F167,"")</x:f>
        <x:v>0.11113684393364792</x:v>
      </x:c>
      <x:c r="W167" s="196" t="n">
        <x:f>IFERROR(I167/F167,"")</x:f>
        <x:v>-0.1952590491078752</x:v>
      </x:c>
    </x:row>
    <x:row r="168">
      <x:c r="A168" s="186" t="str">
        <x:v>Gold</x:v>
      </x:c>
      <x:c r="B168" s="187" t="n">
        <x:v>42955</x:v>
      </x:c>
      <x:c r="C168" s="187" t="n">
        <x:v>42958</x:v>
      </x:c>
      <x:c r="D168" s="186" t="str">
        <x:v>088691-GOLD</x:v>
      </x:c>
      <x:c r="E168" s="186" t="str">
        <x:v>GOLD - COMMODITY EXCHANGE INC.</x:v>
      </x:c>
      <x:c r="F168" s="186" t="n">
        <x:v>448727</x:v>
      </x:c>
      <x:c r="G168" s="186" t="n">
        <x:v>19019</x:v>
      </x:c>
      <x:c r="H168" s="186" t="n">
        <x:v>168329</x:v>
      </x:c>
      <x:c r="I168" s="186" t="n">
        <x:f>G168-H168</x:f>
        <x:v>-149310</x:v>
      </x:c>
      <x:c r="J168" s="186" t="n">
        <x:v>85898</x:v>
      </x:c>
      <x:c r="K168" s="186" t="n">
        <x:v>96099</x:v>
      </x:c>
      <x:c r="L168" s="186" t="n">
        <x:f>J168-K168</x:f>
        <x:v>-10201</x:v>
      </x:c>
      <x:c r="M168" s="186" t="n">
        <x:v>164828</x:v>
      </x:c>
      <x:c r="N168" s="186" t="n">
        <x:v>28843</x:v>
      </x:c>
      <x:c r="O168" s="186" t="n">
        <x:f>M168-N168</x:f>
        <x:v>135985</x:v>
      </x:c>
      <x:c r="P168" s="186" t="n">
        <x:v>81549</x:v>
      </x:c>
      <x:c r="Q168" s="186" t="n">
        <x:v>68697</x:v>
      </x:c>
      <x:c r="R168" s="186" t="n">
        <x:f>P168-Q168</x:f>
        <x:v>12852</x:v>
      </x:c>
      <x:c r="S168" s="186" t="n">
        <x:v>40774</x:v>
      </x:c>
      <x:c r="T168" s="186" t="n">
        <x:v>30100</x:v>
      </x:c>
      <x:c r="U168" s="186" t="n">
        <x:f>S168-T168</x:f>
        <x:v>10674</x:v>
      </x:c>
      <x:c r="V168" s="196" t="n">
        <x:f>IFERROR(O168/F168,"")</x:f>
        <x:v>0.3030461728400564</x:v>
      </x:c>
      <x:c r="W168" s="196" t="n">
        <x:f>IFERROR(I168/F168,"")</x:f>
        <x:v>-0.3327412881328737</x:v>
      </x:c>
    </x:row>
    <x:row r="169">
      <x:c r="A169" s="186" t="str">
        <x:v>Silver</x:v>
      </x:c>
      <x:c r="B169" s="187" t="n">
        <x:v>42955</x:v>
      </x:c>
      <x:c r="C169" s="187" t="n">
        <x:v>42958</x:v>
      </x:c>
      <x:c r="D169" s="186" t="str">
        <x:v>084691-SILVER</x:v>
      </x:c>
      <x:c r="E169" s="186" t="str">
        <x:v>SILVER - COMMODITY EXCHANGE INC.</x:v>
      </x:c>
      <x:c r="F169" s="186" t="n">
        <x:v>195163</x:v>
      </x:c>
      <x:c r="G169" s="186" t="n">
        <x:v>14615</x:v>
      </x:c>
      <x:c r="H169" s="186" t="n">
        <x:v>55792</x:v>
      </x:c>
      <x:c r="I169" s="186" t="n">
        <x:f>G169-H169</x:f>
        <x:v>-41177</x:v>
      </x:c>
      <x:c r="J169" s="186" t="n">
        <x:v>37620</x:v>
      </x:c>
      <x:c r="K169" s="186" t="n">
        <x:v>36004</x:v>
      </x:c>
      <x:c r="L169" s="186" t="n">
        <x:f>J169-K169</x:f>
        <x:v>1616</x:v>
      </x:c>
      <x:c r="M169" s="186" t="n">
        <x:v>66456</x:v>
      </x:c>
      <x:c r="N169" s="186" t="n">
        <x:v>38936</x:v>
      </x:c>
      <x:c r="O169" s="186" t="n">
        <x:f>M169-N169</x:f>
        <x:v>27520</x:v>
      </x:c>
      <x:c r="P169" s="186" t="n">
        <x:v>24889</x:v>
      </x:c>
      <x:c r="Q169" s="186" t="n">
        <x:v>18545</x:v>
      </x:c>
      <x:c r="R169" s="186" t="n">
        <x:f>P169-Q169</x:f>
        <x:v>6344</x:v>
      </x:c>
      <x:c r="S169" s="186" t="n">
        <x:v>22945</x:v>
      </x:c>
      <x:c r="T169" s="186" t="n">
        <x:v>17248</x:v>
      </x:c>
      <x:c r="U169" s="186" t="n">
        <x:f>S169-T169</x:f>
        <x:v>5697</x:v>
      </x:c>
      <x:c r="V169" s="196" t="n">
        <x:f>IFERROR(O169/F169,"")</x:f>
        <x:v>0.14101033495078472</x:v>
      </x:c>
      <x:c r="W169" s="196" t="n">
        <x:f>IFERROR(I169/F169,"")</x:f>
        <x:v>-0.21098773845452262</x:v>
      </x:c>
    </x:row>
    <x:row r="170">
      <x:c r="A170" s="186" t="str">
        <x:v>Gold</x:v>
      </x:c>
      <x:c r="B170" s="187" t="n">
        <x:v>42962</x:v>
      </x:c>
      <x:c r="C170" s="187" t="n">
        <x:v>42965</x:v>
      </x:c>
      <x:c r="D170" s="186" t="str">
        <x:v>088691-GOLD</x:v>
      </x:c>
      <x:c r="E170" s="186" t="str">
        <x:v>GOLD - COMMODITY EXCHANGE INC.</x:v>
      </x:c>
      <x:c r="F170" s="186" t="n">
        <x:v>477921</x:v>
      </x:c>
      <x:c r="G170" s="186" t="n">
        <x:v>16379</x:v>
      </x:c>
      <x:c r="H170" s="186" t="n">
        <x:v>179160</x:v>
      </x:c>
      <x:c r="I170" s="186" t="n">
        <x:f>G170-H170</x:f>
        <x:v>-162781</x:v>
      </x:c>
      <x:c r="J170" s="186" t="n">
        <x:v>82435</x:v>
      </x:c>
      <x:c r="K170" s="186" t="n">
        <x:v>116285</x:v>
      </x:c>
      <x:c r="L170" s="186" t="n">
        <x:f>J170-K170</x:f>
        <x:v>-33850</x:v>
      </x:c>
      <x:c r="M170" s="186" t="n">
        <x:v>195433</x:v>
      </x:c>
      <x:c r="N170" s="186" t="n">
        <x:v>18877</x:v>
      </x:c>
      <x:c r="O170" s="186" t="n">
        <x:f>M170-N170</x:f>
        <x:v>176556</x:v>
      </x:c>
      <x:c r="P170" s="186" t="n">
        <x:v>82297</x:v>
      </x:c>
      <x:c r="Q170" s="186" t="n">
        <x:v>71119</x:v>
      </x:c>
      <x:c r="R170" s="186" t="n">
        <x:f>P170-Q170</x:f>
        <x:v>11178</x:v>
      </x:c>
      <x:c r="S170" s="186" t="n">
        <x:v>40360</x:v>
      </x:c>
      <x:c r="T170" s="186" t="n">
        <x:v>31463</x:v>
      </x:c>
      <x:c r="U170" s="186" t="n">
        <x:f>S170-T170</x:f>
        <x:v>8897</x:v>
      </x:c>
      <x:c r="V170" s="196" t="n">
        <x:f>IFERROR(O170/F170,"")</x:f>
        <x:v>0.36942507234459254</x:v>
      </x:c>
      <x:c r="W170" s="196" t="n">
        <x:f>IFERROR(I170/F170,"")</x:f>
        <x:v>-0.34060231711935657</x:v>
      </x:c>
    </x:row>
    <x:row r="171">
      <x:c r="A171" s="186" t="str">
        <x:v>Silver</x:v>
      </x:c>
      <x:c r="B171" s="187" t="n">
        <x:v>42962</x:v>
      </x:c>
      <x:c r="C171" s="187" t="n">
        <x:v>42965</x:v>
      </x:c>
      <x:c r="D171" s="186" t="str">
        <x:v>084691-SILVER</x:v>
      </x:c>
      <x:c r="E171" s="186" t="str">
        <x:v>SILVER - COMMODITY EXCHANGE INC.</x:v>
      </x:c>
      <x:c r="F171" s="186" t="n">
        <x:v>187955</x:v>
      </x:c>
      <x:c r="G171" s="186" t="n">
        <x:v>12072</x:v>
      </x:c>
      <x:c r="H171" s="186" t="n">
        <x:v>59186</x:v>
      </x:c>
      <x:c r="I171" s="186" t="n">
        <x:f>G171-H171</x:f>
        <x:v>-47114</x:v>
      </x:c>
      <x:c r="J171" s="186" t="n">
        <x:v>37054</x:v>
      </x:c>
      <x:c r="K171" s="186" t="n">
        <x:v>38028</x:v>
      </x:c>
      <x:c r="L171" s="186" t="n">
        <x:f>J171-K171</x:f>
        <x:v>-974</x:v>
      </x:c>
      <x:c r="M171" s="186" t="n">
        <x:v>68024</x:v>
      </x:c>
      <x:c r="N171" s="186" t="n">
        <x:v>31064</x:v>
      </x:c>
      <x:c r="O171" s="186" t="n">
        <x:f>M171-N171</x:f>
        <x:v>36960</x:v>
      </x:c>
      <x:c r="P171" s="186" t="n">
        <x:v>23572</x:v>
      </x:c>
      <x:c r="Q171" s="186" t="n">
        <x:v>21681</x:v>
      </x:c>
      <x:c r="R171" s="186" t="n">
        <x:f>P171-Q171</x:f>
        <x:v>1891</x:v>
      </x:c>
      <x:c r="S171" s="186" t="n">
        <x:v>24345</x:v>
      </x:c>
      <x:c r="T171" s="186" t="n">
        <x:v>15108</x:v>
      </x:c>
      <x:c r="U171" s="186" t="n">
        <x:f>S171-T171</x:f>
        <x:v>9237</x:v>
      </x:c>
      <x:c r="V171" s="196" t="n">
        <x:f>IFERROR(O171/F171,"")</x:f>
        <x:v>0.19664281343938708</x:v>
      </x:c>
      <x:c r="W171" s="196" t="n">
        <x:f>IFERROR(I171/F171,"")</x:f>
        <x:v>-0.2506663829108031</x:v>
      </x:c>
    </x:row>
    <x:row r="172">
      <x:c r="A172" s="186" t="str">
        <x:v>Gold</x:v>
      </x:c>
      <x:c r="B172" s="187" t="n">
        <x:v>42969</x:v>
      </x:c>
      <x:c r="C172" s="187" t="n">
        <x:v>42972</x:v>
      </x:c>
      <x:c r="D172" s="186" t="str">
        <x:v>088691-GOLD</x:v>
      </x:c>
      <x:c r="E172" s="186" t="str">
        <x:v>GOLD - COMMODITY EXCHANGE INC.</x:v>
      </x:c>
      <x:c r="F172" s="186" t="n">
        <x:v>500443</x:v>
      </x:c>
      <x:c r="G172" s="186" t="n">
        <x:v>15981</x:v>
      </x:c>
      <x:c r="H172" s="186" t="n">
        <x:v>195128</x:v>
      </x:c>
      <x:c r="I172" s="186" t="n">
        <x:f>G172-H172</x:f>
        <x:v>-179147</x:v>
      </x:c>
      <x:c r="J172" s="186" t="n">
        <x:v>86325</x:v>
      </x:c>
      <x:c r="K172" s="186" t="n">
        <x:v>127096</x:v>
      </x:c>
      <x:c r="L172" s="186" t="n">
        <x:f>J172-K172</x:f>
        <x:v>-40771</x:v>
      </x:c>
      <x:c r="M172" s="186" t="n">
        <x:v>209717</x:v>
      </x:c>
      <x:c r="N172" s="186" t="n">
        <x:v>15638</x:v>
      </x:c>
      <x:c r="O172" s="186" t="n">
        <x:f>M172-N172</x:f>
        <x:v>194079</x:v>
      </x:c>
      <x:c r="P172" s="186" t="n">
        <x:v>85994</x:v>
      </x:c>
      <x:c r="Q172" s="186" t="n">
        <x:v>71635</x:v>
      </x:c>
      <x:c r="R172" s="186" t="n">
        <x:f>P172-Q172</x:f>
        <x:v>14359</x:v>
      </x:c>
      <x:c r="S172" s="186" t="n">
        <x:v>42070</x:v>
      </x:c>
      <x:c r="T172" s="186" t="n">
        <x:v>30590</x:v>
      </x:c>
      <x:c r="U172" s="186" t="n">
        <x:f>S172-T172</x:f>
        <x:v>11480</x:v>
      </x:c>
      <x:c r="V172" s="196" t="n">
        <x:f>IFERROR(O172/F172,"")</x:f>
        <x:v>0.38781439644474996</x:v>
      </x:c>
      <x:c r="W172" s="196" t="n">
        <x:f>IFERROR(I172/F172,"")</x:f>
        <x:v>-0.3579768325263816</x:v>
      </x:c>
    </x:row>
    <x:row r="173">
      <x:c r="A173" s="186" t="str">
        <x:v>Silver</x:v>
      </x:c>
      <x:c r="B173" s="187" t="n">
        <x:v>42969</x:v>
      </x:c>
      <x:c r="C173" s="187" t="n">
        <x:v>42972</x:v>
      </x:c>
      <x:c r="D173" s="186" t="str">
        <x:v>084691-SILVER</x:v>
      </x:c>
      <x:c r="E173" s="186" t="str">
        <x:v>SILVER - COMMODITY EXCHANGE INC.</x:v>
      </x:c>
      <x:c r="F173" s="186" t="n">
        <x:v>187227</x:v>
      </x:c>
      <x:c r="G173" s="186" t="n">
        <x:v>10775</x:v>
      </x:c>
      <x:c r="H173" s="186" t="n">
        <x:v>62011</x:v>
      </x:c>
      <x:c r="I173" s="186" t="n">
        <x:f>G173-H173</x:f>
        <x:v>-51236</x:v>
      </x:c>
      <x:c r="J173" s="186" t="n">
        <x:v>36962</x:v>
      </x:c>
      <x:c r="K173" s="186" t="n">
        <x:v>40775</x:v>
      </x:c>
      <x:c r="L173" s="186" t="n">
        <x:f>J173-K173</x:f>
        <x:v>-3813</x:v>
      </x:c>
      <x:c r="M173" s="186" t="n">
        <x:v>68740</x:v>
      </x:c>
      <x:c r="N173" s="186" t="n">
        <x:v>24493</x:v>
      </x:c>
      <x:c r="O173" s="186" t="n">
        <x:f>M173-N173</x:f>
        <x:v>44247</x:v>
      </x:c>
      <x:c r="P173" s="186" t="n">
        <x:v>22565</x:v>
      </x:c>
      <x:c r="Q173" s="186" t="n">
        <x:v>22266</x:v>
      </x:c>
      <x:c r="R173" s="186" t="n">
        <x:f>P173-Q173</x:f>
        <x:v>299</x:v>
      </x:c>
      <x:c r="S173" s="186" t="n">
        <x:v>23930</x:v>
      </x:c>
      <x:c r="T173" s="186" t="n">
        <x:v>13427</x:v>
      </x:c>
      <x:c r="U173" s="186" t="n">
        <x:f>S173-T173</x:f>
        <x:v>10503</x:v>
      </x:c>
      <x:c r="V173" s="196" t="n">
        <x:f>IFERROR(O173/F173,"")</x:f>
        <x:v>0.23632809370443367</x:v>
      </x:c>
      <x:c r="W173" s="196" t="n">
        <x:f>IFERROR(I173/F173,"")</x:f>
        <x:v>-0.2736571114208955</x:v>
      </x:c>
    </x:row>
    <x:row r="174">
      <x:c r="A174" s="186" t="str">
        <x:v>Gold</x:v>
      </x:c>
      <x:c r="B174" s="187" t="n">
        <x:v>42976</x:v>
      </x:c>
      <x:c r="C174" s="187" t="n">
        <x:v>42979</x:v>
      </x:c>
      <x:c r="D174" s="186" t="str">
        <x:v>088691-GOLD</x:v>
      </x:c>
      <x:c r="E174" s="186" t="str">
        <x:v>GOLD - COMMODITY EXCHANGE INC.</x:v>
      </x:c>
      <x:c r="F174" s="186" t="n">
        <x:v>538875</x:v>
      </x:c>
      <x:c r="G174" s="186" t="n">
        <x:v>17352</x:v>
      </x:c>
      <x:c r="H174" s="186" t="n">
        <x:v>205953</x:v>
      </x:c>
      <x:c r="I174" s="186" t="n">
        <x:f>G174-H174</x:f>
        <x:v>-188601</x:v>
      </x:c>
      <x:c r="J174" s="186" t="n">
        <x:v>75594</x:v>
      </x:c>
      <x:c r="K174" s="186" t="n">
        <x:v>135022</x:v>
      </x:c>
      <x:c r="L174" s="186" t="n">
        <x:f>J174-K174</x:f>
        <x:v>-59428</x:v>
      </x:c>
      <x:c r="M174" s="186" t="n">
        <x:v>235065</x:v>
      </x:c>
      <x:c r="N174" s="186" t="n">
        <x:v>13939</x:v>
      </x:c>
      <x:c r="O174" s="186" t="n">
        <x:f>M174-N174</x:f>
        <x:v>221126</x:v>
      </x:c>
      <x:c r="P174" s="186" t="n">
        <x:v>83818</x:v>
      </x:c>
      <x:c r="Q174" s="186" t="n">
        <x:v>73897</x:v>
      </x:c>
      <x:c r="R174" s="186" t="n">
        <x:f>P174-Q174</x:f>
        <x:v>9921</x:v>
      </x:c>
      <x:c r="S174" s="186" t="n">
        <x:v>46981</x:v>
      </x:c>
      <x:c r="T174" s="186" t="n">
        <x:v>29999</x:v>
      </x:c>
      <x:c r="U174" s="186" t="n">
        <x:f>S174-T174</x:f>
        <x:v>16982</x:v>
      </x:c>
      <x:c r="V174" s="196" t="n">
        <x:f>IFERROR(O174/F174,"")</x:f>
        <x:v>0.41034748318255626</x:v>
      </x:c>
      <x:c r="W174" s="196" t="n">
        <x:f>IFERROR(I174/F174,"")</x:f>
        <x:v>-0.34999025748086293</x:v>
      </x:c>
    </x:row>
    <x:row r="175">
      <x:c r="A175" s="186" t="str">
        <x:v>Silver</x:v>
      </x:c>
      <x:c r="B175" s="187" t="n">
        <x:v>42976</x:v>
      </x:c>
      <x:c r="C175" s="187" t="n">
        <x:v>42979</x:v>
      </x:c>
      <x:c r="D175" s="186" t="str">
        <x:v>084691-SILVER</x:v>
      </x:c>
      <x:c r="E175" s="186" t="str">
        <x:v>SILVER - COMMODITY EXCHANGE INC.</x:v>
      </x:c>
      <x:c r="F175" s="186" t="n">
        <x:v>182823</x:v>
      </x:c>
      <x:c r="G175" s="186" t="n">
        <x:v>8538</x:v>
      </x:c>
      <x:c r="H175" s="186" t="n">
        <x:v>66275</x:v>
      </x:c>
      <x:c r="I175" s="186" t="n">
        <x:f>G175-H175</x:f>
        <x:v>-57737</x:v>
      </x:c>
      <x:c r="J175" s="186" t="n">
        <x:v>34477</x:v>
      </x:c>
      <x:c r="K175" s="186" t="n">
        <x:v>42328</x:v>
      </x:c>
      <x:c r="L175" s="186" t="n">
        <x:f>J175-K175</x:f>
        <x:v>-7851</x:v>
      </x:c>
      <x:c r="M175" s="186" t="n">
        <x:v>70525</x:v>
      </x:c>
      <x:c r="N175" s="186" t="n">
        <x:v>18096</x:v>
      </x:c>
      <x:c r="O175" s="186" t="n">
        <x:f>M175-N175</x:f>
        <x:v>52429</x:v>
      </x:c>
      <x:c r="P175" s="186" t="n">
        <x:v>22405</x:v>
      </x:c>
      <x:c r="Q175" s="186" t="n">
        <x:v>21189</x:v>
      </x:c>
      <x:c r="R175" s="186" t="n">
        <x:f>P175-Q175</x:f>
        <x:v>1216</x:v>
      </x:c>
      <x:c r="S175" s="186" t="n">
        <x:v>25524</x:v>
      </x:c>
      <x:c r="T175" s="186" t="n">
        <x:v>13581</x:v>
      </x:c>
      <x:c r="U175" s="186" t="n">
        <x:f>S175-T175</x:f>
        <x:v>11943</x:v>
      </x:c>
      <x:c r="V175" s="196" t="n">
        <x:f>IFERROR(O175/F175,"")</x:f>
        <x:v>0.28677463995230357</x:v>
      </x:c>
      <x:c r="W175" s="196" t="n">
        <x:f>IFERROR(I175/F175,"")</x:f>
        <x:v>-0.31580818605974087</x:v>
      </x:c>
    </x:row>
    <x:row r="176">
      <x:c r="A176" s="186" t="str">
        <x:v>Gold</x:v>
      </x:c>
      <x:c r="B176" s="187" t="n">
        <x:v>42983</x:v>
      </x:c>
      <x:c r="C176" s="187" t="n">
        <x:v>42986</x:v>
      </x:c>
      <x:c r="D176" s="186" t="str">
        <x:v>088691-GOLD</x:v>
      </x:c>
      <x:c r="E176" s="186" t="str">
        <x:v>GOLD - COMMODITY EXCHANGE INC.</x:v>
      </x:c>
      <x:c r="F176" s="186" t="n">
        <x:v>566817</x:v>
      </x:c>
      <x:c r="G176" s="186" t="n">
        <x:v>18473</x:v>
      </x:c>
      <x:c r="H176" s="186" t="n">
        <x:v>212267</x:v>
      </x:c>
      <x:c r="I176" s="186" t="n">
        <x:f>G176-H176</x:f>
        <x:v>-193794</x:v>
      </x:c>
      <x:c r="J176" s="186" t="n">
        <x:v>76165</x:v>
      </x:c>
      <x:c r="K176" s="186" t="n">
        <x:v>144178</x:v>
      </x:c>
      <x:c r="L176" s="186" t="n">
        <x:f>J176-K176</x:f>
        <x:v>-68013</x:v>
      </x:c>
      <x:c r="M176" s="186" t="n">
        <x:v>251489</x:v>
      </x:c>
      <x:c r="N176" s="186" t="n">
        <x:v>14301</x:v>
      </x:c>
      <x:c r="O176" s="186" t="n">
        <x:f>M176-N176</x:f>
        <x:v>237188</x:v>
      </x:c>
      <x:c r="P176" s="186" t="n">
        <x:v>84584</x:v>
      </x:c>
      <x:c r="Q176" s="186" t="n">
        <x:v>76474</x:v>
      </x:c>
      <x:c r="R176" s="186" t="n">
        <x:f>P176-Q176</x:f>
        <x:v>8110</x:v>
      </x:c>
      <x:c r="S176" s="186" t="n">
        <x:v>50741</x:v>
      </x:c>
      <x:c r="T176" s="186" t="n">
        <x:v>34232</x:v>
      </x:c>
      <x:c r="U176" s="186" t="n">
        <x:f>S176-T176</x:f>
        <x:v>16509</x:v>
      </x:c>
      <x:c r="V176" s="196" t="n">
        <x:f>IFERROR(O176/F176,"")</x:f>
        <x:v>0.41845604489632454</x:v>
      </x:c>
      <x:c r="W176" s="196" t="n">
        <x:f>IFERROR(I176/F176,"")</x:f>
        <x:v>-0.34189870804862943</x:v>
      </x:c>
    </x:row>
    <x:row r="177">
      <x:c r="A177" s="186" t="str">
        <x:v>Silver</x:v>
      </x:c>
      <x:c r="B177" s="187" t="n">
        <x:v>42983</x:v>
      </x:c>
      <x:c r="C177" s="187" t="n">
        <x:v>42986</x:v>
      </x:c>
      <x:c r="D177" s="186" t="str">
        <x:v>084691-SILVER</x:v>
      </x:c>
      <x:c r="E177" s="186" t="str">
        <x:v>SILVER - COMMODITY EXCHANGE INC.</x:v>
      </x:c>
      <x:c r="F177" s="186" t="n">
        <x:v>183276</x:v>
      </x:c>
      <x:c r="G177" s="186" t="n">
        <x:v>8452</x:v>
      </x:c>
      <x:c r="H177" s="186" t="n">
        <x:v>72439</x:v>
      </x:c>
      <x:c r="I177" s="186" t="n">
        <x:f>G177-H177</x:f>
        <x:v>-63987</x:v>
      </x:c>
      <x:c r="J177" s="186" t="n">
        <x:v>33908</x:v>
      </x:c>
      <x:c r="K177" s="186" t="n">
        <x:v>46609</x:v>
      </x:c>
      <x:c r="L177" s="186" t="n">
        <x:f>J177-K177</x:f>
        <x:v>-12701</x:v>
      </x:c>
      <x:c r="M177" s="186" t="n">
        <x:v>73395</x:v>
      </x:c>
      <x:c r="N177" s="186" t="n">
        <x:v>11217</x:v>
      </x:c>
      <x:c r="O177" s="186" t="n">
        <x:f>M177-N177</x:f>
        <x:v>62178</x:v>
      </x:c>
      <x:c r="P177" s="186" t="n">
        <x:v>22979</x:v>
      </x:c>
      <x:c r="Q177" s="186" t="n">
        <x:v>20986</x:v>
      </x:c>
      <x:c r="R177" s="186" t="n">
        <x:f>P177-Q177</x:f>
        <x:v>1993</x:v>
      </x:c>
      <x:c r="S177" s="186" t="n">
        <x:v>25822</x:v>
      </x:c>
      <x:c r="T177" s="186" t="n">
        <x:v>13305</x:v>
      </x:c>
      <x:c r="U177" s="186" t="n">
        <x:f>S177-T177</x:f>
        <x:v>12517</x:v>
      </x:c>
      <x:c r="V177" s="196" t="n">
        <x:f>IFERROR(O177/F177,"")</x:f>
        <x:v>0.3392588227591174</x:v>
      </x:c>
      <x:c r="W177" s="196" t="n">
        <x:f>IFERROR(I177/F177,"")</x:f>
        <x:v>-0.34912918221698425</x:v>
      </x:c>
    </x:row>
    <x:row r="178">
      <x:c r="A178" s="186" t="str">
        <x:v>Gold</x:v>
      </x:c>
      <x:c r="B178" s="187" t="n">
        <x:v>42990</x:v>
      </x:c>
      <x:c r="C178" s="187" t="n">
        <x:v>42993</x:v>
      </x:c>
      <x:c r="D178" s="186" t="str">
        <x:v>088691-GOLD</x:v>
      </x:c>
      <x:c r="E178" s="186" t="str">
        <x:v>GOLD - COMMODITY EXCHANGE INC.</x:v>
      </x:c>
      <x:c r="F178" s="186" t="n">
        <x:v>580606</x:v>
      </x:c>
      <x:c r="G178" s="186" t="n">
        <x:v>17582</x:v>
      </x:c>
      <x:c r="H178" s="186" t="n">
        <x:v>209237</x:v>
      </x:c>
      <x:c r="I178" s="186" t="n">
        <x:f>G178-H178</x:f>
        <x:v>-191655</x:v>
      </x:c>
      <x:c r="J178" s="186" t="n">
        <x:v>76515</x:v>
      </x:c>
      <x:c r="K178" s="186" t="n">
        <x:v>156958</x:v>
      </x:c>
      <x:c r="L178" s="186" t="n">
        <x:f>J178-K178</x:f>
        <x:v>-80443</x:v>
      </x:c>
      <x:c r="M178" s="186" t="n">
        <x:v>270413</x:v>
      </x:c>
      <x:c r="N178" s="186" t="n">
        <x:v>16896</x:v>
      </x:c>
      <x:c r="O178" s="186" t="n">
        <x:f>M178-N178</x:f>
        <x:v>253517</x:v>
      </x:c>
      <x:c r="P178" s="186" t="n">
        <x:v>81079</x:v>
      </x:c>
      <x:c r="Q178" s="186" t="n">
        <x:v>79836</x:v>
      </x:c>
      <x:c r="R178" s="186" t="n">
        <x:f>P178-Q178</x:f>
        <x:v>1243</x:v>
      </x:c>
      <x:c r="S178" s="186" t="n">
        <x:v>48644</x:v>
      </x:c>
      <x:c r="T178" s="186" t="n">
        <x:v>31306</x:v>
      </x:c>
      <x:c r="U178" s="186" t="n">
        <x:f>S178-T178</x:f>
        <x:v>17338</x:v>
      </x:c>
      <x:c r="V178" s="196" t="n">
        <x:f>IFERROR(O178/F178,"")</x:f>
        <x:v>0.43664206019228186</x:v>
      </x:c>
      <x:c r="W178" s="196" t="n">
        <x:f>IFERROR(I178/F178,"")</x:f>
        <x:v>-0.33009476305790847</x:v>
      </x:c>
    </x:row>
    <x:row r="179">
      <x:c r="A179" s="186" t="str">
        <x:v>Silver</x:v>
      </x:c>
      <x:c r="B179" s="187" t="n">
        <x:v>42990</x:v>
      </x:c>
      <x:c r="C179" s="187" t="n">
        <x:v>42993</x:v>
      </x:c>
      <x:c r="D179" s="186" t="str">
        <x:v>084691-SILVER</x:v>
      </x:c>
      <x:c r="E179" s="186" t="str">
        <x:v>SILVER - COMMODITY EXCHANGE INC.</x:v>
      </x:c>
      <x:c r="F179" s="186" t="n">
        <x:v>188207</x:v>
      </x:c>
      <x:c r="G179" s="186" t="n">
        <x:v>8696</x:v>
      </x:c>
      <x:c r="H179" s="186" t="n">
        <x:v>75437</x:v>
      </x:c>
      <x:c r="I179" s="186" t="n">
        <x:f>G179-H179</x:f>
        <x:v>-66741</x:v>
      </x:c>
      <x:c r="J179" s="186" t="n">
        <x:v>32573</x:v>
      </x:c>
      <x:c r="K179" s="186" t="n">
        <x:v>50513</x:v>
      </x:c>
      <x:c r="L179" s="186" t="n">
        <x:f>J179-K179</x:f>
        <x:v>-17940</x:v>
      </x:c>
      <x:c r="M179" s="186" t="n">
        <x:v>82044</x:v>
      </x:c>
      <x:c r="N179" s="186" t="n">
        <x:v>5978</x:v>
      </x:c>
      <x:c r="O179" s="186" t="n">
        <x:f>M179-N179</x:f>
        <x:v>76066</x:v>
      </x:c>
      <x:c r="P179" s="186" t="n">
        <x:v>20199</x:v>
      </x:c>
      <x:c r="Q179" s="186" t="n">
        <x:v>21278</x:v>
      </x:c>
      <x:c r="R179" s="186" t="n">
        <x:f>P179-Q179</x:f>
        <x:v>-1079</x:v>
      </x:c>
      <x:c r="S179" s="186" t="n">
        <x:v>23943</x:v>
      </x:c>
      <x:c r="T179" s="186" t="n">
        <x:v>14249</x:v>
      </x:c>
      <x:c r="U179" s="186" t="n">
        <x:f>S179-T179</x:f>
        <x:v>9694</x:v>
      </x:c>
      <x:c r="V179" s="196" t="n">
        <x:f>IFERROR(O179/F179,"")</x:f>
        <x:v>0.40416137550675585</x:v>
      </x:c>
      <x:c r="W179" s="196" t="n">
        <x:f>IFERROR(I179/F179,"")</x:f>
        <x:v>-0.3546148655469775</x:v>
      </x:c>
    </x:row>
    <x:row r="180">
      <x:c r="A180" s="186" t="str">
        <x:v>Gold</x:v>
      </x:c>
      <x:c r="B180" s="187" t="n">
        <x:v>42997</x:v>
      </x:c>
      <x:c r="C180" s="187" t="n">
        <x:v>43000</x:v>
      </x:c>
      <x:c r="D180" s="186" t="str">
        <x:v>088691-GOLD</x:v>
      </x:c>
      <x:c r="E180" s="186" t="str">
        <x:v>GOLD - COMMODITY EXCHANGE INC.</x:v>
      </x:c>
      <x:c r="F180" s="186" t="n">
        <x:v>570096</x:v>
      </x:c>
      <x:c r="G180" s="186" t="n">
        <x:v>17562</x:v>
      </x:c>
      <x:c r="H180" s="186" t="n">
        <x:v>207442</x:v>
      </x:c>
      <x:c r="I180" s="186" t="n">
        <x:f>G180-H180</x:f>
        <x:v>-189880</x:v>
      </x:c>
      <x:c r="J180" s="186" t="n">
        <x:v>83263</x:v>
      </x:c>
      <x:c r="K180" s="186" t="n">
        <x:v>146424</x:v>
      </x:c>
      <x:c r="L180" s="186" t="n">
        <x:f>J180-K180</x:f>
        <x:v>-63161</x:v>
      </x:c>
      <x:c r="M180" s="186" t="n">
        <x:v>251735</x:v>
      </x:c>
      <x:c r="N180" s="186" t="n">
        <x:v>18353</x:v>
      </x:c>
      <x:c r="O180" s="186" t="n">
        <x:f>M180-N180</x:f>
        <x:v>233382</x:v>
      </x:c>
      <x:c r="P180" s="186" t="n">
        <x:v>78911</x:v>
      </x:c>
      <x:c r="Q180" s="186" t="n">
        <x:v>76204</x:v>
      </x:c>
      <x:c r="R180" s="186" t="n">
        <x:f>P180-Q180</x:f>
        <x:v>2707</x:v>
      </x:c>
      <x:c r="S180" s="186" t="n">
        <x:v>46252</x:v>
      </x:c>
      <x:c r="T180" s="186" t="n">
        <x:v>29300</x:v>
      </x:c>
      <x:c r="U180" s="186" t="n">
        <x:f>S180-T180</x:f>
        <x:v>16952</x:v>
      </x:c>
      <x:c r="V180" s="196" t="n">
        <x:f>IFERROR(O180/F180,"")</x:f>
        <x:v>0.4093731582049339</x:v>
      </x:c>
      <x:c r="W180" s="196" t="n">
        <x:f>IFERROR(I180/F180,"")</x:f>
        <x:v>-0.33306671157138446</x:v>
      </x:c>
    </x:row>
    <x:row r="181">
      <x:c r="A181" s="186" t="str">
        <x:v>Silver</x:v>
      </x:c>
      <x:c r="B181" s="187" t="n">
        <x:v>42997</x:v>
      </x:c>
      <x:c r="C181" s="187" t="n">
        <x:v>43000</x:v>
      </x:c>
      <x:c r="D181" s="186" t="str">
        <x:v>084691-SILVER</x:v>
      </x:c>
      <x:c r="E181" s="186" t="str">
        <x:v>SILVER - COMMODITY EXCHANGE INC.</x:v>
      </x:c>
      <x:c r="F181" s="186" t="n">
        <x:v>192994</x:v>
      </x:c>
      <x:c r="G181" s="186" t="n">
        <x:v>9326</x:v>
      </x:c>
      <x:c r="H181" s="186" t="n">
        <x:v>72800</x:v>
      </x:c>
      <x:c r="I181" s="186" t="n">
        <x:f>G181-H181</x:f>
        <x:v>-63474</x:v>
      </x:c>
      <x:c r="J181" s="186" t="n">
        <x:v>32974</x:v>
      </x:c>
      <x:c r="K181" s="186" t="n">
        <x:v>47908</x:v>
      </x:c>
      <x:c r="L181" s="186" t="n">
        <x:f>J181-K181</x:f>
        <x:v>-14934</x:v>
      </x:c>
      <x:c r="M181" s="186" t="n">
        <x:v>78296</x:v>
      </x:c>
      <x:c r="N181" s="186" t="n">
        <x:v>10585</x:v>
      </x:c>
      <x:c r="O181" s="186" t="n">
        <x:f>M181-N181</x:f>
        <x:v>67711</x:v>
      </x:c>
      <x:c r="P181" s="186" t="n">
        <x:v>21391</x:v>
      </x:c>
      <x:c r="Q181" s="186" t="n">
        <x:v>21299</x:v>
      </x:c>
      <x:c r="R181" s="186" t="n">
        <x:f>P181-Q181</x:f>
        <x:v>92</x:v>
      </x:c>
      <x:c r="S181" s="186" t="n">
        <x:v>23783</x:v>
      </x:c>
      <x:c r="T181" s="186" t="n">
        <x:v>13178</x:v>
      </x:c>
      <x:c r="U181" s="186" t="n">
        <x:f>S181-T181</x:f>
        <x:v>10605</x:v>
      </x:c>
      <x:c r="V181" s="196" t="n">
        <x:f>IFERROR(O181/F181,"")</x:f>
        <x:v>0.3508451039928702</x:v>
      </x:c>
      <x:c r="W181" s="196" t="n">
        <x:f>IFERROR(I181/F181,"")</x:f>
        <x:v>-0.3288910536078842</x:v>
      </x:c>
    </x:row>
    <x:row r="182">
      <x:c r="A182" s="186" t="str">
        <x:v>Gold</x:v>
      </x:c>
      <x:c r="B182" s="187" t="n">
        <x:v>43004</x:v>
      </x:c>
      <x:c r="C182" s="187" t="n">
        <x:v>43007</x:v>
      </x:c>
      <x:c r="D182" s="186" t="str">
        <x:v>088691-GOLD</x:v>
      </x:c>
      <x:c r="E182" s="186" t="str">
        <x:v>GOLD - COMMODITY EXCHANGE INC.</x:v>
      </x:c>
      <x:c r="F182" s="186" t="n">
        <x:v>549637</x:v>
      </x:c>
      <x:c r="G182" s="186" t="n">
        <x:v>18923</x:v>
      </x:c>
      <x:c r="H182" s="186" t="n">
        <x:v>208745</x:v>
      </x:c>
      <x:c r="I182" s="186" t="n">
        <x:f>G182-H182</x:f>
        <x:v>-189822</x:v>
      </x:c>
      <x:c r="J182" s="186" t="n">
        <x:v>88232</x:v>
      </x:c>
      <x:c r="K182" s="186" t="n">
        <x:v>131881</x:v>
      </x:c>
      <x:c r="L182" s="186" t="n">
        <x:f>J182-K182</x:f>
        <x:v>-43649</x:v>
      </x:c>
      <x:c r="M182" s="186" t="n">
        <x:v>219134</x:v>
      </x:c>
      <x:c r="N182" s="186" t="n">
        <x:v>23158</x:v>
      </x:c>
      <x:c r="O182" s="186" t="n">
        <x:f>M182-N182</x:f>
        <x:v>195976</x:v>
      </x:c>
      <x:c r="P182" s="186" t="n">
        <x:v>84121</x:v>
      </x:c>
      <x:c r="Q182" s="186" t="n">
        <x:v>67503</x:v>
      </x:c>
      <x:c r="R182" s="186" t="n">
        <x:f>P182-Q182</x:f>
        <x:v>16618</x:v>
      </x:c>
      <x:c r="S182" s="186" t="n">
        <x:v>48586</x:v>
      </x:c>
      <x:c r="T182" s="186" t="n">
        <x:v>27709</x:v>
      </x:c>
      <x:c r="U182" s="186" t="n">
        <x:f>S182-T182</x:f>
        <x:v>20877</x:v>
      </x:c>
      <x:c r="V182" s="196" t="n">
        <x:f>IFERROR(O182/F182,"")</x:f>
        <x:v>0.3565553265155002</x:v>
      </x:c>
      <x:c r="W182" s="196" t="n">
        <x:f>IFERROR(I182/F182,"")</x:f>
        <x:v>-0.3453588459292224</x:v>
      </x:c>
    </x:row>
    <x:row r="183">
      <x:c r="A183" s="186" t="str">
        <x:v>Silver</x:v>
      </x:c>
      <x:c r="B183" s="187" t="n">
        <x:v>43004</x:v>
      </x:c>
      <x:c r="C183" s="187" t="n">
        <x:v>43007</x:v>
      </x:c>
      <x:c r="D183" s="186" t="str">
        <x:v>084691-SILVER</x:v>
      </x:c>
      <x:c r="E183" s="186" t="str">
        <x:v>SILVER - COMMODITY EXCHANGE INC.</x:v>
      </x:c>
      <x:c r="F183" s="186" t="n">
        <x:v>186906</x:v>
      </x:c>
      <x:c r="G183" s="186" t="n">
        <x:v>10080</x:v>
      </x:c>
      <x:c r="H183" s="186" t="n">
        <x:v>69963</x:v>
      </x:c>
      <x:c r="I183" s="186" t="n">
        <x:f>G183-H183</x:f>
        <x:v>-59883</x:v>
      </x:c>
      <x:c r="J183" s="186" t="n">
        <x:v>34763</x:v>
      </x:c>
      <x:c r="K183" s="186" t="n">
        <x:v>47146</x:v>
      </x:c>
      <x:c r="L183" s="186" t="n">
        <x:f>J183-K183</x:f>
        <x:v>-12383</x:v>
      </x:c>
      <x:c r="M183" s="186" t="n">
        <x:v>69523</x:v>
      </x:c>
      <x:c r="N183" s="186" t="n">
        <x:v>11657</x:v>
      </x:c>
      <x:c r="O183" s="186" t="n">
        <x:f>M183-N183</x:f>
        <x:v>57866</x:v>
      </x:c>
      <x:c r="P183" s="186" t="n">
        <x:v>22289</x:v>
      </x:c>
      <x:c r="Q183" s="186" t="n">
        <x:v>19895</x:v>
      </x:c>
      <x:c r="R183" s="186" t="n">
        <x:f>P183-Q183</x:f>
        <x:v>2394</x:v>
      </x:c>
      <x:c r="S183" s="186" t="n">
        <x:v>24177</x:v>
      </x:c>
      <x:c r="T183" s="186" t="n">
        <x:v>12171</x:v>
      </x:c>
      <x:c r="U183" s="186" t="n">
        <x:f>S183-T183</x:f>
        <x:v>12006</x:v>
      </x:c>
      <x:c r="V183" s="196" t="n">
        <x:f>IFERROR(O183/F183,"")</x:f>
        <x:v>0.3095994778123763</x:v>
      </x:c>
      <x:c r="W183" s="196" t="n">
        <x:f>IFERROR(I183/F183,"")</x:f>
        <x:v>-0.32039099868383036</x:v>
      </x:c>
    </x:row>
    <x:row r="184">
      <x:c r="A184" s="186" t="str">
        <x:v>Gold</x:v>
      </x:c>
      <x:c r="B184" s="187" t="n">
        <x:v>43011</x:v>
      </x:c>
      <x:c r="C184" s="187" t="n">
        <x:v>43014</x:v>
      </x:c>
      <x:c r="D184" s="186" t="str">
        <x:v>088691-GOLD</x:v>
      </x:c>
      <x:c r="E184" s="186" t="str">
        <x:v>GOLD - COMMODITY EXCHANGE INC.</x:v>
      </x:c>
      <x:c r="F184" s="186" t="n">
        <x:v>525127</x:v>
      </x:c>
      <x:c r="G184" s="186" t="n">
        <x:v>17710</x:v>
      </x:c>
      <x:c r="H184" s="186" t="n">
        <x:v>203648</x:v>
      </x:c>
      <x:c r="I184" s="186" t="n">
        <x:f>G184-H184</x:f>
        <x:v>-185938</x:v>
      </x:c>
      <x:c r="J184" s="186" t="n">
        <x:v>84906</x:v>
      </x:c>
      <x:c r="K184" s="186" t="n">
        <x:v>123391</x:v>
      </x:c>
      <x:c r="L184" s="186" t="n">
        <x:f>J184-K184</x:f>
        <x:v>-38485</x:v>
      </x:c>
      <x:c r="M184" s="186" t="n">
        <x:v>204361</x:v>
      </x:c>
      <x:c r="N184" s="186" t="n">
        <x:v>24917</x:v>
      </x:c>
      <x:c r="O184" s="186" t="n">
        <x:f>M184-N184</x:f>
        <x:v>179444</x:v>
      </x:c>
      <x:c r="P184" s="186" t="n">
        <x:v>82935</x:v>
      </x:c>
      <x:c r="Q184" s="186" t="n">
        <x:v>58524</x:v>
      </x:c>
      <x:c r="R184" s="186" t="n">
        <x:f>P184-Q184</x:f>
        <x:v>24411</x:v>
      </x:c>
      <x:c r="S184" s="186" t="n">
        <x:v>46571</x:v>
      </x:c>
      <x:c r="T184" s="186" t="n">
        <x:v>26003</x:v>
      </x:c>
      <x:c r="U184" s="186" t="n">
        <x:f>S184-T184</x:f>
        <x:v>20568</x:v>
      </x:c>
      <x:c r="V184" s="196" t="n">
        <x:f>IFERROR(O184/F184,"")</x:f>
        <x:v>0.3417154326477214</x:v>
      </x:c>
      <x:c r="W184" s="196" t="n">
        <x:f>IFERROR(I184/F184,"")</x:f>
        <x:v>-0.35408196493419686</x:v>
      </x:c>
    </x:row>
    <x:row r="185">
      <x:c r="A185" s="186" t="str">
        <x:v>Silver</x:v>
      </x:c>
      <x:c r="B185" s="187" t="n">
        <x:v>43011</x:v>
      </x:c>
      <x:c r="C185" s="187" t="n">
        <x:v>43014</x:v>
      </x:c>
      <x:c r="D185" s="186" t="str">
        <x:v>084691-SILVER</x:v>
      </x:c>
      <x:c r="E185" s="186" t="str">
        <x:v>SILVER - COMMODITY EXCHANGE INC.</x:v>
      </x:c>
      <x:c r="F185" s="186" t="n">
        <x:v>183494</x:v>
      </x:c>
      <x:c r="G185" s="186" t="n">
        <x:v>9402</x:v>
      </x:c>
      <x:c r="H185" s="186" t="n">
        <x:v>66046</x:v>
      </x:c>
      <x:c r="I185" s="186" t="n">
        <x:f>G185-H185</x:f>
        <x:v>-56644</x:v>
      </x:c>
      <x:c r="J185" s="186" t="n">
        <x:v>33128</x:v>
      </x:c>
      <x:c r="K185" s="186" t="n">
        <x:v>45201</x:v>
      </x:c>
      <x:c r="L185" s="186" t="n">
        <x:f>J185-K185</x:f>
        <x:v>-12073</x:v>
      </x:c>
      <x:c r="M185" s="186" t="n">
        <x:v>68382</x:v>
      </x:c>
      <x:c r="N185" s="186" t="n">
        <x:v>12935</x:v>
      </x:c>
      <x:c r="O185" s="186" t="n">
        <x:f>M185-N185</x:f>
        <x:v>55447</x:v>
      </x:c>
      <x:c r="P185" s="186" t="n">
        <x:v>22715</x:v>
      </x:c>
      <x:c r="Q185" s="186" t="n">
        <x:v>18983</x:v>
      </x:c>
      <x:c r="R185" s="186" t="n">
        <x:f>P185-Q185</x:f>
        <x:v>3732</x:v>
      </x:c>
      <x:c r="S185" s="186" t="n">
        <x:v>21831</x:v>
      </x:c>
      <x:c r="T185" s="186" t="n">
        <x:v>12293</x:v>
      </x:c>
      <x:c r="U185" s="186" t="n">
        <x:f>S185-T185</x:f>
        <x:v>9538</x:v>
      </x:c>
      <x:c r="V185" s="196" t="n">
        <x:f>IFERROR(O185/F185,"")</x:f>
        <x:v>0.3021733680665308</x:v>
      </x:c>
      <x:c r="W185" s="196" t="n">
        <x:f>IFERROR(I185/F185,"")</x:f>
        <x:v>-0.308696742127808</x:v>
      </x:c>
    </x:row>
    <x:row r="186">
      <x:c r="A186" s="186" t="str">
        <x:v>Gold</x:v>
      </x:c>
      <x:c r="B186" s="187" t="n">
        <x:v>43018</x:v>
      </x:c>
      <x:c r="C186" s="187" t="n">
        <x:v>43021</x:v>
      </x:c>
      <x:c r="D186" s="186" t="str">
        <x:v>088691-GOLD</x:v>
      </x:c>
      <x:c r="E186" s="186" t="str">
        <x:v>GOLD - COMMODITY EXCHANGE INC.</x:v>
      </x:c>
      <x:c r="F186" s="186" t="n">
        <x:v>520005</x:v>
      </x:c>
      <x:c r="G186" s="186" t="n">
        <x:v>18662</x:v>
      </x:c>
      <x:c r="H186" s="186" t="n">
        <x:v>201414</x:v>
      </x:c>
      <x:c r="I186" s="186" t="n">
        <x:f>G186-H186</x:f>
        <x:v>-182752</x:v>
      </x:c>
      <x:c r="J186" s="186" t="n">
        <x:v>80325</x:v>
      </x:c>
      <x:c r="K186" s="186" t="n">
        <x:v>120570</x:v>
      </x:c>
      <x:c r="L186" s="186" t="n">
        <x:f>J186-K186</x:f>
        <x:v>-40245</x:v>
      </x:c>
      <x:c r="M186" s="186" t="n">
        <x:v>193154</x:v>
      </x:c>
      <x:c r="N186" s="186" t="n">
        <x:v>21824</x:v>
      </x:c>
      <x:c r="O186" s="186" t="n">
        <x:f>M186-N186</x:f>
        <x:v>171330</x:v>
      </x:c>
      <x:c r="P186" s="186" t="n">
        <x:v>86073</x:v>
      </x:c>
      <x:c r="Q186" s="186" t="n">
        <x:v>57291</x:v>
      </x:c>
      <x:c r="R186" s="186" t="n">
        <x:f>P186-Q186</x:f>
        <x:v>28782</x:v>
      </x:c>
      <x:c r="S186" s="186" t="n">
        <x:v>48086</x:v>
      </x:c>
      <x:c r="T186" s="186" t="n">
        <x:v>25201</x:v>
      </x:c>
      <x:c r="U186" s="186" t="n">
        <x:f>S186-T186</x:f>
        <x:v>22885</x:v>
      </x:c>
      <x:c r="V186" s="196" t="n">
        <x:f>IFERROR(O186/F186,"")</x:f>
        <x:v>0.32947760117691177</x:v>
      </x:c>
      <x:c r="W186" s="196" t="n">
        <x:f>IFERROR(I186/F186,"")</x:f>
        <x:v>-0.3514427745887059</x:v>
      </x:c>
    </x:row>
    <x:row r="187">
      <x:c r="A187" s="186" t="str">
        <x:v>Silver</x:v>
      </x:c>
      <x:c r="B187" s="187" t="n">
        <x:v>43018</x:v>
      </x:c>
      <x:c r="C187" s="187" t="n">
        <x:v>43021</x:v>
      </x:c>
      <x:c r="D187" s="186" t="str">
        <x:v>084691-SILVER</x:v>
      </x:c>
      <x:c r="E187" s="186" t="str">
        <x:v>SILVER - COMMODITY EXCHANGE INC.</x:v>
      </x:c>
      <x:c r="F187" s="186" t="n">
        <x:v>188258</x:v>
      </x:c>
      <x:c r="G187" s="186" t="n">
        <x:v>9069</x:v>
      </x:c>
      <x:c r="H187" s="186" t="n">
        <x:v>66425</x:v>
      </x:c>
      <x:c r="I187" s="186" t="n">
        <x:f>G187-H187</x:f>
        <x:v>-57356</x:v>
      </x:c>
      <x:c r="J187" s="186" t="n">
        <x:v>32917</x:v>
      </x:c>
      <x:c r="K187" s="186" t="n">
        <x:v>46169</x:v>
      </x:c>
      <x:c r="L187" s="186" t="n">
        <x:f>J187-K187</x:f>
        <x:v>-13252</x:v>
      </x:c>
      <x:c r="M187" s="186" t="n">
        <x:v>70384</x:v>
      </x:c>
      <x:c r="N187" s="186" t="n">
        <x:v>14110</x:v>
      </x:c>
      <x:c r="O187" s="186" t="n">
        <x:f>M187-N187</x:f>
        <x:v>56274</x:v>
      </x:c>
      <x:c r="P187" s="186" t="n">
        <x:v>21811</x:v>
      </x:c>
      <x:c r="Q187" s="186" t="n">
        <x:v>18977</x:v>
      </x:c>
      <x:c r="R187" s="186" t="n">
        <x:f>P187-Q187</x:f>
        <x:v>2834</x:v>
      </x:c>
      <x:c r="S187" s="186" t="n">
        <x:v>23257</x:v>
      </x:c>
      <x:c r="T187" s="186" t="n">
        <x:v>11757</x:v>
      </x:c>
      <x:c r="U187" s="186" t="n">
        <x:f>S187-T187</x:f>
        <x:v>11500</x:v>
      </x:c>
      <x:c r="V187" s="196" t="n">
        <x:f>IFERROR(O187/F187,"")</x:f>
        <x:v>0.29891956782713086</x:v>
      </x:c>
      <x:c r="W187" s="196" t="n">
        <x:f>IFERROR(I187/F187,"")</x:f>
        <x:v>-0.3046669995431801</x:v>
      </x:c>
    </x:row>
    <x:row r="188">
      <x:c r="A188" s="186" t="str">
        <x:v>Gold</x:v>
      </x:c>
      <x:c r="B188" s="187" t="n">
        <x:v>43025</x:v>
      </x:c>
      <x:c r="C188" s="187" t="n">
        <x:v>43028</x:v>
      </x:c>
      <x:c r="D188" s="186" t="str">
        <x:v>088691-GOLD</x:v>
      </x:c>
      <x:c r="E188" s="186" t="str">
        <x:v>GOLD - COMMODITY EXCHANGE INC.</x:v>
      </x:c>
      <x:c r="F188" s="186" t="n">
        <x:v>528800</x:v>
      </x:c>
      <x:c r="G188" s="186" t="n">
        <x:v>18809</x:v>
      </x:c>
      <x:c r="H188" s="186" t="n">
        <x:v>206035</x:v>
      </x:c>
      <x:c r="I188" s="186" t="n">
        <x:f>G188-H188</x:f>
        <x:v>-187226</x:v>
      </x:c>
      <x:c r="J188" s="186" t="n">
        <x:v>83262</x:v>
      </x:c>
      <x:c r="K188" s="186" t="n">
        <x:v>117660</x:v>
      </x:c>
      <x:c r="L188" s="186" t="n">
        <x:f>J188-K188</x:f>
        <x:v>-34398</x:v>
      </x:c>
      <x:c r="M188" s="186" t="n">
        <x:v>196555</x:v>
      </x:c>
      <x:c r="N188" s="186" t="n">
        <x:v>27040</x:v>
      </x:c>
      <x:c r="O188" s="186" t="n">
        <x:f>M188-N188</x:f>
        <x:v>169515</x:v>
      </x:c>
      <x:c r="P188" s="186" t="n">
        <x:v>88062</x:v>
      </x:c>
      <x:c r="Q188" s="186" t="n">
        <x:v>56853</x:v>
      </x:c>
      <x:c r="R188" s="186" t="n">
        <x:f>P188-Q188</x:f>
        <x:v>31209</x:v>
      </x:c>
      <x:c r="S188" s="186" t="n">
        <x:v>47228</x:v>
      </x:c>
      <x:c r="T188" s="186" t="n">
        <x:v>26328</x:v>
      </x:c>
      <x:c r="U188" s="186" t="n">
        <x:f>S188-T188</x:f>
        <x:v>20900</x:v>
      </x:c>
      <x:c r="V188" s="196" t="n">
        <x:f>IFERROR(O188/F188,"")</x:f>
        <x:v>0.32056543116490166</x:v>
      </x:c>
      <x:c r="W188" s="196" t="n">
        <x:f>IFERROR(I188/F188,"")</x:f>
        <x:v>-0.35405824508320727</x:v>
      </x:c>
    </x:row>
    <x:row r="189">
      <x:c r="A189" s="186" t="str">
        <x:v>Silver</x:v>
      </x:c>
      <x:c r="B189" s="187" t="n">
        <x:v>43025</x:v>
      </x:c>
      <x:c r="C189" s="187" t="n">
        <x:v>43028</x:v>
      </x:c>
      <x:c r="D189" s="186" t="str">
        <x:v>084691-SILVER</x:v>
      </x:c>
      <x:c r="E189" s="186" t="str">
        <x:v>SILVER - COMMODITY EXCHANGE INC.</x:v>
      </x:c>
      <x:c r="F189" s="186" t="n">
        <x:v>191928</x:v>
      </x:c>
      <x:c r="G189" s="186" t="n">
        <x:v>9316</x:v>
      </x:c>
      <x:c r="H189" s="186" t="n">
        <x:v>69774</x:v>
      </x:c>
      <x:c r="I189" s="186" t="n">
        <x:f>G189-H189</x:f>
        <x:v>-60458</x:v>
      </x:c>
      <x:c r="J189" s="186" t="n">
        <x:v>32934</x:v>
      </x:c>
      <x:c r="K189" s="186" t="n">
        <x:v>47389</x:v>
      </x:c>
      <x:c r="L189" s="186" t="n">
        <x:f>J189-K189</x:f>
        <x:v>-14455</x:v>
      </x:c>
      <x:c r="M189" s="186" t="n">
        <x:v>73874</x:v>
      </x:c>
      <x:c r="N189" s="186" t="n">
        <x:v>10774</x:v>
      </x:c>
      <x:c r="O189" s="186" t="n">
        <x:f>M189-N189</x:f>
        <x:v>63100</x:v>
      </x:c>
      <x:c r="P189" s="186" t="n">
        <x:v>20951</x:v>
      </x:c>
      <x:c r="Q189" s="186" t="n">
        <x:v>20136</x:v>
      </x:c>
      <x:c r="R189" s="186" t="n">
        <x:f>P189-Q189</x:f>
        <x:v>815</x:v>
      </x:c>
      <x:c r="S189" s="186" t="n">
        <x:v>23768</x:v>
      </x:c>
      <x:c r="T189" s="186" t="n">
        <x:v>12770</x:v>
      </x:c>
      <x:c r="U189" s="186" t="n">
        <x:f>S189-T189</x:f>
        <x:v>10998</x:v>
      </x:c>
      <x:c r="V189" s="196" t="n">
        <x:f>IFERROR(O189/F189,"")</x:f>
        <x:v>0.3287691217539911</x:v>
      </x:c>
      <x:c r="W189" s="196" t="n">
        <x:f>IFERROR(I189/F189,"")</x:f>
        <x:v>-0.3150035429952899</x:v>
      </x:c>
    </x:row>
    <x:row r="190">
      <x:c r="A190" s="186" t="str">
        <x:v>Gold</x:v>
      </x:c>
      <x:c r="B190" s="187" t="n">
        <x:v>43032</x:v>
      </x:c>
      <x:c r="C190" s="187" t="n">
        <x:v>43035</x:v>
      </x:c>
      <x:c r="D190" s="186" t="str">
        <x:v>088691-GOLD</x:v>
      </x:c>
      <x:c r="E190" s="186" t="str">
        <x:v>GOLD - COMMODITY EXCHANGE INC.</x:v>
      </x:c>
      <x:c r="F190" s="186" t="n">
        <x:v>526674</x:v>
      </x:c>
      <x:c r="G190" s="186" t="n">
        <x:v>18360</x:v>
      </x:c>
      <x:c r="H190" s="186" t="n">
        <x:v>201023</x:v>
      </x:c>
      <x:c r="I190" s="186" t="n">
        <x:f>G190-H190</x:f>
        <x:v>-182663</x:v>
      </x:c>
      <x:c r="J190" s="186" t="n">
        <x:v>84376</x:v>
      </x:c>
      <x:c r="K190" s="186" t="n">
        <x:v>112366</x:v>
      </x:c>
      <x:c r="L190" s="186" t="n">
        <x:f>J190-K190</x:f>
        <x:v>-27990</x:v>
      </x:c>
      <x:c r="M190" s="186" t="n">
        <x:v>192701</x:v>
      </x:c>
      <x:c r="N190" s="186" t="n">
        <x:v>24333</x:v>
      </x:c>
      <x:c r="O190" s="186" t="n">
        <x:f>M190-N190</x:f>
        <x:v>168368</x:v>
      </x:c>
      <x:c r="P190" s="186" t="n">
        <x:v>82820</x:v>
      </x:c>
      <x:c r="Q190" s="186" t="n">
        <x:v>59803</x:v>
      </x:c>
      <x:c r="R190" s="186" t="n">
        <x:f>P190-Q190</x:f>
        <x:v>23017</x:v>
      </x:c>
      <x:c r="S190" s="186" t="n">
        <x:v>45115</x:v>
      </x:c>
      <x:c r="T190" s="186" t="n">
        <x:v>25847</x:v>
      </x:c>
      <x:c r="U190" s="186" t="n">
        <x:f>S190-T190</x:f>
        <x:v>19268</x:v>
      </x:c>
      <x:c r="V190" s="196" t="n">
        <x:f>IFERROR(O190/F190,"")</x:f>
        <x:v>0.31968162468623856</x:v>
      </x:c>
      <x:c r="W190" s="196" t="n">
        <x:f>IFERROR(I190/F190,"")</x:f>
        <x:v>-0.3468236518225696</x:v>
      </x:c>
    </x:row>
    <x:row r="191">
      <x:c r="A191" s="186" t="str">
        <x:v>Silver</x:v>
      </x:c>
      <x:c r="B191" s="187" t="n">
        <x:v>43032</x:v>
      </x:c>
      <x:c r="C191" s="187" t="n">
        <x:v>43035</x:v>
      </x:c>
      <x:c r="D191" s="186" t="str">
        <x:v>084691-SILVER</x:v>
      </x:c>
      <x:c r="E191" s="186" t="str">
        <x:v>SILVER - COMMODITY EXCHANGE INC.</x:v>
      </x:c>
      <x:c r="F191" s="186" t="n">
        <x:v>193899</x:v>
      </x:c>
      <x:c r="G191" s="186" t="n">
        <x:v>8047</x:v>
      </x:c>
      <x:c r="H191" s="186" t="n">
        <x:v>71113</x:v>
      </x:c>
      <x:c r="I191" s="186" t="n">
        <x:f>G191-H191</x:f>
        <x:v>-63066</x:v>
      </x:c>
      <x:c r="J191" s="186" t="n">
        <x:v>34301</x:v>
      </x:c>
      <x:c r="K191" s="186" t="n">
        <x:v>47740</x:v>
      </x:c>
      <x:c r="L191" s="186" t="n">
        <x:f>J191-K191</x:f>
        <x:v>-13439</x:v>
      </x:c>
      <x:c r="M191" s="186" t="n">
        <x:v>74898</x:v>
      </x:c>
      <x:c r="N191" s="186" t="n">
        <x:v>10560</x:v>
      </x:c>
      <x:c r="O191" s="186" t="n">
        <x:f>M191-N191</x:f>
        <x:v>64338</x:v>
      </x:c>
      <x:c r="P191" s="186" t="n">
        <x:v>20515</x:v>
      </x:c>
      <x:c r="Q191" s="186" t="n">
        <x:v>19733</x:v>
      </x:c>
      <x:c r="R191" s="186" t="n">
        <x:f>P191-Q191</x:f>
        <x:v>782</x:v>
      </x:c>
      <x:c r="S191" s="186" t="n">
        <x:v>23797</x:v>
      </x:c>
      <x:c r="T191" s="186" t="n">
        <x:v>12412</x:v>
      </x:c>
      <x:c r="U191" s="186" t="n">
        <x:f>S191-T191</x:f>
        <x:v>11385</x:v>
      </x:c>
      <x:c r="V191" s="196" t="n">
        <x:f>IFERROR(O191/F191,"")</x:f>
        <x:v>0.3318119227020253</x:v>
      </x:c>
      <x:c r="W191" s="196" t="n">
        <x:f>IFERROR(I191/F191,"")</x:f>
        <x:v>-0.32525180635279194</x:v>
      </x:c>
    </x:row>
    <x:row r="192">
      <x:c r="A192" s="186" t="str">
        <x:v>Gold</x:v>
      </x:c>
      <x:c r="B192" s="187" t="n">
        <x:v>43039</x:v>
      </x:c>
      <x:c r="C192" s="187" t="n">
        <x:v>43042</x:v>
      </x:c>
      <x:c r="D192" s="186" t="str">
        <x:v>088691-GOLD</x:v>
      </x:c>
      <x:c r="E192" s="186" t="str">
        <x:v>GOLD - COMMODITY EXCHANGE INC.</x:v>
      </x:c>
      <x:c r="F192" s="186" t="n">
        <x:v>531918</x:v>
      </x:c>
      <x:c r="G192" s="186" t="n">
        <x:v>17081</x:v>
      </x:c>
      <x:c r="H192" s="186" t="n">
        <x:v>200789</x:v>
      </x:c>
      <x:c r="I192" s="186" t="n">
        <x:f>G192-H192</x:f>
        <x:v>-183708</x:v>
      </x:c>
      <x:c r="J192" s="186" t="n">
        <x:v>86265</x:v>
      </x:c>
      <x:c r="K192" s="186" t="n">
        <x:v>113205</x:v>
      </x:c>
      <x:c r="L192" s="186" t="n">
        <x:f>J192-K192</x:f>
        <x:v>-26940</x:v>
      </x:c>
      <x:c r="M192" s="186" t="n">
        <x:v>182652</x:v>
      </x:c>
      <x:c r="N192" s="186" t="n">
        <x:v>16687</x:v>
      </x:c>
      <x:c r="O192" s="186" t="n">
        <x:f>M192-N192</x:f>
        <x:v>165965</x:v>
      </x:c>
      <x:c r="P192" s="186" t="n">
        <x:v>86058</x:v>
      </x:c>
      <x:c r="Q192" s="186" t="n">
        <x:v>58928</x:v>
      </x:c>
      <x:c r="R192" s="186" t="n">
        <x:f>P192-Q192</x:f>
        <x:v>27130</x:v>
      </x:c>
      <x:c r="S192" s="186" t="n">
        <x:v>45483</x:v>
      </x:c>
      <x:c r="T192" s="186" t="n">
        <x:v>27930</x:v>
      </x:c>
      <x:c r="U192" s="186" t="n">
        <x:f>S192-T192</x:f>
        <x:v>17553</x:v>
      </x:c>
      <x:c r="V192" s="196" t="n">
        <x:f>IFERROR(O192/F192,"")</x:f>
        <x:v>0.31201237784771335</x:v>
      </x:c>
      <x:c r="W192" s="196" t="n">
        <x:f>IFERROR(I192/F192,"")</x:f>
        <x:v>-0.3453690230449054</x:v>
      </x:c>
    </x:row>
    <x:row r="193">
      <x:c r="A193" s="186" t="str">
        <x:v>Silver</x:v>
      </x:c>
      <x:c r="B193" s="187" t="n">
        <x:v>43039</x:v>
      </x:c>
      <x:c r="C193" s="187" t="n">
        <x:v>43042</x:v>
      </x:c>
      <x:c r="D193" s="186" t="str">
        <x:v>084691-SILVER</x:v>
      </x:c>
      <x:c r="E193" s="186" t="str">
        <x:v>SILVER - COMMODITY EXCHANGE INC.</x:v>
      </x:c>
      <x:c r="F193" s="186" t="n">
        <x:v>198853</x:v>
      </x:c>
      <x:c r="G193" s="186" t="n">
        <x:v>10258</x:v>
      </x:c>
      <x:c r="H193" s="186" t="n">
        <x:v>69113</x:v>
      </x:c>
      <x:c r="I193" s="186" t="n">
        <x:f>G193-H193</x:f>
        <x:v>-58855</x:v>
      </x:c>
      <x:c r="J193" s="186" t="n">
        <x:v>32721</x:v>
      </x:c>
      <x:c r="K193" s="186" t="n">
        <x:v>44894</x:v>
      </x:c>
      <x:c r="L193" s="186" t="n">
        <x:f>J193-K193</x:f>
        <x:v>-12173</x:v>
      </x:c>
      <x:c r="M193" s="186" t="n">
        <x:v>73090</x:v>
      </x:c>
      <x:c r="N193" s="186" t="n">
        <x:v>15357</x:v>
      </x:c>
      <x:c r="O193" s="186" t="n">
        <x:f>M193-N193</x:f>
        <x:v>57733</x:v>
      </x:c>
      <x:c r="P193" s="186" t="n">
        <x:v>22292</x:v>
      </x:c>
      <x:c r="Q193" s="186" t="n">
        <x:v>19873</x:v>
      </x:c>
      <x:c r="R193" s="186" t="n">
        <x:f>P193-Q193</x:f>
        <x:v>2419</x:v>
      </x:c>
      <x:c r="S193" s="186" t="n">
        <x:v>24858</x:v>
      </x:c>
      <x:c r="T193" s="186" t="n">
        <x:v>13982</x:v>
      </x:c>
      <x:c r="U193" s="186" t="n">
        <x:f>S193-T193</x:f>
        <x:v>10876</x:v>
      </x:c>
      <x:c r="V193" s="196" t="n">
        <x:f>IFERROR(O193/F193,"")</x:f>
        <x:v>0.2903300427954318</x:v>
      </x:c>
      <x:c r="W193" s="196" t="n">
        <x:f>IFERROR(I193/F193,"")</x:f>
        <x:v>-0.2959724017238865</x:v>
      </x:c>
    </x:row>
    <x:row r="194">
      <x:c r="A194" s="186" t="str">
        <x:v>Gold</x:v>
      </x:c>
      <x:c r="B194" s="187" t="n">
        <x:v>43046</x:v>
      </x:c>
      <x:c r="C194" s="187" t="n">
        <x:v>43049</x:v>
      </x:c>
      <x:c r="D194" s="186" t="str">
        <x:v>088691-GOLD</x:v>
      </x:c>
      <x:c r="E194" s="186" t="str">
        <x:v>GOLD - COMMODITY EXCHANGE INC.</x:v>
      </x:c>
      <x:c r="F194" s="186" t="n">
        <x:v>536843</x:v>
      </x:c>
      <x:c r="G194" s="186" t="n">
        <x:v>17307</x:v>
      </x:c>
      <x:c r="H194" s="186" t="n">
        <x:v>198381</x:v>
      </x:c>
      <x:c r="I194" s="186" t="n">
        <x:f>G194-H194</x:f>
        <x:v>-181074</x:v>
      </x:c>
      <x:c r="J194" s="186" t="n">
        <x:v>82790</x:v>
      </x:c>
      <x:c r="K194" s="186" t="n">
        <x:v>117003</x:v>
      </x:c>
      <x:c r="L194" s="186" t="n">
        <x:f>J194-K194</x:f>
        <x:v>-34213</x:v>
      </x:c>
      <x:c r="M194" s="186" t="n">
        <x:v>187782</x:v>
      </x:c>
      <x:c r="N194" s="186" t="n">
        <x:v>17070</x:v>
      </x:c>
      <x:c r="O194" s="186" t="n">
        <x:f>M194-N194</x:f>
        <x:v>170712</x:v>
      </x:c>
      <x:c r="P194" s="186" t="n">
        <x:v>84789</x:v>
      </x:c>
      <x:c r="Q194" s="186" t="n">
        <x:v>59711</x:v>
      </x:c>
      <x:c r="R194" s="186" t="n">
        <x:f>P194-Q194</x:f>
        <x:v>25078</x:v>
      </x:c>
      <x:c r="S194" s="186" t="n">
        <x:v>46485</x:v>
      </x:c>
      <x:c r="T194" s="186" t="n">
        <x:v>26988</x:v>
      </x:c>
      <x:c r="U194" s="186" t="n">
        <x:f>S194-T194</x:f>
        <x:v>19497</x:v>
      </x:c>
      <x:c r="V194" s="196" t="n">
        <x:f>IFERROR(O194/F194,"")</x:f>
        <x:v>0.3179924111891186</x:v>
      </x:c>
      <x:c r="W194" s="196" t="n">
        <x:f>IFERROR(I194/F194,"")</x:f>
        <x:v>-0.33729414372544675</x:v>
      </x:c>
    </x:row>
    <x:row r="195">
      <x:c r="A195" s="186" t="str">
        <x:v>Silver</x:v>
      </x:c>
      <x:c r="B195" s="187" t="n">
        <x:v>43046</x:v>
      </x:c>
      <x:c r="C195" s="187" t="n">
        <x:v>43049</x:v>
      </x:c>
      <x:c r="D195" s="186" t="str">
        <x:v>084691-SILVER</x:v>
      </x:c>
      <x:c r="E195" s="186" t="str">
        <x:v>SILVER - COMMODITY EXCHANGE INC.</x:v>
      </x:c>
      <x:c r="F195" s="186" t="n">
        <x:v>203330</x:v>
      </x:c>
      <x:c r="G195" s="186" t="n">
        <x:v>10794</x:v>
      </x:c>
      <x:c r="H195" s="186" t="n">
        <x:v>73156</x:v>
      </x:c>
      <x:c r="I195" s="186" t="n">
        <x:f>G195-H195</x:f>
        <x:v>-62362</x:v>
      </x:c>
      <x:c r="J195" s="186" t="n">
        <x:v>30952</x:v>
      </x:c>
      <x:c r="K195" s="186" t="n">
        <x:v>50231</x:v>
      </x:c>
      <x:c r="L195" s="186" t="n">
        <x:f>J195-K195</x:f>
        <x:v>-19279</x:v>
      </x:c>
      <x:c r="M195" s="186" t="n">
        <x:v>77372</x:v>
      </x:c>
      <x:c r="N195" s="186" t="n">
        <x:v>11616</x:v>
      </x:c>
      <x:c r="O195" s="186" t="n">
        <x:f>M195-N195</x:f>
        <x:v>65756</x:v>
      </x:c>
      <x:c r="P195" s="186" t="n">
        <x:v>22500</x:v>
      </x:c>
      <x:c r="Q195" s="186" t="n">
        <x:v>19354</x:v>
      </x:c>
      <x:c r="R195" s="186" t="n">
        <x:f>P195-Q195</x:f>
        <x:v>3146</x:v>
      </x:c>
      <x:c r="S195" s="186" t="n">
        <x:v>25454</x:v>
      </x:c>
      <x:c r="T195" s="186" t="n">
        <x:v>12715</x:v>
      </x:c>
      <x:c r="U195" s="186" t="n">
        <x:f>S195-T195</x:f>
        <x:v>12739</x:v>
      </x:c>
      <x:c r="V195" s="196" t="n">
        <x:f>IFERROR(O195/F195,"")</x:f>
        <x:v>0.32339546549943443</x:v>
      </x:c>
      <x:c r="W195" s="196" t="n">
        <x:f>IFERROR(I195/F195,"")</x:f>
        <x:v>-0.3067033885801407</x:v>
      </x:c>
    </x:row>
    <x:row r="196">
      <x:c r="A196" s="186" t="str">
        <x:v>Gold</x:v>
      </x:c>
      <x:c r="B196" s="187" t="n">
        <x:v>43053</x:v>
      </x:c>
      <x:c r="C196" s="187" t="n">
        <x:v>43056</x:v>
      </x:c>
      <x:c r="D196" s="186" t="str">
        <x:v>088691-GOLD</x:v>
      </x:c>
      <x:c r="E196" s="186" t="str">
        <x:v>GOLD - COMMODITY EXCHANGE INC.</x:v>
      </x:c>
      <x:c r="F196" s="186" t="n">
        <x:v>533054</x:v>
      </x:c>
      <x:c r="G196" s="186" t="n">
        <x:v>18323</x:v>
      </x:c>
      <x:c r="H196" s="186" t="n">
        <x:v>202533</x:v>
      </x:c>
      <x:c r="I196" s="186" t="n">
        <x:f>G196-H196</x:f>
        <x:v>-184210</x:v>
      </x:c>
      <x:c r="J196" s="186" t="n">
        <x:v>83054</x:v>
      </x:c>
      <x:c r="K196" s="186" t="n">
        <x:v>114635</x:v>
      </x:c>
      <x:c r="L196" s="186" t="n">
        <x:f>J196-K196</x:f>
        <x:v>-31581</x:v>
      </x:c>
      <x:c r="M196" s="186" t="n">
        <x:v>190657</x:v>
      </x:c>
      <x:c r="N196" s="186" t="n">
        <x:v>14559</x:v>
      </x:c>
      <x:c r="O196" s="186" t="n">
        <x:f>M196-N196</x:f>
        <x:v>176098</x:v>
      </x:c>
      <x:c r="P196" s="186" t="n">
        <x:v>80839</x:v>
      </x:c>
      <x:c r="Q196" s="186" t="n">
        <x:v>61853</x:v>
      </x:c>
      <x:c r="R196" s="186" t="n">
        <x:f>P196-Q196</x:f>
        <x:v>18986</x:v>
      </x:c>
      <x:c r="S196" s="186" t="n">
        <x:v>47250</x:v>
      </x:c>
      <x:c r="T196" s="186" t="n">
        <x:v>26543</x:v>
      </x:c>
      <x:c r="U196" s="186" t="n">
        <x:f>S196-T196</x:f>
        <x:v>20707</x:v>
      </x:c>
      <x:c r="V196" s="196" t="n">
        <x:f>IFERROR(O196/F196,"")</x:f>
        <x:v>0.33035677436057137</x:v>
      </x:c>
      <x:c r="W196" s="196" t="n">
        <x:f>IFERROR(I196/F196,"")</x:f>
        <x:v>-0.34557474477257466</x:v>
      </x:c>
    </x:row>
    <x:row r="197">
      <x:c r="A197" s="186" t="str">
        <x:v>Silver</x:v>
      </x:c>
      <x:c r="B197" s="187" t="n">
        <x:v>43053</x:v>
      </x:c>
      <x:c r="C197" s="187" t="n">
        <x:v>43056</x:v>
      </x:c>
      <x:c r="D197" s="186" t="str">
        <x:v>084691-SILVER</x:v>
      </x:c>
      <x:c r="E197" s="186" t="str">
        <x:v>SILVER - COMMODITY EXCHANGE INC.</x:v>
      </x:c>
      <x:c r="F197" s="186" t="n">
        <x:v>199899</x:v>
      </x:c>
      <x:c r="G197" s="186" t="n">
        <x:v>11071</x:v>
      </x:c>
      <x:c r="H197" s="186" t="n">
        <x:v>74556</x:v>
      </x:c>
      <x:c r="I197" s="186" t="n">
        <x:f>G197-H197</x:f>
        <x:v>-63485</x:v>
      </x:c>
      <x:c r="J197" s="186" t="n">
        <x:v>31692</x:v>
      </x:c>
      <x:c r="K197" s="186" t="n">
        <x:v>48655</x:v>
      </x:c>
      <x:c r="L197" s="186" t="n">
        <x:f>J197-K197</x:f>
        <x:v>-16963</x:v>
      </x:c>
      <x:c r="M197" s="186" t="n">
        <x:v>78464</x:v>
      </x:c>
      <x:c r="N197" s="186" t="n">
        <x:v>10274</x:v>
      </x:c>
      <x:c r="O197" s="186" t="n">
        <x:f>M197-N197</x:f>
        <x:v>68190</x:v>
      </x:c>
      <x:c r="P197" s="186" t="n">
        <x:v>19606</x:v>
      </x:c>
      <x:c r="Q197" s="186" t="n">
        <x:v>18623</x:v>
      </x:c>
      <x:c r="R197" s="186" t="n">
        <x:f>P197-Q197</x:f>
        <x:v>983</x:v>
      </x:c>
      <x:c r="S197" s="186" t="n">
        <x:v>24567</x:v>
      </x:c>
      <x:c r="T197" s="186" t="n">
        <x:v>13292</x:v>
      </x:c>
      <x:c r="U197" s="186" t="n">
        <x:f>S197-T197</x:f>
        <x:v>11275</x:v>
      </x:c>
      <x:c r="V197" s="196" t="n">
        <x:f>IFERROR(O197/F197,"")</x:f>
        <x:v>0.3411222667447061</x:v>
      </x:c>
      <x:c r="W197" s="196" t="n">
        <x:f>IFERROR(I197/F197,"")</x:f>
        <x:v>-0.3175853806172117</x:v>
      </x:c>
    </x:row>
    <x:row r="198">
      <x:c r="A198" s="186" t="str">
        <x:v>Gold</x:v>
      </x:c>
      <x:c r="B198" s="187" t="n">
        <x:v>43060</x:v>
      </x:c>
      <x:c r="C198" s="187" t="n">
        <x:v>43063</x:v>
      </x:c>
      <x:c r="D198" s="186" t="str">
        <x:v>088691-GOLD</x:v>
      </x:c>
      <x:c r="E198" s="186" t="str">
        <x:v>GOLD - COMMODITY EXCHANGE INC.</x:v>
      </x:c>
      <x:c r="F198" s="186" t="n">
        <x:v>531612</x:v>
      </x:c>
      <x:c r="G198" s="186" t="n">
        <x:v>19514</x:v>
      </x:c>
      <x:c r="H198" s="186" t="n">
        <x:v>204896</x:v>
      </x:c>
      <x:c r="I198" s="186" t="n">
        <x:f>G198-H198</x:f>
        <x:v>-185382</x:v>
      </x:c>
      <x:c r="J198" s="186" t="n">
        <x:v>80549</x:v>
      </x:c>
      <x:c r="K198" s="186" t="n">
        <x:v>120223</x:v>
      </x:c>
      <x:c r="L198" s="186" t="n">
        <x:f>J198-K198</x:f>
        <x:v>-39674</x:v>
      </x:c>
      <x:c r="M198" s="186" t="n">
        <x:v>187292</x:v>
      </x:c>
      <x:c r="N198" s="186" t="n">
        <x:v>14137</x:v>
      </x:c>
      <x:c r="O198" s="186" t="n">
        <x:f>M198-N198</x:f>
        <x:v>173155</x:v>
      </x:c>
      <x:c r="P198" s="186" t="n">
        <x:v>85642</x:v>
      </x:c>
      <x:c r="Q198" s="186" t="n">
        <x:v>56970</x:v>
      </x:c>
      <x:c r="R198" s="186" t="n">
        <x:f>P198-Q198</x:f>
        <x:v>28672</x:v>
      </x:c>
      <x:c r="S198" s="186" t="n">
        <x:v>49727</x:v>
      </x:c>
      <x:c r="T198" s="186" t="n">
        <x:v>26498</x:v>
      </x:c>
      <x:c r="U198" s="186" t="n">
        <x:f>S198-T198</x:f>
        <x:v>23229</x:v>
      </x:c>
      <x:c r="V198" s="196" t="n">
        <x:f>IFERROR(O198/F198,"")</x:f>
        <x:v>0.32571687621799356</x:v>
      </x:c>
      <x:c r="W198" s="196" t="n">
        <x:f>IFERROR(I198/F198,"")</x:f>
        <x:v>-0.34871673325658564</x:v>
      </x:c>
    </x:row>
    <x:row r="199">
      <x:c r="A199" s="186" t="str">
        <x:v>Silver</x:v>
      </x:c>
      <x:c r="B199" s="187" t="n">
        <x:v>43060</x:v>
      </x:c>
      <x:c r="C199" s="187" t="n">
        <x:v>43063</x:v>
      </x:c>
      <x:c r="D199" s="186" t="str">
        <x:v>084691-SILVER</x:v>
      </x:c>
      <x:c r="E199" s="186" t="str">
        <x:v>SILVER - COMMODITY EXCHANGE INC.</x:v>
      </x:c>
      <x:c r="F199" s="186" t="n">
        <x:v>199402</x:v>
      </x:c>
      <x:c r="G199" s="186" t="n">
        <x:v>12467</x:v>
      </x:c>
      <x:c r="H199" s="186" t="n">
        <x:v>76196</x:v>
      </x:c>
      <x:c r="I199" s="186" t="n">
        <x:f>G199-H199</x:f>
        <x:v>-63729</x:v>
      </x:c>
      <x:c r="J199" s="186" t="n">
        <x:v>31363</x:v>
      </x:c>
      <x:c r="K199" s="186" t="n">
        <x:v>48070</x:v>
      </x:c>
      <x:c r="L199" s="186" t="n">
        <x:f>J199-K199</x:f>
        <x:v>-16707</x:v>
      </x:c>
      <x:c r="M199" s="186" t="n">
        <x:v>77147</x:v>
      </x:c>
      <x:c r="N199" s="186" t="n">
        <x:v>12562</x:v>
      </x:c>
      <x:c r="O199" s="186" t="n">
        <x:f>M199-N199</x:f>
        <x:v>64585</x:v>
      </x:c>
      <x:c r="P199" s="186" t="n">
        <x:v>20997</x:v>
      </x:c>
      <x:c r="Q199" s="186" t="n">
        <x:v>17941</x:v>
      </x:c>
      <x:c r="R199" s="186" t="n">
        <x:f>P199-Q199</x:f>
        <x:v>3056</x:v>
      </x:c>
      <x:c r="S199" s="186" t="n">
        <x:v>25360</x:v>
      </x:c>
      <x:c r="T199" s="186" t="n">
        <x:v>12565</x:v>
      </x:c>
      <x:c r="U199" s="186" t="n">
        <x:f>S199-T199</x:f>
        <x:v>12795</x:v>
      </x:c>
      <x:c r="V199" s="196" t="n">
        <x:f>IFERROR(O199/F199,"")</x:f>
        <x:v>0.32389344138975534</x:v>
      </x:c>
      <x:c r="W199" s="196" t="n">
        <x:f>IFERROR(I199/F199,"")</x:f>
        <x:v>-0.319600605811376</x:v>
      </x:c>
    </x:row>
    <x:row r="200">
      <x:c r="A200" s="186" t="str">
        <x:v>Gold</x:v>
      </x:c>
      <x:c r="B200" s="187" t="n">
        <x:v>43067</x:v>
      </x:c>
      <x:c r="C200" s="187" t="n">
        <x:v>43070</x:v>
      </x:c>
      <x:c r="D200" s="186" t="str">
        <x:v>088691-GOLD</x:v>
      </x:c>
      <x:c r="E200" s="186" t="str">
        <x:v>GOLD - COMMODITY EXCHANGE INC.</x:v>
      </x:c>
      <x:c r="F200" s="186" t="n">
        <x:v>503810</x:v>
      </x:c>
      <x:c r="G200" s="186" t="n">
        <x:v>17891</x:v>
      </x:c>
      <x:c r="H200" s="186" t="n">
        <x:v>202648</x:v>
      </x:c>
      <x:c r="I200" s="186" t="n">
        <x:f>G200-H200</x:f>
        <x:v>-184757</x:v>
      </x:c>
      <x:c r="J200" s="186" t="n">
        <x:v>75448</x:v>
      </x:c>
      <x:c r="K200" s="186" t="n">
        <x:v>137232</x:v>
      </x:c>
      <x:c r="L200" s="186" t="n">
        <x:f>J200-K200</x:f>
        <x:v>-61784</x:v>
      </x:c>
      <x:c r="M200" s="186" t="n">
        <x:v>208518</x:v>
      </x:c>
      <x:c r="N200" s="186" t="n">
        <x:v>9978</x:v>
      </x:c>
      <x:c r="O200" s="186" t="n">
        <x:f>M200-N200</x:f>
        <x:v>198540</x:v>
      </x:c>
      <x:c r="P200" s="186" t="n">
        <x:v>78866</x:v>
      </x:c>
      <x:c r="Q200" s="186" t="n">
        <x:v>52989</x:v>
      </x:c>
      <x:c r="R200" s="186" t="n">
        <x:f>P200-Q200</x:f>
        <x:v>25877</x:v>
      </x:c>
      <x:c r="S200" s="186" t="n">
        <x:v>47240</x:v>
      </x:c>
      <x:c r="T200" s="186" t="n">
        <x:v>25116</x:v>
      </x:c>
      <x:c r="U200" s="186" t="n">
        <x:f>S200-T200</x:f>
        <x:v>22124</x:v>
      </x:c>
      <x:c r="V200" s="196" t="n">
        <x:f>IFERROR(O200/F200,"")</x:f>
        <x:v>0.39407713225223795</x:v>
      </x:c>
      <x:c r="W200" s="196" t="n">
        <x:f>IFERROR(I200/F200,"")</x:f>
        <x:v>-0.3667195966733491</x:v>
      </x:c>
    </x:row>
    <x:row r="201">
      <x:c r="A201" s="186" t="str">
        <x:v>Silver</x:v>
      </x:c>
      <x:c r="B201" s="187" t="n">
        <x:v>43067</x:v>
      </x:c>
      <x:c r="C201" s="187" t="n">
        <x:v>43070</x:v>
      </x:c>
      <x:c r="D201" s="186" t="str">
        <x:v>084691-SILVER</x:v>
      </x:c>
      <x:c r="E201" s="186" t="str">
        <x:v>SILVER - COMMODITY EXCHANGE INC.</x:v>
      </x:c>
      <x:c r="F201" s="186" t="n">
        <x:v>186272</x:v>
      </x:c>
      <x:c r="G201" s="186" t="n">
        <x:v>13233</x:v>
      </x:c>
      <x:c r="H201" s="186" t="n">
        <x:v>70221</x:v>
      </x:c>
      <x:c r="I201" s="186" t="n">
        <x:f>G201-H201</x:f>
        <x:v>-56988</x:v>
      </x:c>
      <x:c r="J201" s="186" t="n">
        <x:v>31498</x:v>
      </x:c>
      <x:c r="K201" s="186" t="n">
        <x:v>47585</x:v>
      </x:c>
      <x:c r="L201" s="186" t="n">
        <x:f>J201-K201</x:f>
        <x:v>-16087</x:v>
      </x:c>
      <x:c r="M201" s="186" t="n">
        <x:v>69785</x:v>
      </x:c>
      <x:c r="N201" s="186" t="n">
        <x:v>13238</x:v>
      </x:c>
      <x:c r="O201" s="186" t="n">
        <x:f>M201-N201</x:f>
        <x:v>56547</x:v>
      </x:c>
      <x:c r="P201" s="186" t="n">
        <x:v>20353</x:v>
      </x:c>
      <x:c r="Q201" s="186" t="n">
        <x:v>18118</x:v>
      </x:c>
      <x:c r="R201" s="186" t="n">
        <x:f>P201-Q201</x:f>
        <x:v>2235</x:v>
      </x:c>
      <x:c r="S201" s="186" t="n">
        <x:v>26938</x:v>
      </x:c>
      <x:c r="T201" s="186" t="n">
        <x:v>12645</x:v>
      </x:c>
      <x:c r="U201" s="186" t="n">
        <x:f>S201-T201</x:f>
        <x:v>14293</x:v>
      </x:c>
      <x:c r="V201" s="196" t="n">
        <x:f>IFERROR(O201/F201,"")</x:f>
        <x:v>0.3035721954990551</x:v>
      </x:c>
      <x:c r="W201" s="196" t="n">
        <x:f>IFERROR(I201/F201,"")</x:f>
        <x:v>-0.30593970108228824</x:v>
      </x:c>
    </x:row>
    <x:row r="202">
      <x:c r="A202" s="186" t="str">
        <x:v>Gold</x:v>
      </x:c>
      <x:c r="B202" s="187" t="n">
        <x:v>43074</x:v>
      </x:c>
      <x:c r="C202" s="187" t="n">
        <x:v>43077</x:v>
      </x:c>
      <x:c r="D202" s="186" t="str">
        <x:v>088691-GOLD</x:v>
      </x:c>
      <x:c r="E202" s="186" t="str">
        <x:v>GOLD - COMMODITY EXCHANGE INC.</x:v>
      </x:c>
      <x:c r="F202" s="186" t="n">
        <x:v>472795</x:v>
      </x:c>
      <x:c r="G202" s="186" t="n">
        <x:v>20819</x:v>
      </x:c>
      <x:c r="H202" s="186" t="n">
        <x:v>179239</x:v>
      </x:c>
      <x:c r="I202" s="186" t="n">
        <x:f>G202-H202</x:f>
        <x:v>-158420</x:v>
      </x:c>
      <x:c r="J202" s="186" t="n">
        <x:v>82926</x:v>
      </x:c>
      <x:c r="K202" s="186" t="n">
        <x:v>114396</x:v>
      </x:c>
      <x:c r="L202" s="186" t="n">
        <x:f>J202-K202</x:f>
        <x:v>-31470</x:v>
      </x:c>
      <x:c r="M202" s="186" t="n">
        <x:v>167174</x:v>
      </x:c>
      <x:c r="N202" s="186" t="n">
        <x:v>32664</x:v>
      </x:c>
      <x:c r="O202" s="186" t="n">
        <x:f>M202-N202</x:f>
        <x:v>134510</x:v>
      </x:c>
      <x:c r="P202" s="186" t="n">
        <x:v>84060</x:v>
      </x:c>
      <x:c r="Q202" s="186" t="n">
        <x:v>45241</x:v>
      </x:c>
      <x:c r="R202" s="186" t="n">
        <x:f>P202-Q202</x:f>
        <x:v>38819</x:v>
      </x:c>
      <x:c r="S202" s="186" t="n">
        <x:v>44147</x:v>
      </x:c>
      <x:c r="T202" s="186" t="n">
        <x:v>27586</x:v>
      </x:c>
      <x:c r="U202" s="186" t="n">
        <x:f>S202-T202</x:f>
        <x:v>16561</x:v>
      </x:c>
      <x:c r="V202" s="196" t="n">
        <x:f>IFERROR(O202/F202,"")</x:f>
        <x:v>0.2844996245730179</x:v>
      </x:c>
      <x:c r="W202" s="196" t="n">
        <x:f>IFERROR(I202/F202,"")</x:f>
        <x:v>-0.33507122537251877</x:v>
      </x:c>
    </x:row>
    <x:row r="203">
      <x:c r="A203" s="186" t="str">
        <x:v>Silver</x:v>
      </x:c>
      <x:c r="B203" s="187" t="n">
        <x:v>43074</x:v>
      </x:c>
      <x:c r="C203" s="187" t="n">
        <x:v>43077</x:v>
      </x:c>
      <x:c r="D203" s="186" t="str">
        <x:v>084691-SILVER</x:v>
      </x:c>
      <x:c r="E203" s="186" t="str">
        <x:v>SILVER - COMMODITY EXCHANGE INC.</x:v>
      </x:c>
      <x:c r="F203" s="186" t="n">
        <x:v>192970</x:v>
      </x:c>
      <x:c r="G203" s="186" t="n">
        <x:v>15232</x:v>
      </x:c>
      <x:c r="H203" s="186" t="n">
        <x:v>57403</x:v>
      </x:c>
      <x:c r="I203" s="186" t="n">
        <x:f>G203-H203</x:f>
        <x:v>-42171</x:v>
      </x:c>
      <x:c r="J203" s="186" t="n">
        <x:v>38239</x:v>
      </x:c>
      <x:c r="K203" s="186" t="n">
        <x:v>42422</x:v>
      </x:c>
      <x:c r="L203" s="186" t="n">
        <x:f>J203-K203</x:f>
        <x:v>-4183</x:v>
      </x:c>
      <x:c r="M203" s="186" t="n">
        <x:v>57446</x:v>
      </x:c>
      <x:c r="N203" s="186" t="n">
        <x:v>35814</x:v>
      </x:c>
      <x:c r="O203" s="186" t="n">
        <x:f>M203-N203</x:f>
        <x:v>21632</x:v>
      </x:c>
      <x:c r="P203" s="186" t="n">
        <x:v>27459</x:v>
      </x:c>
      <x:c r="Q203" s="186" t="n">
        <x:v>17665</x:v>
      </x:c>
      <x:c r="R203" s="186" t="n">
        <x:f>P203-Q203</x:f>
        <x:v>9794</x:v>
      </x:c>
      <x:c r="S203" s="186" t="n">
        <x:v>29307</x:v>
      </x:c>
      <x:c r="T203" s="186" t="n">
        <x:v>14379</x:v>
      </x:c>
      <x:c r="U203" s="186" t="n">
        <x:f>S203-T203</x:f>
        <x:v>14928</x:v>
      </x:c>
      <x:c r="V203" s="196" t="n">
        <x:f>IFERROR(O203/F203,"")</x:f>
        <x:v>0.11210032647561798</x:v>
      </x:c>
      <x:c r="W203" s="196" t="n">
        <x:f>IFERROR(I203/F203,"")</x:f>
        <x:v>-0.21853656008706016</x:v>
      </x:c>
    </x:row>
    <x:row r="204">
      <x:c r="A204" s="186" t="str">
        <x:v>Gold</x:v>
      </x:c>
      <x:c r="B204" s="187" t="n">
        <x:v>43081</x:v>
      </x:c>
      <x:c r="C204" s="187" t="n">
        <x:v>43084</x:v>
      </x:c>
      <x:c r="D204" s="186" t="str">
        <x:v>088691-GOLD</x:v>
      </x:c>
      <x:c r="E204" s="186" t="str">
        <x:v>GOLD - COMMODITY EXCHANGE INC.</x:v>
      </x:c>
      <x:c r="F204" s="186" t="n">
        <x:v>446618</x:v>
      </x:c>
      <x:c r="G204" s="186" t="n">
        <x:v>19245</x:v>
      </x:c>
      <x:c r="H204" s="186" t="n">
        <x:v>150986</x:v>
      </x:c>
      <x:c r="I204" s="186" t="n">
        <x:f>G204-H204</x:f>
        <x:v>-131741</x:v>
      </x:c>
      <x:c r="J204" s="186" t="n">
        <x:v>106267</x:v>
      </x:c>
      <x:c r="K204" s="186" t="n">
        <x:v>93989</x:v>
      </x:c>
      <x:c r="L204" s="186" t="n">
        <x:f>J204-K204</x:f>
        <x:v>12278</x:v>
      </x:c>
      <x:c r="M204" s="186" t="n">
        <x:v>123139</x:v>
      </x:c>
      <x:c r="N204" s="186" t="n">
        <x:v>46913</x:v>
      </x:c>
      <x:c r="O204" s="186" t="n">
        <x:f>M204-N204</x:f>
        <x:v>76226</x:v>
      </x:c>
      <x:c r="P204" s="186" t="n">
        <x:v>78773</x:v>
      </x:c>
      <x:c r="Q204" s="186" t="n">
        <x:v>47931</x:v>
      </x:c>
      <x:c r="R204" s="186" t="n">
        <x:f>P204-Q204</x:f>
        <x:v>30842</x:v>
      </x:c>
      <x:c r="S204" s="186" t="n">
        <x:v>43569</x:v>
      </x:c>
      <x:c r="T204" s="186" t="n">
        <x:v>31174</x:v>
      </x:c>
      <x:c r="U204" s="186" t="n">
        <x:f>S204-T204</x:f>
        <x:v>12395</x:v>
      </x:c>
      <x:c r="V204" s="196" t="n">
        <x:f>IFERROR(O204/F204,"")</x:f>
        <x:v>0.17067381968483133</x:v>
      </x:c>
      <x:c r="W204" s="196" t="n">
        <x:f>IFERROR(I204/F204,"")</x:f>
        <x:v>-0.29497467634533314</x:v>
      </x:c>
    </x:row>
    <x:row r="205">
      <x:c r="A205" s="186" t="str">
        <x:v>Silver</x:v>
      </x:c>
      <x:c r="B205" s="187" t="n">
        <x:v>43081</x:v>
      </x:c>
      <x:c r="C205" s="187" t="n">
        <x:v>43084</x:v>
      </x:c>
      <x:c r="D205" s="186" t="str">
        <x:v>084691-SILVER</x:v>
      </x:c>
      <x:c r="E205" s="186" t="str">
        <x:v>SILVER - COMMODITY EXCHANGE INC.</x:v>
      </x:c>
      <x:c r="F205" s="186" t="n">
        <x:v>202797</x:v>
      </x:c>
      <x:c r="G205" s="186" t="n">
        <x:v>16461</x:v>
      </x:c>
      <x:c r="H205" s="186" t="n">
        <x:v>50167</x:v>
      </x:c>
      <x:c r="I205" s="186" t="n">
        <x:f>G205-H205</x:f>
        <x:v>-33706</x:v>
      </x:c>
      <x:c r="J205" s="186" t="n">
        <x:v>49739</x:v>
      </x:c>
      <x:c r="K205" s="186" t="n">
        <x:v>40862</x:v>
      </x:c>
      <x:c r="L205" s="186" t="n">
        <x:f>J205-K205</x:f>
        <x:v>8877</x:v>
      </x:c>
      <x:c r="M205" s="186" t="n">
        <x:v>47275</x:v>
      </x:c>
      <x:c r="N205" s="186" t="n">
        <x:v>52924</x:v>
      </x:c>
      <x:c r="O205" s="186" t="n">
        <x:f>M205-N205</x:f>
        <x:v>-5649</x:v>
      </x:c>
      <x:c r="P205" s="186" t="n">
        <x:v>29894</x:v>
      </x:c>
      <x:c r="Q205" s="186" t="n">
        <x:v>14331</x:v>
      </x:c>
      <x:c r="R205" s="186" t="n">
        <x:f>P205-Q205</x:f>
        <x:v>15563</x:v>
      </x:c>
      <x:c r="S205" s="186" t="n">
        <x:v>31017</x:v>
      </x:c>
      <x:c r="T205" s="186" t="n">
        <x:v>16102</x:v>
      </x:c>
      <x:c r="U205" s="186" t="n">
        <x:f>S205-T205</x:f>
        <x:v>14915</x:v>
      </x:c>
      <x:c r="V205" s="196" t="n">
        <x:f>IFERROR(O205/F205,"")</x:f>
        <x:v>-0.027855441648545098</x:v>
      </x:c>
      <x:c r="W205" s="196" t="n">
        <x:f>IFERROR(I205/F205,"")</x:f>
        <x:v>-0.16620561448147655</x:v>
      </x:c>
    </x:row>
    <x:row r="206">
      <x:c r="A206" s="186" t="str">
        <x:v>Gold</x:v>
      </x:c>
      <x:c r="B206" s="187" t="n">
        <x:v>43088</x:v>
      </x:c>
      <x:c r="C206" s="187" t="n">
        <x:v>43091</x:v>
      </x:c>
      <x:c r="D206" s="186" t="str">
        <x:v>088691-GOLD</x:v>
      </x:c>
      <x:c r="E206" s="186" t="str">
        <x:v>GOLD - COMMODITY EXCHANGE INC.</x:v>
      </x:c>
      <x:c r="F206" s="186" t="n">
        <x:v>453595</x:v>
      </x:c>
      <x:c r="G206" s="186" t="n">
        <x:v>17300</x:v>
      </x:c>
      <x:c r="H206" s="186" t="n">
        <x:v>148160</x:v>
      </x:c>
      <x:c r="I206" s="186" t="n">
        <x:f>G206-H206</x:f>
        <x:v>-130860</x:v>
      </x:c>
      <x:c r="J206" s="186" t="n">
        <x:v>106269</x:v>
      </x:c>
      <x:c r="K206" s="186" t="n">
        <x:v>103626</x:v>
      </x:c>
      <x:c r="L206" s="186" t="n">
        <x:f>J206-K206</x:f>
        <x:v>2643</x:v>
      </x:c>
      <x:c r="M206" s="186" t="n">
        <x:v>116642</x:v>
      </x:c>
      <x:c r="N206" s="186" t="n">
        <x:v>35397</x:v>
      </x:c>
      <x:c r="O206" s="186" t="n">
        <x:f>M206-N206</x:f>
        <x:v>81245</x:v>
      </x:c>
      <x:c r="P206" s="186" t="n">
        <x:v>80831</x:v>
      </x:c>
      <x:c r="Q206" s="186" t="n">
        <x:v>48281</x:v>
      </x:c>
      <x:c r="R206" s="186" t="n">
        <x:f>P206-Q206</x:f>
        <x:v>32550</x:v>
      </x:c>
      <x:c r="S206" s="186" t="n">
        <x:v>43486</x:v>
      </x:c>
      <x:c r="T206" s="186" t="n">
        <x:v>29064</x:v>
      </x:c>
      <x:c r="U206" s="186" t="n">
        <x:f>S206-T206</x:f>
        <x:v>14422</x:v>
      </x:c>
      <x:c r="V206" s="196" t="n">
        <x:f>IFERROR(O206/F206,"")</x:f>
        <x:v>0.17911352638366826</x:v>
      </x:c>
      <x:c r="W206" s="196" t="n">
        <x:f>IFERROR(I206/F206,"")</x:f>
        <x:v>-0.288495243554272</x:v>
      </x:c>
    </x:row>
    <x:row r="207">
      <x:c r="A207" s="186" t="str">
        <x:v>Silver</x:v>
      </x:c>
      <x:c r="B207" s="187" t="n">
        <x:v>43088</x:v>
      </x:c>
      <x:c r="C207" s="187" t="n">
        <x:v>43091</x:v>
      </x:c>
      <x:c r="D207" s="186" t="str">
        <x:v>084691-SILVER</x:v>
      </x:c>
      <x:c r="E207" s="186" t="str">
        <x:v>SILVER - COMMODITY EXCHANGE INC.</x:v>
      </x:c>
      <x:c r="F207" s="186" t="n">
        <x:v>203703</x:v>
      </x:c>
      <x:c r="G207" s="186" t="n">
        <x:v>17007</x:v>
      </x:c>
      <x:c r="H207" s="186" t="n">
        <x:v>50388</x:v>
      </x:c>
      <x:c r="I207" s="186" t="n">
        <x:f>G207-H207</x:f>
        <x:v>-33381</x:v>
      </x:c>
      <x:c r="J207" s="186" t="n">
        <x:v>51735</x:v>
      </x:c>
      <x:c r="K207" s="186" t="n">
        <x:v>36975</x:v>
      </x:c>
      <x:c r="L207" s="186" t="n">
        <x:f>J207-K207</x:f>
        <x:v>14760</x:v>
      </x:c>
      <x:c r="M207" s="186" t="n">
        <x:v>46698</x:v>
      </x:c>
      <x:c r="N207" s="186" t="n">
        <x:v>61006</x:v>
      </x:c>
      <x:c r="O207" s="186" t="n">
        <x:f>M207-N207</x:f>
        <x:v>-14308</x:v>
      </x:c>
      <x:c r="P207" s="186" t="n">
        <x:v>30877</x:v>
      </x:c>
      <x:c r="Q207" s="186" t="n">
        <x:v>14100</x:v>
      </x:c>
      <x:c r="R207" s="186" t="n">
        <x:f>P207-Q207</x:f>
        <x:v>16777</x:v>
      </x:c>
      <x:c r="S207" s="186" t="n">
        <x:v>29874</x:v>
      </x:c>
      <x:c r="T207" s="186" t="n">
        <x:v>13722</x:v>
      </x:c>
      <x:c r="U207" s="186" t="n">
        <x:f>S207-T207</x:f>
        <x:v>16152</x:v>
      </x:c>
      <x:c r="V207" s="196" t="n">
        <x:f>IFERROR(O207/F207,"")</x:f>
        <x:v>-0.07023951537287129</x:v>
      </x:c>
      <x:c r="W207" s="196" t="n">
        <x:f>IFERROR(I207/F207,"")</x:f>
        <x:v>-0.16387092973593909</x:v>
      </x:c>
    </x:row>
    <x:row r="208">
      <x:c r="A208" s="186" t="str">
        <x:v>Gold</x:v>
      </x:c>
      <x:c r="B208" s="187" t="n">
        <x:v>43095</x:v>
      </x:c>
      <x:c r="C208" s="187" t="n">
        <x:v>43098</x:v>
      </x:c>
      <x:c r="D208" s="186" t="str">
        <x:v>088691-GOLD</x:v>
      </x:c>
      <x:c r="E208" s="186" t="str">
        <x:v>GOLD - COMMODITY EXCHANGE INC.</x:v>
      </x:c>
      <x:c r="F208" s="186" t="n">
        <x:v>456470</x:v>
      </x:c>
      <x:c r="G208" s="186" t="n">
        <x:v>19715</x:v>
      </x:c>
      <x:c r="H208" s="186" t="n">
        <x:v>161264</x:v>
      </x:c>
      <x:c r="I208" s="186" t="n">
        <x:f>G208-H208</x:f>
        <x:v>-141549</x:v>
      </x:c>
      <x:c r="J208" s="186" t="n">
        <x:v>105936</x:v>
      </x:c>
      <x:c r="K208" s="186" t="n">
        <x:v>113856</x:v>
      </x:c>
      <x:c r="L208" s="186" t="n">
        <x:f>J208-K208</x:f>
        <x:v>-7920</x:v>
      </x:c>
      <x:c r="M208" s="186" t="n">
        <x:v>127715</x:v>
      </x:c>
      <x:c r="N208" s="186" t="n">
        <x:v>19957</x:v>
      </x:c>
      <x:c r="O208" s="186" t="n">
        <x:f>M208-N208</x:f>
        <x:v>107758</x:v>
      </x:c>
      <x:c r="P208" s="186" t="n">
        <x:v>74875</x:v>
      </x:c>
      <x:c r="Q208" s="186" t="n">
        <x:v>46685</x:v>
      </x:c>
      <x:c r="R208" s="186" t="n">
        <x:f>P208-Q208</x:f>
        <x:v>28190</x:v>
      </x:c>
      <x:c r="S208" s="186" t="n">
        <x:v>40768</x:v>
      </x:c>
      <x:c r="T208" s="186" t="n">
        <x:v>27247</x:v>
      </x:c>
      <x:c r="U208" s="186" t="n">
        <x:f>S208-T208</x:f>
        <x:v>13521</x:v>
      </x:c>
      <x:c r="V208" s="196" t="n">
        <x:f>IFERROR(O208/F208,"")</x:f>
        <x:v>0.2360680877166079</x:v>
      </x:c>
      <x:c r="W208" s="196" t="n">
        <x:f>IFERROR(I208/F208,"")</x:f>
        <x:v>-0.31009485836966283</x:v>
      </x:c>
    </x:row>
    <x:row r="209">
      <x:c r="A209" s="186" t="str">
        <x:v>Silver</x:v>
      </x:c>
      <x:c r="B209" s="187" t="n">
        <x:v>43095</x:v>
      </x:c>
      <x:c r="C209" s="187" t="n">
        <x:v>43098</x:v>
      </x:c>
      <x:c r="D209" s="186" t="str">
        <x:v>084691-SILVER</x:v>
      </x:c>
      <x:c r="E209" s="186" t="str">
        <x:v>SILVER - COMMODITY EXCHANGE INC.</x:v>
      </x:c>
      <x:c r="F209" s="186" t="n">
        <x:v>200321</x:v>
      </x:c>
      <x:c r="G209" s="186" t="n">
        <x:v>17373</x:v>
      </x:c>
      <x:c r="H209" s="186" t="n">
        <x:v>50432</x:v>
      </x:c>
      <x:c r="I209" s="186" t="n">
        <x:f>G209-H209</x:f>
        <x:v>-33059</x:v>
      </x:c>
      <x:c r="J209" s="186" t="n">
        <x:v>50924</x:v>
      </x:c>
      <x:c r="K209" s="186" t="n">
        <x:v>38604</x:v>
      </x:c>
      <x:c r="L209" s="186" t="n">
        <x:f>J209-K209</x:f>
        <x:v>12320</x:v>
      </x:c>
      <x:c r="M209" s="186" t="n">
        <x:v>48483</x:v>
      </x:c>
      <x:c r="N209" s="186" t="n">
        <x:v>55670</x:v>
      </x:c>
      <x:c r="O209" s="186" t="n">
        <x:f>M209-N209</x:f>
        <x:v>-7187</x:v>
      </x:c>
      <x:c r="P209" s="186" t="n">
        <x:v>25530</x:v>
      </x:c>
      <x:c r="Q209" s="186" t="n">
        <x:v>13695</x:v>
      </x:c>
      <x:c r="R209" s="186" t="n">
        <x:f>P209-Q209</x:f>
        <x:v>11835</x:v>
      </x:c>
      <x:c r="S209" s="186" t="n">
        <x:v>29190</x:v>
      </x:c>
      <x:c r="T209" s="186" t="n">
        <x:v>13099</x:v>
      </x:c>
      <x:c r="U209" s="186" t="n">
        <x:f>S209-T209</x:f>
        <x:v>16091</x:v>
      </x:c>
      <x:c r="V209" s="196" t="n">
        <x:f>IFERROR(O209/F209,"")</x:f>
        <x:v>-0.03587741674612247</x:v>
      </x:c>
      <x:c r="W209" s="196" t="n">
        <x:f>IFERROR(I209/F209,"")</x:f>
        <x:v>-0.165030126646732</x:v>
      </x:c>
    </x:row>
    <x:row r="210">
      <x:c r="A210" s="186" t="str">
        <x:v>Gold</x:v>
      </x:c>
      <x:c r="B210" s="187" t="n">
        <x:v>43102</x:v>
      </x:c>
      <x:c r="C210" s="187" t="n">
        <x:v>43105</x:v>
      </x:c>
      <x:c r="D210" s="186" t="str">
        <x:v>088691-GOLD</x:v>
      </x:c>
      <x:c r="E210" s="186" t="str">
        <x:v>GOLD - COMMODITY EXCHANGE INC.</x:v>
      </x:c>
      <x:c r="F210" s="186" t="n">
        <x:v>500731</x:v>
      </x:c>
      <x:c r="G210" s="186" t="n">
        <x:v>22495</x:v>
      </x:c>
      <x:c r="H210" s="186" t="n">
        <x:v>180714</x:v>
      </x:c>
      <x:c r="I210" s="186" t="n">
        <x:f>G210-H210</x:f>
        <x:v>-158219</x:v>
      </x:c>
      <x:c r="J210" s="186" t="n">
        <x:v>108799</x:v>
      </x:c>
      <x:c r="K210" s="186" t="n">
        <x:v>128180</x:v>
      </x:c>
      <x:c r="L210" s="186" t="n">
        <x:f>J210-K210</x:f>
        <x:v>-19381</x:v>
      </x:c>
      <x:c r="M210" s="186" t="n">
        <x:v>168423</x:v>
      </x:c>
      <x:c r="N210" s="186" t="n">
        <x:v>20249</x:v>
      </x:c>
      <x:c r="O210" s="186" t="n">
        <x:f>M210-N210</x:f>
        <x:v>148174</x:v>
      </x:c>
      <x:c r="P210" s="186" t="n">
        <x:v>73005</x:v>
      </x:c>
      <x:c r="Q210" s="186" t="n">
        <x:v>57911</x:v>
      </x:c>
      <x:c r="R210" s="186" t="n">
        <x:f>P210-Q210</x:f>
        <x:v>15094</x:v>
      </x:c>
      <x:c r="S210" s="186" t="n">
        <x:v>44151</x:v>
      </x:c>
      <x:c r="T210" s="186" t="n">
        <x:v>29819</x:v>
      </x:c>
      <x:c r="U210" s="186" t="n">
        <x:f>S210-T210</x:f>
        <x:v>14332</x:v>
      </x:c>
      <x:c r="V210" s="196" t="n">
        <x:f>IFERROR(O210/F210,"")</x:f>
        <x:v>0.2959153717265358</x:v>
      </x:c>
      <x:c r="W210" s="196" t="n">
        <x:f>IFERROR(I210/F210,"")</x:f>
        <x:v>-0.3159760430250973</x:v>
      </x:c>
    </x:row>
    <x:row r="211">
      <x:c r="A211" s="186" t="str">
        <x:v>Silver</x:v>
      </x:c>
      <x:c r="B211" s="187" t="n">
        <x:v>43102</x:v>
      </x:c>
      <x:c r="C211" s="187" t="n">
        <x:v>43105</x:v>
      </x:c>
      <x:c r="D211" s="186" t="str">
        <x:v>084691-SILVER</x:v>
      </x:c>
      <x:c r="E211" s="186" t="str">
        <x:v>SILVER - COMMODITY EXCHANGE INC.</x:v>
      </x:c>
      <x:c r="F211" s="186" t="n">
        <x:v>192423</x:v>
      </x:c>
      <x:c r="G211" s="186" t="n">
        <x:v>16373</x:v>
      </x:c>
      <x:c r="H211" s="186" t="n">
        <x:v>57311</x:v>
      </x:c>
      <x:c r="I211" s="186" t="n">
        <x:f>G211-H211</x:f>
        <x:v>-40938</x:v>
      </x:c>
      <x:c r="J211" s="186" t="n">
        <x:v>47346</x:v>
      </x:c>
      <x:c r="K211" s="186" t="n">
        <x:v>43600</x:v>
      </x:c>
      <x:c r="L211" s="186" t="n">
        <x:f>J211-K211</x:f>
        <x:v>3746</x:v>
      </x:c>
      <x:c r="M211" s="186" t="n">
        <x:v>54304</x:v>
      </x:c>
      <x:c r="N211" s="186" t="n">
        <x:v>38501</x:v>
      </x:c>
      <x:c r="O211" s="186" t="n">
        <x:f>M211-N211</x:f>
        <x:v>15803</x:v>
      </x:c>
      <x:c r="P211" s="186" t="n">
        <x:v>20823</x:v>
      </x:c>
      <x:c r="Q211" s="186" t="n">
        <x:v>13876</x:v>
      </x:c>
      <x:c r="R211" s="186" t="n">
        <x:f>P211-Q211</x:f>
        <x:v>6947</x:v>
      </x:c>
      <x:c r="S211" s="186" t="n">
        <x:v>26216</x:v>
      </x:c>
      <x:c r="T211" s="186" t="n">
        <x:v>11774</x:v>
      </x:c>
      <x:c r="U211" s="186" t="n">
        <x:f>S211-T211</x:f>
        <x:v>14442</x:v>
      </x:c>
      <x:c r="V211" s="196" t="n">
        <x:f>IFERROR(O211/F211,"")</x:f>
        <x:v>0.08212635703632103</x:v>
      </x:c>
      <x:c r="W211" s="196" t="n">
        <x:f>IFERROR(I211/F211,"")</x:f>
        <x:v>-0.21275003507896664</x:v>
      </x:c>
    </x:row>
    <x:row r="212">
      <x:c r="A212" s="186" t="str">
        <x:v>Gold</x:v>
      </x:c>
      <x:c r="B212" s="187" t="n">
        <x:v>43109</x:v>
      </x:c>
      <x:c r="C212" s="187" t="n">
        <x:v>43112</x:v>
      </x:c>
      <x:c r="D212" s="186" t="str">
        <x:v>088691-GOLD</x:v>
      </x:c>
      <x:c r="E212" s="186" t="str">
        <x:v>GOLD - COMMODITY EXCHANGE INC.</x:v>
      </x:c>
      <x:c r="F212" s="186" t="n">
        <x:v>555455</x:v>
      </x:c>
      <x:c r="G212" s="186" t="n">
        <x:v>21117</x:v>
      </x:c>
      <x:c r="H212" s="186" t="n">
        <x:v>198371</x:v>
      </x:c>
      <x:c r="I212" s="186" t="n">
        <x:f>G212-H212</x:f>
        <x:v>-177254</x:v>
      </x:c>
      <x:c r="J212" s="186" t="n">
        <x:v>105725</x:v>
      </x:c>
      <x:c r="K212" s="186" t="n">
        <x:v>148742</x:v>
      </x:c>
      <x:c r="L212" s="186" t="n">
        <x:f>J212-K212</x:f>
        <x:v>-43017</x:v>
      </x:c>
      <x:c r="M212" s="186" t="n">
        <x:v>216115</x:v>
      </x:c>
      <x:c r="N212" s="186" t="n">
        <x:v>20065</x:v>
      </x:c>
      <x:c r="O212" s="186" t="n">
        <x:f>M212-N212</x:f>
        <x:v>196050</x:v>
      </x:c>
      <x:c r="P212" s="186" t="n">
        <x:v>73046</x:v>
      </x:c>
      <x:c r="Q212" s="186" t="n">
        <x:v>65808</x:v>
      </x:c>
      <x:c r="R212" s="186" t="n">
        <x:f>P212-Q212</x:f>
        <x:v>7238</x:v>
      </x:c>
      <x:c r="S212" s="186" t="n">
        <x:v>46925</x:v>
      </x:c>
      <x:c r="T212" s="186" t="n">
        <x:v>29942</x:v>
      </x:c>
      <x:c r="U212" s="186" t="n">
        <x:f>S212-T212</x:f>
        <x:v>16983</x:v>
      </x:c>
      <x:c r="V212" s="196" t="n">
        <x:f>IFERROR(O212/F212,"")</x:f>
        <x:v>0.3529538846531222</x:v>
      </x:c>
      <x:c r="W212" s="196" t="n">
        <x:f>IFERROR(I212/F212,"")</x:f>
        <x:v>-0.3191149598077252</x:v>
      </x:c>
    </x:row>
    <x:row r="213">
      <x:c r="A213" s="186" t="str">
        <x:v>Silver</x:v>
      </x:c>
      <x:c r="B213" s="187" t="n">
        <x:v>43109</x:v>
      </x:c>
      <x:c r="C213" s="187" t="n">
        <x:v>43112</x:v>
      </x:c>
      <x:c r="D213" s="186" t="str">
        <x:v>084691-SILVER</x:v>
      </x:c>
      <x:c r="E213" s="186" t="str">
        <x:v>SILVER - COMMODITY EXCHANGE INC.</x:v>
      </x:c>
      <x:c r="F213" s="186" t="n">
        <x:v>195009</x:v>
      </x:c>
      <x:c r="G213" s="186" t="n">
        <x:v>16449</x:v>
      </x:c>
      <x:c r="H213" s="186" t="n">
        <x:v>61212</x:v>
      </x:c>
      <x:c r="I213" s="186" t="n">
        <x:f>G213-H213</x:f>
        <x:v>-44763</x:v>
      </x:c>
      <x:c r="J213" s="186" t="n">
        <x:v>45539</x:v>
      </x:c>
      <x:c r="K213" s="186" t="n">
        <x:v>50718</x:v>
      </x:c>
      <x:c r="L213" s="186" t="n">
        <x:f>J213-K213</x:f>
        <x:v>-5179</x:v>
      </x:c>
      <x:c r="M213" s="186" t="n">
        <x:v>66224</x:v>
      </x:c>
      <x:c r="N213" s="186" t="n">
        <x:v>28122</x:v>
      </x:c>
      <x:c r="O213" s="186" t="n">
        <x:f>M213-N213</x:f>
        <x:v>38102</x:v>
      </x:c>
      <x:c r="P213" s="186" t="n">
        <x:v>18089</x:v>
      </x:c>
      <x:c r="Q213" s="186" t="n">
        <x:v>18156</x:v>
      </x:c>
      <x:c r="R213" s="186" t="n">
        <x:f>P213-Q213</x:f>
        <x:v>-67</x:v>
      </x:c>
      <x:c r="S213" s="186" t="n">
        <x:v>25069</x:v>
      </x:c>
      <x:c r="T213" s="186" t="n">
        <x:v>13162</x:v>
      </x:c>
      <x:c r="U213" s="186" t="n">
        <x:f>S213-T213</x:f>
        <x:v>11907</x:v>
      </x:c>
      <x:c r="V213" s="196" t="n">
        <x:f>IFERROR(O213/F213,"")</x:f>
        <x:v>0.19538585398622627</x:v>
      </x:c>
      <x:c r="W213" s="196" t="n">
        <x:f>IFERROR(I213/F213,"")</x:f>
        <x:v>-0.22954325184991461</x:v>
      </x:c>
    </x:row>
    <x:row r="214">
      <x:c r="A214" s="186" t="str">
        <x:v>Gold</x:v>
      </x:c>
      <x:c r="B214" s="187" t="n">
        <x:v>43116</x:v>
      </x:c>
      <x:c r="C214" s="187" t="n">
        <x:v>43119</x:v>
      </x:c>
      <x:c r="D214" s="186" t="str">
        <x:v>088691-GOLD</x:v>
      </x:c>
      <x:c r="E214" s="186" t="str">
        <x:v>GOLD - COMMODITY EXCHANGE INC.</x:v>
      </x:c>
      <x:c r="F214" s="186" t="n">
        <x:v>582333</x:v>
      </x:c>
      <x:c r="G214" s="186" t="n">
        <x:v>22861</x:v>
      </x:c>
      <x:c r="H214" s="186" t="n">
        <x:v>212879</x:v>
      </x:c>
      <x:c r="I214" s="186" t="n">
        <x:f>G214-H214</x:f>
        <x:v>-190018</x:v>
      </x:c>
      <x:c r="J214" s="186" t="n">
        <x:v>108318</x:v>
      </x:c>
      <x:c r="K214" s="186" t="n">
        <x:v>150807</x:v>
      </x:c>
      <x:c r="L214" s="186" t="n">
        <x:f>J214-K214</x:f>
        <x:v>-42489</x:v>
      </x:c>
      <x:c r="M214" s="186" t="n">
        <x:v>227373</x:v>
      </x:c>
      <x:c r="N214" s="186" t="n">
        <x:v>25841</x:v>
      </x:c>
      <x:c r="O214" s="186" t="n">
        <x:f>M214-N214</x:f>
        <x:v>201532</x:v>
      </x:c>
      <x:c r="P214" s="186" t="n">
        <x:v>74490</x:v>
      </x:c>
      <x:c r="Q214" s="186" t="n">
        <x:v>64311</x:v>
      </x:c>
      <x:c r="R214" s="186" t="n">
        <x:f>P214-Q214</x:f>
        <x:v>10179</x:v>
      </x:c>
      <x:c r="S214" s="186" t="n">
        <x:v>49098</x:v>
      </x:c>
      <x:c r="T214" s="186" t="n">
        <x:v>28302</x:v>
      </x:c>
      <x:c r="U214" s="186" t="n">
        <x:f>S214-T214</x:f>
        <x:v>20796</x:v>
      </x:c>
      <x:c r="V214" s="196" t="n">
        <x:f>IFERROR(O214/F214,"")</x:f>
        <x:v>0.34607690101711563</x:v>
      </x:c>
      <x:c r="W214" s="196" t="n">
        <x:f>IFERROR(I214/F214,"")</x:f>
        <x:v>-0.326304708817807</x:v>
      </x:c>
    </x:row>
    <x:row r="215">
      <x:c r="A215" s="186" t="str">
        <x:v>Silver</x:v>
      </x:c>
      <x:c r="B215" s="187" t="n">
        <x:v>43116</x:v>
      </x:c>
      <x:c r="C215" s="187" t="n">
        <x:v>43119</x:v>
      </x:c>
      <x:c r="D215" s="186" t="str">
        <x:v>084691-SILVER</x:v>
      </x:c>
      <x:c r="E215" s="186" t="str">
        <x:v>SILVER - COMMODITY EXCHANGE INC.</x:v>
      </x:c>
      <x:c r="F215" s="186" t="n">
        <x:v>196511</x:v>
      </x:c>
      <x:c r="G215" s="186" t="n">
        <x:v>16309</x:v>
      </x:c>
      <x:c r="H215" s="186" t="n">
        <x:v>61319</x:v>
      </x:c>
      <x:c r="I215" s="186" t="n">
        <x:f>G215-H215</x:f>
        <x:v>-45010</x:v>
      </x:c>
      <x:c r="J215" s="186" t="n">
        <x:v>45353</x:v>
      </x:c>
      <x:c r="K215" s="186" t="n">
        <x:v>50486</x:v>
      </x:c>
      <x:c r="L215" s="186" t="n">
        <x:f>J215-K215</x:f>
        <x:v>-5133</x:v>
      </x:c>
      <x:c r="M215" s="186" t="n">
        <x:v>59906</x:v>
      </x:c>
      <x:c r="N215" s="186" t="n">
        <x:v>26472</x:v>
      </x:c>
      <x:c r="O215" s="186" t="n">
        <x:f>M215-N215</x:f>
        <x:v>33434</x:v>
      </x:c>
      <x:c r="P215" s="186" t="n">
        <x:v>19960</x:v>
      </x:c>
      <x:c r="Q215" s="186" t="n">
        <x:v>16182</x:v>
      </x:c>
      <x:c r="R215" s="186" t="n">
        <x:f>P215-Q215</x:f>
        <x:v>3778</x:v>
      </x:c>
      <x:c r="S215" s="186" t="n">
        <x:v>26587</x:v>
      </x:c>
      <x:c r="T215" s="186" t="n">
        <x:v>13656</x:v>
      </x:c>
      <x:c r="U215" s="186" t="n">
        <x:f>S215-T215</x:f>
        <x:v>12931</x:v>
      </x:c>
      <x:c r="V215" s="196" t="n">
        <x:f>IFERROR(O215/F215,"")</x:f>
        <x:v>0.17013805842929913</x:v>
      </x:c>
      <x:c r="W215" s="196" t="n">
        <x:f>IFERROR(I215/F215,"")</x:f>
        <x:v>-0.22904570227620846</x:v>
      </x:c>
    </x:row>
    <x:row r="216">
      <x:c r="A216" s="186" t="str">
        <x:v>Gold</x:v>
      </x:c>
      <x:c r="B216" s="187" t="n">
        <x:v>43123</x:v>
      </x:c>
      <x:c r="C216" s="187" t="n">
        <x:v>43126</x:v>
      </x:c>
      <x:c r="D216" s="186" t="str">
        <x:v>088691-GOLD</x:v>
      </x:c>
      <x:c r="E216" s="186" t="str">
        <x:v>GOLD - COMMODITY EXCHANGE INC.</x:v>
      </x:c>
      <x:c r="F216" s="186" t="n">
        <x:v>582421</x:v>
      </x:c>
      <x:c r="G216" s="186" t="n">
        <x:v>23933</x:v>
      </x:c>
      <x:c r="H216" s="186" t="n">
        <x:v>217184</x:v>
      </x:c>
      <x:c r="I216" s="186" t="n">
        <x:f>G216-H216</x:f>
        <x:v>-193251</x:v>
      </x:c>
      <x:c r="J216" s="186" t="n">
        <x:v>109160</x:v>
      </x:c>
      <x:c r="K216" s="186" t="n">
        <x:v>150461</x:v>
      </x:c>
      <x:c r="L216" s="186" t="n">
        <x:f>J216-K216</x:f>
        <x:v>-41301</x:v>
      </x:c>
      <x:c r="M216" s="186" t="n">
        <x:v>236003</x:v>
      </x:c>
      <x:c r="N216" s="186" t="n">
        <x:v>26467</x:v>
      </x:c>
      <x:c r="O216" s="186" t="n">
        <x:f>M216-N216</x:f>
        <x:v>209536</x:v>
      </x:c>
      <x:c r="P216" s="186" t="n">
        <x:v>69809</x:v>
      </x:c>
      <x:c r="Q216" s="186" t="n">
        <x:v>64661</x:v>
      </x:c>
      <x:c r="R216" s="186" t="n">
        <x:f>P216-Q216</x:f>
        <x:v>5148</x:v>
      </x:c>
      <x:c r="S216" s="186" t="n">
        <x:v>50628</x:v>
      </x:c>
      <x:c r="T216" s="186" t="n">
        <x:v>30760</x:v>
      </x:c>
      <x:c r="U216" s="186" t="n">
        <x:f>S216-T216</x:f>
        <x:v>19868</x:v>
      </x:c>
      <x:c r="V216" s="196" t="n">
        <x:f>IFERROR(O216/F216,"")</x:f>
        <x:v>0.3597672474035105</x:v>
      </x:c>
      <x:c r="W216" s="196" t="n">
        <x:f>IFERROR(I216/F216,"")</x:f>
        <x:v>-0.33180637373995786</x:v>
      </x:c>
    </x:row>
    <x:row r="217">
      <x:c r="A217" s="186" t="str">
        <x:v>Silver</x:v>
      </x:c>
      <x:c r="B217" s="187" t="n">
        <x:v>43123</x:v>
      </x:c>
      <x:c r="C217" s="187" t="n">
        <x:v>43126</x:v>
      </x:c>
      <x:c r="D217" s="186" t="str">
        <x:v>084691-SILVER</x:v>
      </x:c>
      <x:c r="E217" s="186" t="str">
        <x:v>SILVER - COMMODITY EXCHANGE INC.</x:v>
      </x:c>
      <x:c r="F217" s="186" t="n">
        <x:v>199985</x:v>
      </x:c>
      <x:c r="G217" s="186" t="n">
        <x:v>18796</x:v>
      </x:c>
      <x:c r="H217" s="186" t="n">
        <x:v>60912</x:v>
      </x:c>
      <x:c r="I217" s="186" t="n">
        <x:f>G217-H217</x:f>
        <x:v>-42116</x:v>
      </x:c>
      <x:c r="J217" s="186" t="n">
        <x:v>44912</x:v>
      </x:c>
      <x:c r="K217" s="186" t="n">
        <x:v>44293</x:v>
      </x:c>
      <x:c r="L217" s="186" t="n">
        <x:f>J217-K217</x:f>
        <x:v>619</x:v>
      </x:c>
      <x:c r="M217" s="186" t="n">
        <x:v>53714</x:v>
      </x:c>
      <x:c r="N217" s="186" t="n">
        <x:v>30117</x:v>
      </x:c>
      <x:c r="O217" s="186" t="n">
        <x:f>M217-N217</x:f>
        <x:v>23597</x:v>
      </x:c>
      <x:c r="P217" s="186" t="n">
        <x:v>22479</x:v>
      </x:c>
      <x:c r="Q217" s="186" t="n">
        <x:v>16995</x:v>
      </x:c>
      <x:c r="R217" s="186" t="n">
        <x:f>P217-Q217</x:f>
        <x:v>5484</x:v>
      </x:c>
      <x:c r="S217" s="186" t="n">
        <x:v>27090</x:v>
      </x:c>
      <x:c r="T217" s="186" t="n">
        <x:v>14674</x:v>
      </x:c>
      <x:c r="U217" s="186" t="n">
        <x:f>S217-T217</x:f>
        <x:v>12416</x:v>
      </x:c>
      <x:c r="V217" s="196" t="n">
        <x:f>IFERROR(O217/F217,"")</x:f>
        <x:v>0.1179938495387154</x:v>
      </x:c>
      <x:c r="W217" s="196" t="n">
        <x:f>IFERROR(I217/F217,"")</x:f>
        <x:v>-0.21059579468460135</x:v>
      </x:c>
    </x:row>
    <x:row r="218">
      <x:c r="A218" s="186" t="str">
        <x:v>Gold</x:v>
      </x:c>
      <x:c r="B218" s="187" t="n">
        <x:v>43130</x:v>
      </x:c>
      <x:c r="C218" s="187" t="n">
        <x:v>43133</x:v>
      </x:c>
      <x:c r="D218" s="186" t="str">
        <x:v>088691-GOLD</x:v>
      </x:c>
      <x:c r="E218" s="186" t="str">
        <x:v>GOLD - COMMODITY EXCHANGE INC.</x:v>
      </x:c>
      <x:c r="F218" s="186" t="n">
        <x:v>559332</x:v>
      </x:c>
      <x:c r="G218" s="186" t="n">
        <x:v>22684</x:v>
      </x:c>
      <x:c r="H218" s="186" t="n">
        <x:v>209619</x:v>
      </x:c>
      <x:c r="I218" s="186" t="n">
        <x:f>G218-H218</x:f>
        <x:v>-186935</x:v>
      </x:c>
      <x:c r="J218" s="186" t="n">
        <x:v>106587</x:v>
      </x:c>
      <x:c r="K218" s="186" t="n">
        <x:v>144728</x:v>
      </x:c>
      <x:c r="L218" s="186" t="n">
        <x:f>J218-K218</x:f>
        <x:v>-38141</x:v>
      </x:c>
      <x:c r="M218" s="186" t="n">
        <x:v>230597</x:v>
      </x:c>
      <x:c r="N218" s="186" t="n">
        <x:v>23035</x:v>
      </x:c>
      <x:c r="O218" s="186" t="n">
        <x:f>M218-N218</x:f>
        <x:v>207562</x:v>
      </x:c>
      <x:c r="P218" s="186" t="n">
        <x:v>67730</x:v>
      </x:c>
      <x:c r="Q218" s="186" t="n">
        <x:v>68030</x:v>
      </x:c>
      <x:c r="R218" s="186" t="n">
        <x:f>P218-Q218</x:f>
        <x:v>-300</x:v>
      </x:c>
      <x:c r="S218" s="186" t="n">
        <x:v>48667</x:v>
      </x:c>
      <x:c r="T218" s="186" t="n">
        <x:v>30853</x:v>
      </x:c>
      <x:c r="U218" s="186" t="n">
        <x:f>S218-T218</x:f>
        <x:v>17814</x:v>
      </x:c>
      <x:c r="V218" s="196" t="n">
        <x:f>IFERROR(O218/F218,"")</x:f>
        <x:v>0.3710890848369126</x:v>
      </x:c>
      <x:c r="W218" s="196" t="n">
        <x:f>IFERROR(I218/F218,"")</x:f>
        <x:v>-0.3342111661767966</x:v>
      </x:c>
    </x:row>
    <x:row r="219">
      <x:c r="A219" s="186" t="str">
        <x:v>Silver</x:v>
      </x:c>
      <x:c r="B219" s="187" t="n">
        <x:v>43130</x:v>
      </x:c>
      <x:c r="C219" s="187" t="n">
        <x:v>43133</x:v>
      </x:c>
      <x:c r="D219" s="186" t="str">
        <x:v>084691-SILVER</x:v>
      </x:c>
      <x:c r="E219" s="186" t="str">
        <x:v>SILVER - COMMODITY EXCHANGE INC.</x:v>
      </x:c>
      <x:c r="F219" s="186" t="n">
        <x:v>198358</x:v>
      </x:c>
      <x:c r="G219" s="186" t="n">
        <x:v>16784</x:v>
      </x:c>
      <x:c r="H219" s="186" t="n">
        <x:v>63552</x:v>
      </x:c>
      <x:c r="I219" s="186" t="n">
        <x:f>G219-H219</x:f>
        <x:v>-46768</x:v>
      </x:c>
      <x:c r="J219" s="186" t="n">
        <x:v>44836</x:v>
      </x:c>
      <x:c r="K219" s="186" t="n">
        <x:v>45359</x:v>
      </x:c>
      <x:c r="L219" s="186" t="n">
        <x:f>J219-K219</x:f>
        <x:v>-523</x:v>
      </x:c>
      <x:c r="M219" s="186" t="n">
        <x:v>49982</x:v>
      </x:c>
      <x:c r="N219" s="186" t="n">
        <x:v>23555</x:v>
      </x:c>
      <x:c r="O219" s="186" t="n">
        <x:f>M219-N219</x:f>
        <x:v>26427</x:v>
      </x:c>
      <x:c r="P219" s="186" t="n">
        <x:v>22163</x:v>
      </x:c>
      <x:c r="Q219" s="186" t="n">
        <x:v>16168</x:v>
      </x:c>
      <x:c r="R219" s="186" t="n">
        <x:f>P219-Q219</x:f>
        <x:v>5995</x:v>
      </x:c>
      <x:c r="S219" s="186" t="n">
        <x:v>27334</x:v>
      </x:c>
      <x:c r="T219" s="186" t="n">
        <x:v>12465</x:v>
      </x:c>
      <x:c r="U219" s="186" t="n">
        <x:f>S219-T219</x:f>
        <x:v>14869</x:v>
      </x:c>
      <x:c r="V219" s="196" t="n">
        <x:f>IFERROR(O219/F219,"")</x:f>
        <x:v>0.13322880851793223</x:v>
      </x:c>
      <x:c r="W219" s="196" t="n">
        <x:f>IFERROR(I219/F219,"")</x:f>
        <x:v>-0.23577571865011746</x:v>
      </x:c>
    </x:row>
    <x:row r="220">
      <x:c r="A220" s="186" t="str">
        <x:v>Gold</x:v>
      </x:c>
      <x:c r="B220" s="187" t="n">
        <x:v>43137</x:v>
      </x:c>
      <x:c r="C220" s="187" t="n">
        <x:v>43140</x:v>
      </x:c>
      <x:c r="D220" s="186" t="str">
        <x:v>088691-GOLD</x:v>
      </x:c>
      <x:c r="E220" s="186" t="str">
        <x:v>GOLD - COMMODITY EXCHANGE INC.</x:v>
      </x:c>
      <x:c r="F220" s="186" t="n">
        <x:v>535321</x:v>
      </x:c>
      <x:c r="G220" s="186" t="n">
        <x:v>26595</x:v>
      </x:c>
      <x:c r="H220" s="186" t="n">
        <x:v>202225</x:v>
      </x:c>
      <x:c r="I220" s="186" t="n">
        <x:f>G220-H220</x:f>
        <x:v>-175630</x:v>
      </x:c>
      <x:c r="J220" s="186" t="n">
        <x:v>104742</x:v>
      </x:c>
      <x:c r="K220" s="186" t="n">
        <x:v>134563</x:v>
      </x:c>
      <x:c r="L220" s="186" t="n">
        <x:f>J220-K220</x:f>
        <x:v>-29821</x:v>
      </x:c>
      <x:c r="M220" s="186" t="n">
        <x:v>206377</x:v>
      </x:c>
      <x:c r="N220" s="186" t="n">
        <x:v>23448</x:v>
      </x:c>
      <x:c r="O220" s="186" t="n">
        <x:f>M220-N220</x:f>
        <x:v>182929</x:v>
      </x:c>
      <x:c r="P220" s="186" t="n">
        <x:v>67451</x:v>
      </x:c>
      <x:c r="Q220" s="186" t="n">
        <x:v>59503</x:v>
      </x:c>
      <x:c r="R220" s="186" t="n">
        <x:f>P220-Q220</x:f>
        <x:v>7948</x:v>
      </x:c>
      <x:c r="S220" s="186" t="n">
        <x:v>42286</x:v>
      </x:c>
      <x:c r="T220" s="186" t="n">
        <x:v>27712</x:v>
      </x:c>
      <x:c r="U220" s="186" t="n">
        <x:f>S220-T220</x:f>
        <x:v>14574</x:v>
      </x:c>
      <x:c r="V220" s="196" t="n">
        <x:f>IFERROR(O220/F220,"")</x:f>
        <x:v>0.34171833348588976</x:v>
      </x:c>
      <x:c r="W220" s="196" t="n">
        <x:f>IFERROR(I220/F220,"")</x:f>
        <x:v>-0.3280835237175452</x:v>
      </x:c>
    </x:row>
    <x:row r="221">
      <x:c r="A221" s="186" t="str">
        <x:v>Silver</x:v>
      </x:c>
      <x:c r="B221" s="187" t="n">
        <x:v>43137</x:v>
      </x:c>
      <x:c r="C221" s="187" t="n">
        <x:v>43140</x:v>
      </x:c>
      <x:c r="D221" s="186" t="str">
        <x:v>084691-SILVER</x:v>
      </x:c>
      <x:c r="E221" s="186" t="str">
        <x:v>SILVER - COMMODITY EXCHANGE INC.</x:v>
      </x:c>
      <x:c r="F221" s="186" t="n">
        <x:v>205470</x:v>
      </x:c>
      <x:c r="G221" s="186" t="n">
        <x:v>22167</x:v>
      </x:c>
      <x:c r="H221" s="186" t="n">
        <x:v>59436</x:v>
      </x:c>
      <x:c r="I221" s="186" t="n">
        <x:f>G221-H221</x:f>
        <x:v>-37269</x:v>
      </x:c>
      <x:c r="J221" s="186" t="n">
        <x:v>44694</x:v>
      </x:c>
      <x:c r="K221" s="186" t="n">
        <x:v>38066</x:v>
      </x:c>
      <x:c r="L221" s="186" t="n">
        <x:f>J221-K221</x:f>
        <x:v>6628</x:v>
      </x:c>
      <x:c r="M221" s="186" t="n">
        <x:v>38367</x:v>
      </x:c>
      <x:c r="N221" s="186" t="n">
        <x:v>35349</x:v>
      </x:c>
      <x:c r="O221" s="186" t="n">
        <x:f>M221-N221</x:f>
        <x:v>3018</x:v>
      </x:c>
      <x:c r="P221" s="186" t="n">
        <x:v>25362</x:v>
      </x:c>
      <x:c r="Q221" s="186" t="n">
        <x:v>11840</x:v>
      </x:c>
      <x:c r="R221" s="186" t="n">
        <x:f>P221-Q221</x:f>
        <x:v>13522</x:v>
      </x:c>
      <x:c r="S221" s="186" t="n">
        <x:v>27754</x:v>
      </x:c>
      <x:c r="T221" s="186" t="n">
        <x:v>13653</x:v>
      </x:c>
      <x:c r="U221" s="186" t="n">
        <x:f>S221-T221</x:f>
        <x:v>14101</x:v>
      </x:c>
      <x:c r="V221" s="196" t="n">
        <x:f>IFERROR(O221/F221,"")</x:f>
        <x:v>0.014688275660680391</x:v>
      </x:c>
      <x:c r="W221" s="196" t="n">
        <x:f>IFERROR(I221/F221,"")</x:f>
        <x:v>-0.18138414367060884</x:v>
      </x:c>
    </x:row>
    <x:row r="222">
      <x:c r="A222" s="186" t="str">
        <x:v>Gold</x:v>
      </x:c>
      <x:c r="B222" s="187" t="n">
        <x:v>43144</x:v>
      </x:c>
      <x:c r="C222" s="187" t="n">
        <x:v>43147</x:v>
      </x:c>
      <x:c r="D222" s="186" t="str">
        <x:v>088691-GOLD</x:v>
      </x:c>
      <x:c r="E222" s="186" t="str">
        <x:v>GOLD - COMMODITY EXCHANGE INC.</x:v>
      </x:c>
      <x:c r="F222" s="186" t="n">
        <x:v>511745</x:v>
      </x:c>
      <x:c r="G222" s="186" t="n">
        <x:v>22749</x:v>
      </x:c>
      <x:c r="H222" s="186" t="n">
        <x:v>194149</x:v>
      </x:c>
      <x:c r="I222" s="186" t="n">
        <x:f>G222-H222</x:f>
        <x:v>-171400</x:v>
      </x:c>
      <x:c r="J222" s="186" t="n">
        <x:v>98254</x:v>
      </x:c>
      <x:c r="K222" s="186" t="n">
        <x:v>121390</x:v>
      </x:c>
      <x:c r="L222" s="186" t="n">
        <x:f>J222-K222</x:f>
        <x:v>-23136</x:v>
      </x:c>
      <x:c r="M222" s="186" t="n">
        <x:v>186183</x:v>
      </x:c>
      <x:c r="N222" s="186" t="n">
        <x:v>16426</x:v>
      </x:c>
      <x:c r="O222" s="186" t="n">
        <x:f>M222-N222</x:f>
        <x:v>169757</x:v>
      </x:c>
      <x:c r="P222" s="186" t="n">
        <x:v>65677</x:v>
      </x:c>
      <x:c r="Q222" s="186" t="n">
        <x:v>59828</x:v>
      </x:c>
      <x:c r="R222" s="186" t="n">
        <x:f>P222-Q222</x:f>
        <x:v>5849</x:v>
      </x:c>
      <x:c r="S222" s="186" t="n">
        <x:v>44796</x:v>
      </x:c>
      <x:c r="T222" s="186" t="n">
        <x:v>25866</x:v>
      </x:c>
      <x:c r="U222" s="186" t="n">
        <x:f>S222-T222</x:f>
        <x:v>18930</x:v>
      </x:c>
      <x:c r="V222" s="196" t="n">
        <x:f>IFERROR(O222/F222,"")</x:f>
        <x:v>0.3317218536575834</x:v>
      </x:c>
      <x:c r="W222" s="196" t="n">
        <x:f>IFERROR(I222/F222,"")</x:f>
        <x:v>-0.3349324370536107</x:v>
      </x:c>
    </x:row>
    <x:row r="223">
      <x:c r="A223" s="186" t="str">
        <x:v>Silver</x:v>
      </x:c>
      <x:c r="B223" s="187" t="n">
        <x:v>43144</x:v>
      </x:c>
      <x:c r="C223" s="187" t="n">
        <x:v>43147</x:v>
      </x:c>
      <x:c r="D223" s="186" t="str">
        <x:v>084691-SILVER</x:v>
      </x:c>
      <x:c r="E223" s="186" t="str">
        <x:v>SILVER - COMMODITY EXCHANGE INC.</x:v>
      </x:c>
      <x:c r="F223" s="186" t="n">
        <x:v>194056</x:v>
      </x:c>
      <x:c r="G223" s="186" t="n">
        <x:v>21245</x:v>
      </x:c>
      <x:c r="H223" s="186" t="n">
        <x:v>58386</x:v>
      </x:c>
      <x:c r="I223" s="186" t="n">
        <x:f>G223-H223</x:f>
        <x:v>-37141</x:v>
      </x:c>
      <x:c r="J223" s="186" t="n">
        <x:v>45688</x:v>
      </x:c>
      <x:c r="K223" s="186" t="n">
        <x:v>30495</x:v>
      </x:c>
      <x:c r="L223" s="186" t="n">
        <x:f>J223-K223</x:f>
        <x:v>15193</x:v>
      </x:c>
      <x:c r="M223" s="186" t="n">
        <x:v>37481</x:v>
      </x:c>
      <x:c r="N223" s="186" t="n">
        <x:v>45771</x:v>
      </x:c>
      <x:c r="O223" s="186" t="n">
        <x:f>M223-N223</x:f>
        <x:v>-8290</x:v>
      </x:c>
      <x:c r="P223" s="186" t="n">
        <x:v>27335</x:v>
      </x:c>
      <x:c r="Q223" s="186" t="n">
        <x:v>10334</x:v>
      </x:c>
      <x:c r="R223" s="186" t="n">
        <x:f>P223-Q223</x:f>
        <x:v>17001</x:v>
      </x:c>
      <x:c r="S223" s="186" t="n">
        <x:v>28275</x:v>
      </x:c>
      <x:c r="T223" s="186" t="n">
        <x:v>15038</x:v>
      </x:c>
      <x:c r="U223" s="186" t="n">
        <x:f>S223-T223</x:f>
        <x:v>13237</x:v>
      </x:c>
      <x:c r="V223" s="196" t="n">
        <x:f>IFERROR(O223/F223,"")</x:f>
        <x:v>-0.042719627324071405</x:v>
      </x:c>
      <x:c r="W223" s="196" t="n">
        <x:f>IFERROR(I223/F223,"")</x:f>
        <x:v>-0.19139320608484148</x:v>
      </x:c>
    </x:row>
    <x:row r="224">
      <x:c r="A224" s="186" t="str">
        <x:v>Gold</x:v>
      </x:c>
      <x:c r="B224" s="187" t="n">
        <x:v>43151</x:v>
      </x:c>
      <x:c r="C224" s="187" t="n">
        <x:v>43154</x:v>
      </x:c>
      <x:c r="D224" s="186" t="str">
        <x:v>088691-GOLD</x:v>
      </x:c>
      <x:c r="E224" s="186" t="str">
        <x:v>GOLD - COMMODITY EXCHANGE INC.</x:v>
      </x:c>
      <x:c r="F224" s="186" t="n">
        <x:v>528154</x:v>
      </x:c>
      <x:c r="G224" s="186" t="n">
        <x:v>30967</x:v>
      </x:c>
      <x:c r="H224" s="186" t="n">
        <x:v>207285</x:v>
      </x:c>
      <x:c r="I224" s="186" t="n">
        <x:f>G224-H224</x:f>
        <x:v>-176318</x:v>
      </x:c>
      <x:c r="J224" s="186" t="n">
        <x:v>96427</x:v>
      </x:c>
      <x:c r="K224" s="186" t="n">
        <x:v>134987</x:v>
      </x:c>
      <x:c r="L224" s="186" t="n">
        <x:f>J224-K224</x:f>
        <x:v>-38560</x:v>
      </x:c>
      <x:c r="M224" s="186" t="n">
        <x:v>190398</x:v>
      </x:c>
      <x:c r="N224" s="186" t="n">
        <x:v>14943</x:v>
      </x:c>
      <x:c r="O224" s="186" t="n">
        <x:f>M224-N224</x:f>
        <x:v>175455</x:v>
      </x:c>
      <x:c r="P224" s="186" t="n">
        <x:v>66807</x:v>
      </x:c>
      <x:c r="Q224" s="186" t="n">
        <x:v>51340</x:v>
      </x:c>
      <x:c r="R224" s="186" t="n">
        <x:f>P224-Q224</x:f>
        <x:v>15467</x:v>
      </x:c>
      <x:c r="S224" s="186" t="n">
        <x:v>48400</x:v>
      </x:c>
      <x:c r="T224" s="186" t="n">
        <x:v>24444</x:v>
      </x:c>
      <x:c r="U224" s="186" t="n">
        <x:f>S224-T224</x:f>
        <x:v>23956</x:v>
      </x:c>
      <x:c r="V224" s="196" t="n">
        <x:f>IFERROR(O224/F224,"")</x:f>
        <x:v>0.33220424345929406</x:v>
      </x:c>
      <x:c r="W224" s="196" t="n">
        <x:f>IFERROR(I224/F224,"")</x:f>
        <x:v>-0.3338382365749384</x:v>
      </x:c>
    </x:row>
    <x:row r="225">
      <x:c r="A225" s="186" t="str">
        <x:v>Silver</x:v>
      </x:c>
      <x:c r="B225" s="187" t="n">
        <x:v>43151</x:v>
      </x:c>
      <x:c r="C225" s="187" t="n">
        <x:v>43154</x:v>
      </x:c>
      <x:c r="D225" s="186" t="str">
        <x:v>084691-SILVER</x:v>
      </x:c>
      <x:c r="E225" s="186" t="str">
        <x:v>SILVER - COMMODITY EXCHANGE INC.</x:v>
      </x:c>
      <x:c r="F225" s="186" t="n">
        <x:v>203629</x:v>
      </x:c>
      <x:c r="G225" s="186" t="n">
        <x:v>23088</x:v>
      </x:c>
      <x:c r="H225" s="186" t="n">
        <x:v>60874</x:v>
      </x:c>
      <x:c r="I225" s="186" t="n">
        <x:f>G225-H225</x:f>
        <x:v>-37786</x:v>
      </x:c>
      <x:c r="J225" s="186" t="n">
        <x:v>47520</x:v>
      </x:c>
      <x:c r="K225" s="186" t="n">
        <x:v>29179</x:v>
      </x:c>
      <x:c r="L225" s="186" t="n">
        <x:f>J225-K225</x:f>
        <x:v>18341</x:v>
      </x:c>
      <x:c r="M225" s="186" t="n">
        <x:v>36171</x:v>
      </x:c>
      <x:c r="N225" s="186" t="n">
        <x:v>46693</x:v>
      </x:c>
      <x:c r="O225" s="186" t="n">
        <x:f>M225-N225</x:f>
        <x:v>-10522</x:v>
      </x:c>
      <x:c r="P225" s="186" t="n">
        <x:v>27029</x:v>
      </x:c>
      <x:c r="Q225" s="186" t="n">
        <x:v>11187</x:v>
      </x:c>
      <x:c r="R225" s="186" t="n">
        <x:f>P225-Q225</x:f>
        <x:v>15842</x:v>
      </x:c>
      <x:c r="S225" s="186" t="n">
        <x:v>28201</x:v>
      </x:c>
      <x:c r="T225" s="186" t="n">
        <x:v>14076</x:v>
      </x:c>
      <x:c r="U225" s="186" t="n">
        <x:f>S225-T225</x:f>
        <x:v>14125</x:v>
      </x:c>
      <x:c r="V225" s="196" t="n">
        <x:f>IFERROR(O225/F225,"")</x:f>
        <x:v>-0.05167240422533136</x:v>
      </x:c>
      <x:c r="W225" s="196" t="n">
        <x:f>IFERROR(I225/F225,"")</x:f>
        <x:v>-0.1855629600891818</x:v>
      </x:c>
    </x:row>
    <x:row r="226">
      <x:c r="A226" s="186" t="str">
        <x:v>Gold</x:v>
      </x:c>
      <x:c r="B226" s="187" t="n">
        <x:v>43158</x:v>
      </x:c>
      <x:c r="C226" s="187" t="n">
        <x:v>43161</x:v>
      </x:c>
      <x:c r="D226" s="186" t="str">
        <x:v>088691-GOLD</x:v>
      </x:c>
      <x:c r="E226" s="186" t="str">
        <x:v>GOLD - COMMODITY EXCHANGE INC.</x:v>
      </x:c>
      <x:c r="F226" s="186" t="n">
        <x:v>532860</x:v>
      </x:c>
      <x:c r="G226" s="186" t="n">
        <x:v>30993</x:v>
      </x:c>
      <x:c r="H226" s="186" t="n">
        <x:v>206218</x:v>
      </x:c>
      <x:c r="I226" s="186" t="n">
        <x:f>G226-H226</x:f>
        <x:v>-175225</x:v>
      </x:c>
      <x:c r="J226" s="186" t="n">
        <x:v>106048</x:v>
      </x:c>
      <x:c r="K226" s="186" t="n">
        <x:v>130619</x:v>
      </x:c>
      <x:c r="L226" s="186" t="n">
        <x:f>J226-K226</x:f>
        <x:v>-24571</x:v>
      </x:c>
      <x:c r="M226" s="186" t="n">
        <x:v>177475</x:v>
      </x:c>
      <x:c r="N226" s="186" t="n">
        <x:v>27456</x:v>
      </x:c>
      <x:c r="O226" s="186" t="n">
        <x:f>M226-N226</x:f>
        <x:v>150019</x:v>
      </x:c>
      <x:c r="P226" s="186" t="n">
        <x:v>74506</x:v>
      </x:c>
      <x:c r="Q226" s="186" t="n">
        <x:v>45807</x:v>
      </x:c>
      <x:c r="R226" s="186" t="n">
        <x:f>P226-Q226</x:f>
        <x:v>28699</x:v>
      </x:c>
      <x:c r="S226" s="186" t="n">
        <x:v>47335</x:v>
      </x:c>
      <x:c r="T226" s="186" t="n">
        <x:v>26257</x:v>
      </x:c>
      <x:c r="U226" s="186" t="n">
        <x:f>S226-T226</x:f>
        <x:v>21078</x:v>
      </x:c>
      <x:c r="V226" s="196" t="n">
        <x:f>IFERROR(O226/F226,"")</x:f>
        <x:v>0.281535487745374</x:v>
      </x:c>
      <x:c r="W226" s="196" t="n">
        <x:f>IFERROR(I226/F226,"")</x:f>
        <x:v>-0.32883871936343506</x:v>
      </x:c>
    </x:row>
    <x:row r="227">
      <x:c r="A227" s="186" t="str">
        <x:v>Silver</x:v>
      </x:c>
      <x:c r="B227" s="187" t="n">
        <x:v>43158</x:v>
      </x:c>
      <x:c r="C227" s="187" t="n">
        <x:v>43161</x:v>
      </x:c>
      <x:c r="D227" s="186" t="str">
        <x:v>084691-SILVER</x:v>
      </x:c>
      <x:c r="E227" s="186" t="str">
        <x:v>SILVER - COMMODITY EXCHANGE INC.</x:v>
      </x:c>
      <x:c r="F227" s="186" t="n">
        <x:v>193343</x:v>
      </x:c>
      <x:c r="G227" s="186" t="n">
        <x:v>21787</x:v>
      </x:c>
      <x:c r="H227" s="186" t="n">
        <x:v>58292</x:v>
      </x:c>
      <x:c r="I227" s="186" t="n">
        <x:f>G227-H227</x:f>
        <x:v>-36505</x:v>
      </x:c>
      <x:c r="J227" s="186" t="n">
        <x:v>49035</x:v>
      </x:c>
      <x:c r="K227" s="186" t="n">
        <x:v>26993</x:v>
      </x:c>
      <x:c r="L227" s="186" t="n">
        <x:f>J227-K227</x:f>
        <x:v>22042</x:v>
      </x:c>
      <x:c r="M227" s="186" t="n">
        <x:v>36647</x:v>
      </x:c>
      <x:c r="N227" s="186" t="n">
        <x:v>53082</x:v>
      </x:c>
      <x:c r="O227" s="186" t="n">
        <x:f>M227-N227</x:f>
        <x:v>-16435</x:v>
      </x:c>
      <x:c r="P227" s="186" t="n">
        <x:v>26376</x:v>
      </x:c>
      <x:c r="Q227" s="186" t="n">
        <x:v>11449</x:v>
      </x:c>
      <x:c r="R227" s="186" t="n">
        <x:f>P227-Q227</x:f>
        <x:v>14927</x:v>
      </x:c>
      <x:c r="S227" s="186" t="n">
        <x:v>30417</x:v>
      </x:c>
      <x:c r="T227" s="186" t="n">
        <x:v>14446</x:v>
      </x:c>
      <x:c r="U227" s="186" t="n">
        <x:f>S227-T227</x:f>
        <x:v>15971</x:v>
      </x:c>
      <x:c r="V227" s="196" t="n">
        <x:f>IFERROR(O227/F227,"")</x:f>
        <x:v>-0.08500437047113162</x:v>
      </x:c>
      <x:c r="W227" s="196" t="n">
        <x:f>IFERROR(I227/F227,"")</x:f>
        <x:v>-0.18880952504098933</x:v>
      </x:c>
    </x:row>
    <x:row r="228">
      <x:c r="A228" s="186" t="str">
        <x:v>Gold</x:v>
      </x:c>
      <x:c r="B228" s="187" t="n">
        <x:v>43165</x:v>
      </x:c>
      <x:c r="C228" s="187" t="n">
        <x:v>43168</x:v>
      </x:c>
      <x:c r="D228" s="186" t="str">
        <x:v>088691-GOLD</x:v>
      </x:c>
      <x:c r="E228" s="186" t="str">
        <x:v>GOLD - COMMODITY EXCHANGE INC.</x:v>
      </x:c>
      <x:c r="F228" s="186" t="n">
        <x:v>508100</x:v>
      </x:c>
      <x:c r="G228" s="186" t="n">
        <x:v>25642</x:v>
      </x:c>
      <x:c r="H228" s="186" t="n">
        <x:v>199419</x:v>
      </x:c>
      <x:c r="I228" s="186" t="n">
        <x:f>G228-H228</x:f>
        <x:v>-173777</x:v>
      </x:c>
      <x:c r="J228" s="186" t="n">
        <x:v>106499</x:v>
      </x:c>
      <x:c r="K228" s="186" t="n">
        <x:v>137625</x:v>
      </x:c>
      <x:c r="L228" s="186" t="n">
        <x:f>J228-K228</x:f>
        <x:v>-31126</x:v>
      </x:c>
      <x:c r="M228" s="186" t="n">
        <x:v>172492</x:v>
      </x:c>
      <x:c r="N228" s="186" t="n">
        <x:v>21786</x:v>
      </x:c>
      <x:c r="O228" s="186" t="n">
        <x:f>M228-N228</x:f>
        <x:v>150706</x:v>
      </x:c>
      <x:c r="P228" s="186" t="n">
        <x:v>73095</x:v>
      </x:c>
      <x:c r="Q228" s="186" t="n">
        <x:v>39978</x:v>
      </x:c>
      <x:c r="R228" s="186" t="n">
        <x:f>P228-Q228</x:f>
        <x:v>33117</x:v>
      </x:c>
      <x:c r="S228" s="186" t="n">
        <x:v>46281</x:v>
      </x:c>
      <x:c r="T228" s="186" t="n">
        <x:v>25201</x:v>
      </x:c>
      <x:c r="U228" s="186" t="n">
        <x:f>S228-T228</x:f>
        <x:v>21080</x:v>
      </x:c>
      <x:c r="V228" s="196" t="n">
        <x:f>IFERROR(O228/F228,"")</x:f>
        <x:v>0.29660696713245427</x:v>
      </x:c>
      <x:c r="W228" s="196" t="n">
        <x:f>IFERROR(I228/F228,"")</x:f>
        <x:v>-0.34201338319228497</x:v>
      </x:c>
    </x:row>
    <x:row r="229">
      <x:c r="A229" s="186" t="str">
        <x:v>Silver</x:v>
      </x:c>
      <x:c r="B229" s="187" t="n">
        <x:v>43165</x:v>
      </x:c>
      <x:c r="C229" s="187" t="n">
        <x:v>43168</x:v>
      </x:c>
      <x:c r="D229" s="186" t="str">
        <x:v>084691-SILVER</x:v>
      </x:c>
      <x:c r="E229" s="186" t="str">
        <x:v>SILVER - COMMODITY EXCHANGE INC.</x:v>
      </x:c>
      <x:c r="F229" s="186" t="n">
        <x:v>196590</x:v>
      </x:c>
      <x:c r="G229" s="186" t="n">
        <x:v>19480</x:v>
      </x:c>
      <x:c r="H229" s="186" t="n">
        <x:v>56994</x:v>
      </x:c>
      <x:c r="I229" s="186" t="n">
        <x:f>G229-H229</x:f>
        <x:v>-37514</x:v>
      </x:c>
      <x:c r="J229" s="186" t="n">
        <x:v>44339</x:v>
      </x:c>
      <x:c r="K229" s="186" t="n">
        <x:v>28635</x:v>
      </x:c>
      <x:c r="L229" s="186" t="n">
        <x:f>J229-K229</x:f>
        <x:v>15704</x:v>
      </x:c>
      <x:c r="M229" s="186" t="n">
        <x:v>41036</x:v>
      </x:c>
      <x:c r="N229" s="186" t="n">
        <x:v>52114</x:v>
      </x:c>
      <x:c r="O229" s="186" t="n">
        <x:f>M229-N229</x:f>
        <x:v>-11078</x:v>
      </x:c>
      <x:c r="P229" s="186" t="n">
        <x:v>27650</x:v>
      </x:c>
      <x:c r="Q229" s="186" t="n">
        <x:v>10386</x:v>
      </x:c>
      <x:c r="R229" s="186" t="n">
        <x:f>P229-Q229</x:f>
        <x:v>17264</x:v>
      </x:c>
      <x:c r="S229" s="186" t="n">
        <x:v>29361</x:v>
      </x:c>
      <x:c r="T229" s="186" t="n">
        <x:v>13737</x:v>
      </x:c>
      <x:c r="U229" s="186" t="n">
        <x:f>S229-T229</x:f>
        <x:v>15624</x:v>
      </x:c>
      <x:c r="V229" s="196" t="n">
        <x:f>IFERROR(O229/F229,"")</x:f>
        <x:v>-0.05635078081285925</x:v>
      </x:c>
      <x:c r="W229" s="196" t="n">
        <x:f>IFERROR(I229/F229,"")</x:f>
        <x:v>-0.19082354138053817</x:v>
      </x:c>
    </x:row>
    <x:row r="230">
      <x:c r="A230" s="186" t="str">
        <x:v>Gold</x:v>
      </x:c>
      <x:c r="B230" s="187" t="n">
        <x:v>43172</x:v>
      </x:c>
      <x:c r="C230" s="187" t="n">
        <x:v>43175</x:v>
      </x:c>
      <x:c r="D230" s="186" t="str">
        <x:v>088691-GOLD</x:v>
      </x:c>
      <x:c r="E230" s="186" t="str">
        <x:v>GOLD - COMMODITY EXCHANGE INC.</x:v>
      </x:c>
      <x:c r="F230" s="186" t="n">
        <x:v>526762</x:v>
      </x:c>
      <x:c r="G230" s="186" t="n">
        <x:v>25466</x:v>
      </x:c>
      <x:c r="H230" s="186" t="n">
        <x:v>195189</x:v>
      </x:c>
      <x:c r="I230" s="186" t="n">
        <x:f>G230-H230</x:f>
        <x:v>-169723</x:v>
      </x:c>
      <x:c r="J230" s="186" t="n">
        <x:v>107910</x:v>
      </x:c>
      <x:c r="K230" s="186" t="n">
        <x:v>126997</x:v>
      </x:c>
      <x:c r="L230" s="186" t="n">
        <x:f>J230-K230</x:f>
        <x:v>-19087</x:v>
      </x:c>
      <x:c r="M230" s="186" t="n">
        <x:v>162337</x:v>
      </x:c>
      <x:c r="N230" s="186" t="n">
        <x:v>26472</x:v>
      </x:c>
      <x:c r="O230" s="186" t="n">
        <x:f>M230-N230</x:f>
        <x:v>135865</x:v>
      </x:c>
      <x:c r="P230" s="186" t="n">
        <x:v>72094</x:v>
      </x:c>
      <x:c r="Q230" s="186" t="n">
        <x:v>40011</x:v>
      </x:c>
      <x:c r="R230" s="186" t="n">
        <x:f>P230-Q230</x:f>
        <x:v>32083</x:v>
      </x:c>
      <x:c r="S230" s="186" t="n">
        <x:v>48014</x:v>
      </x:c>
      <x:c r="T230" s="186" t="n">
        <x:v>27152</x:v>
      </x:c>
      <x:c r="U230" s="186" t="n">
        <x:f>S230-T230</x:f>
        <x:v>20862</x:v>
      </x:c>
      <x:c r="V230" s="196" t="n">
        <x:f>IFERROR(O230/F230,"")</x:f>
        <x:v>0.25792483132800015</x:v>
      </x:c>
      <x:c r="W230" s="196" t="n">
        <x:f>IFERROR(I230/F230,"")</x:f>
        <x:v>-0.32220053838355844</x:v>
      </x:c>
    </x:row>
    <x:row r="231">
      <x:c r="A231" s="186" t="str">
        <x:v>Silver</x:v>
      </x:c>
      <x:c r="B231" s="187" t="n">
        <x:v>43172</x:v>
      </x:c>
      <x:c r="C231" s="187" t="n">
        <x:v>43175</x:v>
      </x:c>
      <x:c r="D231" s="186" t="str">
        <x:v>084691-SILVER</x:v>
      </x:c>
      <x:c r="E231" s="186" t="str">
        <x:v>SILVER - COMMODITY EXCHANGE INC.</x:v>
      </x:c>
      <x:c r="F231" s="186" t="n">
        <x:v>200094</x:v>
      </x:c>
      <x:c r="G231" s="186" t="n">
        <x:v>19348</x:v>
      </x:c>
      <x:c r="H231" s="186" t="n">
        <x:v>54669</x:v>
      </x:c>
      <x:c r="I231" s="186" t="n">
        <x:f>G231-H231</x:f>
        <x:v>-35321</x:v>
      </x:c>
      <x:c r="J231" s="186" t="n">
        <x:v>44498</x:v>
      </x:c>
      <x:c r="K231" s="186" t="n">
        <x:v>28450</x:v>
      </x:c>
      <x:c r="L231" s="186" t="n">
        <x:f>J231-K231</x:f>
        <x:v>16048</x:v>
      </x:c>
      <x:c r="M231" s="186" t="n">
        <x:v>38265</x:v>
      </x:c>
      <x:c r="N231" s="186" t="n">
        <x:v>54680</x:v>
      </x:c>
      <x:c r="O231" s="186" t="n">
        <x:f>M231-N231</x:f>
        <x:v>-16415</x:v>
      </x:c>
      <x:c r="P231" s="186" t="n">
        <x:v>28442</x:v>
      </x:c>
      <x:c r="Q231" s="186" t="n">
        <x:v>9080</x:v>
      </x:c>
      <x:c r="R231" s="186" t="n">
        <x:f>P231-Q231</x:f>
        <x:v>19362</x:v>
      </x:c>
      <x:c r="S231" s="186" t="n">
        <x:v>29550</x:v>
      </x:c>
      <x:c r="T231" s="186" t="n">
        <x:v>13224</x:v>
      </x:c>
      <x:c r="U231" s="186" t="n">
        <x:f>S231-T231</x:f>
        <x:v>16326</x:v>
      </x:c>
      <x:c r="V231" s="196" t="n">
        <x:f>IFERROR(O231/F231,"")</x:f>
        <x:v>-0.08203644287185023</x:v>
      </x:c>
      <x:c r="W231" s="196" t="n">
        <x:f>IFERROR(I231/F231,"")</x:f>
        <x:v>-0.17652203464371746</x:v>
      </x:c>
    </x:row>
    <x:row r="232">
      <x:c r="A232" s="186" t="str">
        <x:v>Gold</x:v>
      </x:c>
      <x:c r="B232" s="187" t="n">
        <x:v>43179</x:v>
      </x:c>
      <x:c r="C232" s="187" t="n">
        <x:v>43182</x:v>
      </x:c>
      <x:c r="D232" s="186" t="str">
        <x:v>088691-GOLD</x:v>
      </x:c>
      <x:c r="E232" s="186" t="str">
        <x:v>GOLD - COMMODITY EXCHANGE INC.</x:v>
      </x:c>
      <x:c r="F232" s="186" t="n">
        <x:v>545499</x:v>
      </x:c>
      <x:c r="G232" s="186" t="n">
        <x:v>25478</x:v>
      </x:c>
      <x:c r="H232" s="186" t="n">
        <x:v>182047</x:v>
      </x:c>
      <x:c r="I232" s="186" t="n">
        <x:f>G232-H232</x:f>
        <x:v>-156569</x:v>
      </x:c>
      <x:c r="J232" s="186" t="n">
        <x:v>109340</x:v>
      </x:c>
      <x:c r="K232" s="186" t="n">
        <x:v>120041</x:v>
      </x:c>
      <x:c r="L232" s="186" t="n">
        <x:f>J232-K232</x:f>
        <x:v>-10701</x:v>
      </x:c>
      <x:c r="M232" s="186" t="n">
        <x:v>148152</x:v>
      </x:c>
      <x:c r="N232" s="186" t="n">
        <x:v>36345</x:v>
      </x:c>
      <x:c r="O232" s="186" t="n">
        <x:f>M232-N232</x:f>
        <x:v>111807</x:v>
      </x:c>
      <x:c r="P232" s="186" t="n">
        <x:v>75730</x:v>
      </x:c>
      <x:c r="Q232" s="186" t="n">
        <x:v>38806</x:v>
      </x:c>
      <x:c r="R232" s="186" t="n">
        <x:f>P232-Q232</x:f>
        <x:v>36924</x:v>
      </x:c>
      <x:c r="S232" s="186" t="n">
        <x:v>46306</x:v>
      </x:c>
      <x:c r="T232" s="186" t="n">
        <x:v>27767</x:v>
      </x:c>
      <x:c r="U232" s="186" t="n">
        <x:f>S232-T232</x:f>
        <x:v>18539</x:v>
      </x:c>
      <x:c r="V232" s="196" t="n">
        <x:f>IFERROR(O232/F232,"")</x:f>
        <x:v>0.20496279553216412</x:v>
      </x:c>
      <x:c r="W232" s="196" t="n">
        <x:f>IFERROR(I232/F232,"")</x:f>
        <x:v>-0.2870197745550404</x:v>
      </x:c>
    </x:row>
    <x:row r="233">
      <x:c r="A233" s="186" t="str">
        <x:v>Silver</x:v>
      </x:c>
      <x:c r="B233" s="187" t="n">
        <x:v>43179</x:v>
      </x:c>
      <x:c r="C233" s="187" t="n">
        <x:v>43182</x:v>
      </x:c>
      <x:c r="D233" s="186" t="str">
        <x:v>084691-SILVER</x:v>
      </x:c>
      <x:c r="E233" s="186" t="str">
        <x:v>SILVER - COMMODITY EXCHANGE INC.</x:v>
      </x:c>
      <x:c r="F233" s="186" t="n">
        <x:v>216042</x:v>
      </x:c>
      <x:c r="G233" s="186" t="n">
        <x:v>24535</x:v>
      </x:c>
      <x:c r="H233" s="186" t="n">
        <x:v>49698</x:v>
      </x:c>
      <x:c r="I233" s="186" t="n">
        <x:f>G233-H233</x:f>
        <x:v>-25163</x:v>
      </x:c>
      <x:c r="J233" s="186" t="n">
        <x:v>47777</x:v>
      </x:c>
      <x:c r="K233" s="186" t="n">
        <x:v>26323</x:v>
      </x:c>
      <x:c r="L233" s="186" t="n">
        <x:f>J233-K233</x:f>
        <x:v>21454</x:v>
      </x:c>
      <x:c r="M233" s="186" t="n">
        <x:v>32599</x:v>
      </x:c>
      <x:c r="N233" s="186" t="n">
        <x:v>68432</x:v>
      </x:c>
      <x:c r="O233" s="186" t="n">
        <x:f>M233-N233</x:f>
        <x:v>-35833</x:v>
      </x:c>
      <x:c r="P233" s="186" t="n">
        <x:v>31214</x:v>
      </x:c>
      <x:c r="Q233" s="186" t="n">
        <x:v>7897</x:v>
      </x:c>
      <x:c r="R233" s="186" t="n">
        <x:f>P233-Q233</x:f>
        <x:v>23317</x:v>
      </x:c>
      <x:c r="S233" s="186" t="n">
        <x:v>31734</x:v>
      </x:c>
      <x:c r="T233" s="186" t="n">
        <x:v>15509</x:v>
      </x:c>
      <x:c r="U233" s="186" t="n">
        <x:f>S233-T233</x:f>
        <x:v>16225</x:v>
      </x:c>
      <x:c r="V233" s="196" t="n">
        <x:f>IFERROR(O233/F233,"")</x:f>
        <x:v>-0.16586126771646253</x:v>
      </x:c>
      <x:c r="W233" s="196" t="n">
        <x:f>IFERROR(I233/F233,"")</x:f>
        <x:v>-0.11647272289647384</x:v>
      </x:c>
    </x:row>
    <x:row r="234">
      <x:c r="A234" s="186" t="str">
        <x:v>Gold</x:v>
      </x:c>
      <x:c r="B234" s="187" t="n">
        <x:v>43186</x:v>
      </x:c>
      <x:c r="C234" s="187" t="n">
        <x:v>43189</x:v>
      </x:c>
      <x:c r="D234" s="186" t="str">
        <x:v>088691-GOLD</x:v>
      </x:c>
      <x:c r="E234" s="186" t="str">
        <x:v>GOLD - COMMODITY EXCHANGE INC.</x:v>
      </x:c>
      <x:c r="F234" s="186" t="n">
        <x:v>529690</x:v>
      </x:c>
      <x:c r="G234" s="186" t="n">
        <x:v>25165</x:v>
      </x:c>
      <x:c r="H234" s="186" t="n">
        <x:v>204181</x:v>
      </x:c>
      <x:c r="I234" s="186" t="n">
        <x:f>G234-H234</x:f>
        <x:v>-179016</x:v>
      </x:c>
      <x:c r="J234" s="186" t="n">
        <x:v>106631</x:v>
      </x:c>
      <x:c r="K234" s="186" t="n">
        <x:v>153975</x:v>
      </x:c>
      <x:c r="L234" s="186" t="n">
        <x:f>J234-K234</x:f>
        <x:v>-47344</x:v>
      </x:c>
      <x:c r="M234" s="186" t="n">
        <x:v>183080</x:v>
      </x:c>
      <x:c r="N234" s="186" t="n">
        <x:v>20917</x:v>
      </x:c>
      <x:c r="O234" s="186" t="n">
        <x:f>M234-N234</x:f>
        <x:v>162163</x:v>
      </x:c>
      <x:c r="P234" s="186" t="n">
        <x:v>75952</x:v>
      </x:c>
      <x:c r="Q234" s="186" t="n">
        <x:v>34761</x:v>
      </x:c>
      <x:c r="R234" s="186" t="n">
        <x:f>P234-Q234</x:f>
        <x:v>41191</x:v>
      </x:c>
      <x:c r="S234" s="186" t="n">
        <x:v>49819</x:v>
      </x:c>
      <x:c r="T234" s="186" t="n">
        <x:v>26813</x:v>
      </x:c>
      <x:c r="U234" s="186" t="n">
        <x:f>S234-T234</x:f>
        <x:v>23006</x:v>
      </x:c>
      <x:c r="V234" s="196" t="n">
        <x:f>IFERROR(O234/F234,"")</x:f>
        <x:v>0.3061469916366176</x:v>
      </x:c>
      <x:c r="W234" s="196" t="n">
        <x:f>IFERROR(I234/F234,"")</x:f>
        <x:v>-0.3379637146255357</x:v>
      </x:c>
    </x:row>
    <x:row r="235">
      <x:c r="A235" s="186" t="str">
        <x:v>Silver</x:v>
      </x:c>
      <x:c r="B235" s="187" t="n">
        <x:v>43186</x:v>
      </x:c>
      <x:c r="C235" s="187" t="n">
        <x:v>43189</x:v>
      </x:c>
      <x:c r="D235" s="186" t="str">
        <x:v>084691-SILVER</x:v>
      </x:c>
      <x:c r="E235" s="186" t="str">
        <x:v>SILVER - COMMODITY EXCHANGE INC.</x:v>
      </x:c>
      <x:c r="F235" s="186" t="n">
        <x:v>219518</x:v>
      </x:c>
      <x:c r="G235" s="186" t="n">
        <x:v>23149</x:v>
      </x:c>
      <x:c r="H235" s="186" t="n">
        <x:v>50165</x:v>
      </x:c>
      <x:c r="I235" s="186" t="n">
        <x:f>G235-H235</x:f>
        <x:v>-27016</x:v>
      </x:c>
      <x:c r="J235" s="186" t="n">
        <x:v>46417</x:v>
      </x:c>
      <x:c r="K235" s="186" t="n">
        <x:v>26753</x:v>
      </x:c>
      <x:c r="L235" s="186" t="n">
        <x:f>J235-K235</x:f>
        <x:v>19664</x:v>
      </x:c>
      <x:c r="M235" s="186" t="n">
        <x:v>31988</x:v>
      </x:c>
      <x:c r="N235" s="186" t="n">
        <x:v>66252</x:v>
      </x:c>
      <x:c r="O235" s="186" t="n">
        <x:f>M235-N235</x:f>
        <x:v>-34264</x:v>
      </x:c>
      <x:c r="P235" s="186" t="n">
        <x:v>28798</x:v>
      </x:c>
      <x:c r="Q235" s="186" t="n">
        <x:v>8191</x:v>
      </x:c>
      <x:c r="R235" s="186" t="n">
        <x:f>P235-Q235</x:f>
        <x:v>20607</x:v>
      </x:c>
      <x:c r="S235" s="186" t="n">
        <x:v>34190</x:v>
      </x:c>
      <x:c r="T235" s="186" t="n">
        <x:v>13181</x:v>
      </x:c>
      <x:c r="U235" s="186" t="n">
        <x:f>S235-T235</x:f>
        <x:v>21009</x:v>
      </x:c>
      <x:c r="V235" s="196" t="n">
        <x:f>IFERROR(O235/F235,"")</x:f>
        <x:v>-0.15608742791023972</x:v>
      </x:c>
      <x:c r="W235" s="196" t="n">
        <x:f>IFERROR(I235/F235,"")</x:f>
        <x:v>-0.12306963438077971</x:v>
      </x:c>
    </x:row>
    <x:row r="236">
      <x:c r="A236" s="186" t="str">
        <x:v>Gold</x:v>
      </x:c>
      <x:c r="B236" s="187" t="n">
        <x:v>43193</x:v>
      </x:c>
      <x:c r="C236" s="187" t="n">
        <x:v>43196</x:v>
      </x:c>
      <x:c r="D236" s="186" t="str">
        <x:v>088691-GOLD</x:v>
      </x:c>
      <x:c r="E236" s="186" t="str">
        <x:v>GOLD - COMMODITY EXCHANGE INC.</x:v>
      </x:c>
      <x:c r="F236" s="186" t="n">
        <x:v>493141</x:v>
      </x:c>
      <x:c r="G236" s="186" t="n">
        <x:v>30267</x:v>
      </x:c>
      <x:c r="H236" s="186" t="n">
        <x:v>197029</x:v>
      </x:c>
      <x:c r="I236" s="186" t="n">
        <x:f>G236-H236</x:f>
        <x:v>-166762</x:v>
      </x:c>
      <x:c r="J236" s="186" t="n">
        <x:v>113668</x:v>
      </x:c>
      <x:c r="K236" s="186" t="n">
        <x:v>135771</x:v>
      </x:c>
      <x:c r="L236" s="186" t="n">
        <x:f>J236-K236</x:f>
        <x:v>-22103</x:v>
      </x:c>
      <x:c r="M236" s="186" t="n">
        <x:v>155590</x:v>
      </x:c>
      <x:c r="N236" s="186" t="n">
        <x:v>28948</x:v>
      </x:c>
      <x:c r="O236" s="186" t="n">
        <x:f>M236-N236</x:f>
        <x:v>126642</x:v>
      </x:c>
      <x:c r="P236" s="186" t="n">
        <x:v>79087</x:v>
      </x:c>
      <x:c r="Q236" s="186" t="n">
        <x:v>39140</x:v>
      </x:c>
      <x:c r="R236" s="186" t="n">
        <x:f>P236-Q236</x:f>
        <x:v>39947</x:v>
      </x:c>
      <x:c r="S236" s="186" t="n">
        <x:v>43845</x:v>
      </x:c>
      <x:c r="T236" s="186" t="n">
        <x:v>21569</x:v>
      </x:c>
      <x:c r="U236" s="186" t="n">
        <x:f>S236-T236</x:f>
        <x:v>22276</x:v>
      </x:c>
      <x:c r="V236" s="196" t="n">
        <x:f>IFERROR(O236/F236,"")</x:f>
        <x:v>0.2568068767350514</x:v>
      </x:c>
      <x:c r="W236" s="196" t="n">
        <x:f>IFERROR(I236/F236,"")</x:f>
        <x:v>-0.3381629189217688</x:v>
      </x:c>
    </x:row>
    <x:row r="237">
      <x:c r="A237" s="186" t="str">
        <x:v>Silver</x:v>
      </x:c>
      <x:c r="B237" s="187" t="n">
        <x:v>43193</x:v>
      </x:c>
      <x:c r="C237" s="187" t="n">
        <x:v>43196</x:v>
      </x:c>
      <x:c r="D237" s="186" t="str">
        <x:v>084691-SILVER</x:v>
      </x:c>
      <x:c r="E237" s="186" t="str">
        <x:v>SILVER - COMMODITY EXCHANGE INC.</x:v>
      </x:c>
      <x:c r="F237" s="186" t="n">
        <x:v>232682</x:v>
      </x:c>
      <x:c r="G237" s="186" t="n">
        <x:v>25866</x:v>
      </x:c>
      <x:c r="H237" s="186" t="n">
        <x:v>50300</x:v>
      </x:c>
      <x:c r="I237" s="186" t="n">
        <x:f>G237-H237</x:f>
        <x:v>-24434</x:v>
      </x:c>
      <x:c r="J237" s="186" t="n">
        <x:v>47372</x:v>
      </x:c>
      <x:c r="K237" s="186" t="n">
        <x:v>25575</x:v>
      </x:c>
      <x:c r="L237" s="186" t="n">
        <x:f>J237-K237</x:f>
        <x:v>21797</x:v>
      </x:c>
      <x:c r="M237" s="186" t="n">
        <x:v>33494</x:v>
      </x:c>
      <x:c r="N237" s="186" t="n">
        <x:v>73832</x:v>
      </x:c>
      <x:c r="O237" s="186" t="n">
        <x:f>M237-N237</x:f>
        <x:v>-40338</x:v>
      </x:c>
      <x:c r="P237" s="186" t="n">
        <x:v>32475</x:v>
      </x:c>
      <x:c r="Q237" s="186" t="n">
        <x:v>9102</x:v>
      </x:c>
      <x:c r="R237" s="186" t="n">
        <x:f>P237-Q237</x:f>
        <x:v>23373</x:v>
      </x:c>
      <x:c r="S237" s="186" t="n">
        <x:v>32333</x:v>
      </x:c>
      <x:c r="T237" s="186" t="n">
        <x:v>12731</x:v>
      </x:c>
      <x:c r="U237" s="186" t="n">
        <x:f>S237-T237</x:f>
        <x:v>19602</x:v>
      </x:c>
      <x:c r="V237" s="196" t="n">
        <x:f>IFERROR(O237/F237,"")</x:f>
        <x:v>-0.173361067895239</x:v>
      </x:c>
      <x:c r="W237" s="196" t="n">
        <x:f>IFERROR(I237/F237,"")</x:f>
        <x:v>-0.10501027152938346</x:v>
      </x:c>
    </x:row>
    <x:row r="238">
      <x:c r="A238" s="186" t="str">
        <x:v>Gold</x:v>
      </x:c>
      <x:c r="B238" s="187" t="n">
        <x:v>43200</x:v>
      </x:c>
      <x:c r="C238" s="187" t="n">
        <x:v>43203</x:v>
      </x:c>
      <x:c r="D238" s="186" t="str">
        <x:v>088691-GOLD</x:v>
      </x:c>
      <x:c r="E238" s="186" t="str">
        <x:v>GOLD - COMMODITY EXCHANGE INC.</x:v>
      </x:c>
      <x:c r="F238" s="186" t="n">
        <x:v>499588</x:v>
      </x:c>
      <x:c r="G238" s="186" t="n">
        <x:v>32193</x:v>
      </x:c>
      <x:c r="H238" s="186" t="n">
        <x:v>197288</x:v>
      </x:c>
      <x:c r="I238" s="186" t="n">
        <x:f>G238-H238</x:f>
        <x:v>-165095</x:v>
      </x:c>
      <x:c r="J238" s="186" t="n">
        <x:v>116790</x:v>
      </x:c>
      <x:c r="K238" s="186" t="n">
        <x:v>127347</x:v>
      </x:c>
      <x:c r="L238" s="186" t="n">
        <x:f>J238-K238</x:f>
        <x:v>-10557</x:v>
      </x:c>
      <x:c r="M238" s="186" t="n">
        <x:v>154044</x:v>
      </x:c>
      <x:c r="N238" s="186" t="n">
        <x:v>28482</x:v>
      </x:c>
      <x:c r="O238" s="186" t="n">
        <x:f>M238-N238</x:f>
        <x:v>125562</x:v>
      </x:c>
      <x:c r="P238" s="186" t="n">
        <x:v>80413</x:v>
      </x:c>
      <x:c r="Q238" s="186" t="n">
        <x:v>50603</x:v>
      </x:c>
      <x:c r="R238" s="186" t="n">
        <x:f>P238-Q238</x:f>
        <x:v>29810</x:v>
      </x:c>
      <x:c r="S238" s="186" t="n">
        <x:v>45574</x:v>
      </x:c>
      <x:c r="T238" s="186" t="n">
        <x:v>25294</x:v>
      </x:c>
      <x:c r="U238" s="186" t="n">
        <x:f>S238-T238</x:f>
        <x:v>20280</x:v>
      </x:c>
      <x:c r="V238" s="196" t="n">
        <x:f>IFERROR(O238/F238,"")</x:f>
        <x:v>0.2513310968237828</x:v>
      </x:c>
      <x:c r="W238" s="196" t="n">
        <x:f>IFERROR(I238/F238,"")</x:f>
        <x:v>-0.33046230093597123</x:v>
      </x:c>
    </x:row>
    <x:row r="239">
      <x:c r="A239" s="186" t="str">
        <x:v>Silver</x:v>
      </x:c>
      <x:c r="B239" s="187" t="n">
        <x:v>43200</x:v>
      </x:c>
      <x:c r="C239" s="187" t="n">
        <x:v>43203</x:v>
      </x:c>
      <x:c r="D239" s="186" t="str">
        <x:v>084691-SILVER</x:v>
      </x:c>
      <x:c r="E239" s="186" t="str">
        <x:v>SILVER - COMMODITY EXCHANGE INC.</x:v>
      </x:c>
      <x:c r="F239" s="186" t="n">
        <x:v>227175</x:v>
      </x:c>
      <x:c r="G239" s="186" t="n">
        <x:v>25279</x:v>
      </x:c>
      <x:c r="H239" s="186" t="n">
        <x:v>46334</x:v>
      </x:c>
      <x:c r="I239" s="186" t="n">
        <x:f>G239-H239</x:f>
        <x:v>-21055</x:v>
      </x:c>
      <x:c r="J239" s="186" t="n">
        <x:v>46836</x:v>
      </x:c>
      <x:c r="K239" s="186" t="n">
        <x:v>30359</x:v>
      </x:c>
      <x:c r="L239" s="186" t="n">
        <x:f>J239-K239</x:f>
        <x:v>16477</x:v>
      </x:c>
      <x:c r="M239" s="186" t="n">
        <x:v>33786</x:v>
      </x:c>
      <x:c r="N239" s="186" t="n">
        <x:v>70898</x:v>
      </x:c>
      <x:c r="O239" s="186" t="n">
        <x:f>M239-N239</x:f>
        <x:v>-37112</x:v>
      </x:c>
      <x:c r="P239" s="186" t="n">
        <x:v>31247</x:v>
      </x:c>
      <x:c r="Q239" s="186" t="n">
        <x:v>8968</x:v>
      </x:c>
      <x:c r="R239" s="186" t="n">
        <x:f>P239-Q239</x:f>
        <x:v>22279</x:v>
      </x:c>
      <x:c r="S239" s="186" t="n">
        <x:v>32624</x:v>
      </x:c>
      <x:c r="T239" s="186" t="n">
        <x:v>13213</x:v>
      </x:c>
      <x:c r="U239" s="186" t="n">
        <x:f>S239-T239</x:f>
        <x:v>19411</x:v>
      </x:c>
      <x:c r="V239" s="196" t="n">
        <x:f>IFERROR(O239/F239,"")</x:f>
        <x:v>-0.16336304610982721</x:v>
      </x:c>
      <x:c r="W239" s="196" t="n">
        <x:f>IFERROR(I239/F239,"")</x:f>
        <x:v>-0.09268185319687465</x:v>
      </x:c>
    </x:row>
    <x:row r="240">
      <x:c r="A240" s="186" t="str">
        <x:v>Gold</x:v>
      </x:c>
      <x:c r="B240" s="187" t="n">
        <x:v>43207</x:v>
      </x:c>
      <x:c r="C240" s="187" t="n">
        <x:v>43210</x:v>
      </x:c>
      <x:c r="D240" s="186" t="str">
        <x:v>088691-GOLD</x:v>
      </x:c>
      <x:c r="E240" s="186" t="str">
        <x:v>GOLD - COMMODITY EXCHANGE INC.</x:v>
      </x:c>
      <x:c r="F240" s="186" t="n">
        <x:v>510229</x:v>
      </x:c>
      <x:c r="G240" s="186" t="n">
        <x:v>33041</x:v>
      </x:c>
      <x:c r="H240" s="186" t="n">
        <x:v>206888</x:v>
      </x:c>
      <x:c r="I240" s="186" t="n">
        <x:f>G240-H240</x:f>
        <x:v>-173847</x:v>
      </x:c>
      <x:c r="J240" s="186" t="n">
        <x:v>122287</x:v>
      </x:c>
      <x:c r="K240" s="186" t="n">
        <x:v>133702</x:v>
      </x:c>
      <x:c r="L240" s="186" t="n">
        <x:f>J240-K240</x:f>
        <x:v>-11415</x:v>
      </x:c>
      <x:c r="M240" s="186" t="n">
        <x:v>157925</x:v>
      </x:c>
      <x:c r="N240" s="186" t="n">
        <x:v>25287</x:v>
      </x:c>
      <x:c r="O240" s="186" t="n">
        <x:f>M240-N240</x:f>
        <x:v>132638</x:v>
      </x:c>
      <x:c r="P240" s="186" t="n">
        <x:v>79363</x:v>
      </x:c>
      <x:c r="Q240" s="186" t="n">
        <x:v>48932</x:v>
      </x:c>
      <x:c r="R240" s="186" t="n">
        <x:f>P240-Q240</x:f>
        <x:v>30431</x:v>
      </x:c>
      <x:c r="S240" s="186" t="n">
        <x:v>46906</x:v>
      </x:c>
      <x:c r="T240" s="186" t="n">
        <x:v>24713</x:v>
      </x:c>
      <x:c r="U240" s="186" t="n">
        <x:f>S240-T240</x:f>
        <x:v>22193</x:v>
      </x:c>
      <x:c r="V240" s="196" t="n">
        <x:f>IFERROR(O240/F240,"")</x:f>
        <x:v>0.25995778366184596</x:v>
      </x:c>
      <x:c r="W240" s="196" t="n">
        <x:f>IFERROR(I240/F240,"")</x:f>
        <x:v>-0.34072347906528244</x:v>
      </x:c>
    </x:row>
    <x:row r="241">
      <x:c r="A241" s="186" t="str">
        <x:v>Silver</x:v>
      </x:c>
      <x:c r="B241" s="187" t="n">
        <x:v>43207</x:v>
      </x:c>
      <x:c r="C241" s="187" t="n">
        <x:v>43210</x:v>
      </x:c>
      <x:c r="D241" s="186" t="str">
        <x:v>084691-SILVER</x:v>
      </x:c>
      <x:c r="E241" s="186" t="str">
        <x:v>SILVER - COMMODITY EXCHANGE INC.</x:v>
      </x:c>
      <x:c r="F241" s="186" t="n">
        <x:v>214297</x:v>
      </x:c>
      <x:c r="G241" s="186" t="n">
        <x:v>24358</x:v>
      </x:c>
      <x:c r="H241" s="186" t="n">
        <x:v>50468</x:v>
      </x:c>
      <x:c r="I241" s="186" t="n">
        <x:f>G241-H241</x:f>
        <x:v>-26110</x:v>
      </x:c>
      <x:c r="J241" s="186" t="n">
        <x:v>46991</x:v>
      </x:c>
      <x:c r="K241" s="186" t="n">
        <x:v>37836</x:v>
      </x:c>
      <x:c r="L241" s="186" t="n">
        <x:f>J241-K241</x:f>
        <x:v>9155</x:v>
      </x:c>
      <x:c r="M241" s="186" t="n">
        <x:v>39841</x:v>
      </x:c>
      <x:c r="N241" s="186" t="n">
        <x:v>54598</x:v>
      </x:c>
      <x:c r="O241" s="186" t="n">
        <x:f>M241-N241</x:f>
        <x:v>-14757</x:v>
      </x:c>
      <x:c r="P241" s="186" t="n">
        <x:v>26768</x:v>
      </x:c>
      <x:c r="Q241" s="186" t="n">
        <x:v>12098</x:v>
      </x:c>
      <x:c r="R241" s="186" t="n">
        <x:f>P241-Q241</x:f>
        <x:v>14670</x:v>
      </x:c>
      <x:c r="S241" s="186" t="n">
        <x:v>31127</x:v>
      </x:c>
      <x:c r="T241" s="186" t="n">
        <x:v>14085</x:v>
      </x:c>
      <x:c r="U241" s="186" t="n">
        <x:f>S241-T241</x:f>
        <x:v>17042</x:v>
      </x:c>
      <x:c r="V241" s="196" t="n">
        <x:f>IFERROR(O241/F241,"")</x:f>
        <x:v>-0.06886237324834225</x:v>
      </x:c>
      <x:c r="W241" s="196" t="n">
        <x:f>IFERROR(I241/F241,"")</x:f>
        <x:v>-0.12184024974684667</x:v>
      </x:c>
    </x:row>
    <x:row r="242">
      <x:c r="A242" s="186" t="str">
        <x:v>Gold</x:v>
      </x:c>
      <x:c r="B242" s="187" t="n">
        <x:v>43214</x:v>
      </x:c>
      <x:c r="C242" s="187" t="n">
        <x:v>43217</x:v>
      </x:c>
      <x:c r="D242" s="186" t="str">
        <x:v>088691-GOLD</x:v>
      </x:c>
      <x:c r="E242" s="186" t="str">
        <x:v>GOLD - COMMODITY EXCHANGE INC.</x:v>
      </x:c>
      <x:c r="F242" s="186" t="n">
        <x:v>506410</x:v>
      </x:c>
      <x:c r="G242" s="186" t="n">
        <x:v>32696</x:v>
      </x:c>
      <x:c r="H242" s="186" t="n">
        <x:v>196159</x:v>
      </x:c>
      <x:c r="I242" s="186" t="n">
        <x:f>G242-H242</x:f>
        <x:v>-163463</x:v>
      </x:c>
      <x:c r="J242" s="186" t="n">
        <x:v>123783</x:v>
      </x:c>
      <x:c r="K242" s="186" t="n">
        <x:v>122120</x:v>
      </x:c>
      <x:c r="L242" s="186" t="n">
        <x:f>J242-K242</x:f>
        <x:v>1663</x:v>
      </x:c>
      <x:c r="M242" s="186" t="n">
        <x:v>143258</x:v>
      </x:c>
      <x:c r="N242" s="186" t="n">
        <x:v>43597</x:v>
      </x:c>
      <x:c r="O242" s="186" t="n">
        <x:f>M242-N242</x:f>
        <x:v>99661</x:v>
      </x:c>
      <x:c r="P242" s="186" t="n">
        <x:v>82546</x:v>
      </x:c>
      <x:c r="Q242" s="186" t="n">
        <x:v>45561</x:v>
      </x:c>
      <x:c r="R242" s="186" t="n">
        <x:f>P242-Q242</x:f>
        <x:v>36985</x:v>
      </x:c>
      <x:c r="S242" s="186" t="n">
        <x:v>50537</x:v>
      </x:c>
      <x:c r="T242" s="186" t="n">
        <x:v>25383</x:v>
      </x:c>
      <x:c r="U242" s="186" t="n">
        <x:f>S242-T242</x:f>
        <x:v>25154</x:v>
      </x:c>
      <x:c r="V242" s="196" t="n">
        <x:f>IFERROR(O242/F242,"")</x:f>
        <x:v>0.19679903635394247</x:v>
      </x:c>
      <x:c r="W242" s="196" t="n">
        <x:f>IFERROR(I242/F242,"")</x:f>
        <x:v>-0.3227878596394226</x:v>
      </x:c>
    </x:row>
    <x:row r="243">
      <x:c r="A243" s="186" t="str">
        <x:v>Silver</x:v>
      </x:c>
      <x:c r="B243" s="187" t="n">
        <x:v>43214</x:v>
      </x:c>
      <x:c r="C243" s="187" t="n">
        <x:v>43217</x:v>
      </x:c>
      <x:c r="D243" s="186" t="str">
        <x:v>084691-SILVER</x:v>
      </x:c>
      <x:c r="E243" s="186" t="str">
        <x:v>SILVER - COMMODITY EXCHANGE INC.</x:v>
      </x:c>
      <x:c r="F243" s="186" t="n">
        <x:v>201707</x:v>
      </x:c>
      <x:c r="G243" s="186" t="n">
        <x:v>22539</x:v>
      </x:c>
      <x:c r="H243" s="186" t="n">
        <x:v>55015</x:v>
      </x:c>
      <x:c r="I243" s="186" t="n">
        <x:f>G243-H243</x:f>
        <x:v>-32476</x:v>
      </x:c>
      <x:c r="J243" s="186" t="n">
        <x:v>47420</x:v>
      </x:c>
      <x:c r="K243" s="186" t="n">
        <x:v>46509</x:v>
      </x:c>
      <x:c r="L243" s="186" t="n">
        <x:f>J243-K243</x:f>
        <x:v>911</x:v>
      </x:c>
      <x:c r="M243" s="186" t="n">
        <x:v>46448</x:v>
      </x:c>
      <x:c r="N243" s="186" t="n">
        <x:v>42248</x:v>
      </x:c>
      <x:c r="O243" s="186" t="n">
        <x:f>M243-N243</x:f>
        <x:v>4200</x:v>
      </x:c>
      <x:c r="P243" s="186" t="n">
        <x:v>21354</x:v>
      </x:c>
      <x:c r="Q243" s="186" t="n">
        <x:v>13587</x:v>
      </x:c>
      <x:c r="R243" s="186" t="n">
        <x:f>P243-Q243</x:f>
        <x:v>7767</x:v>
      </x:c>
      <x:c r="S243" s="186" t="n">
        <x:v>31795</x:v>
      </x:c>
      <x:c r="T243" s="186" t="n">
        <x:v>12197</x:v>
      </x:c>
      <x:c r="U243" s="186" t="n">
        <x:f>S243-T243</x:f>
        <x:v>19598</x:v>
      </x:c>
      <x:c r="V243" s="196" t="n">
        <x:f>IFERROR(O243/F243,"")</x:f>
        <x:v>0.02082228182462681</x:v>
      </x:c>
      <x:c r="W243" s="196" t="n">
        <x:f>IFERROR(I243/F243,"")</x:f>
        <x:v>-0.16100581536585246</x:v>
      </x:c>
    </x:row>
    <x:row r="244">
      <x:c r="A244" s="186" t="str">
        <x:v>Gold</x:v>
      </x:c>
      <x:c r="B244" s="187" t="n">
        <x:v>43221</x:v>
      </x:c>
      <x:c r="C244" s="187" t="n">
        <x:v>43224</x:v>
      </x:c>
      <x:c r="D244" s="186" t="str">
        <x:v>088691-GOLD</x:v>
      </x:c>
      <x:c r="E244" s="186" t="str">
        <x:v>GOLD - COMMODITY EXCHANGE INC.</x:v>
      </x:c>
      <x:c r="F244" s="186" t="n">
        <x:v>507756</x:v>
      </x:c>
      <x:c r="G244" s="186" t="n">
        <x:v>33204</x:v>
      </x:c>
      <x:c r="H244" s="186" t="n">
        <x:v>181259</x:v>
      </x:c>
      <x:c r="I244" s="186" t="n">
        <x:f>G244-H244</x:f>
        <x:v>-148055</x:v>
      </x:c>
      <x:c r="J244" s="186" t="n">
        <x:v>124348</x:v>
      </x:c>
      <x:c r="K244" s="186" t="n">
        <x:v>108165</x:v>
      </x:c>
      <x:c r="L244" s="186" t="n">
        <x:f>J244-K244</x:f>
        <x:v>16183</x:v>
      </x:c>
      <x:c r="M244" s="186" t="n">
        <x:v>119064</x:v>
      </x:c>
      <x:c r="N244" s="186" t="n">
        <x:v>79747</x:v>
      </x:c>
      <x:c r="O244" s="186" t="n">
        <x:f>M244-N244</x:f>
        <x:v>39317</x:v>
      </x:c>
      <x:c r="P244" s="186" t="n">
        <x:v>90513</x:v>
      </x:c>
      <x:c r="Q244" s="186" t="n">
        <x:v>23051</x:v>
      </x:c>
      <x:c r="R244" s="186" t="n">
        <x:f>P244-Q244</x:f>
        <x:v>67462</x:v>
      </x:c>
      <x:c r="S244" s="186" t="n">
        <x:v>52288</x:v>
      </x:c>
      <x:c r="T244" s="186" t="n">
        <x:v>27195</x:v>
      </x:c>
      <x:c r="U244" s="186" t="n">
        <x:f>S244-T244</x:f>
        <x:v>25093</x:v>
      </x:c>
      <x:c r="V244" s="196" t="n">
        <x:f>IFERROR(O244/F244,"")</x:f>
        <x:v>0.07743286145313891</x:v>
      </x:c>
      <x:c r="W244" s="196" t="n">
        <x:f>IFERROR(I244/F244,"")</x:f>
        <x:v>-0.2915869039459898</x:v>
      </x:c>
    </x:row>
    <x:row r="245">
      <x:c r="A245" s="186" t="str">
        <x:v>Silver</x:v>
      </x:c>
      <x:c r="B245" s="187" t="n">
        <x:v>43221</x:v>
      </x:c>
      <x:c r="C245" s="187" t="n">
        <x:v>43224</x:v>
      </x:c>
      <x:c r="D245" s="186" t="str">
        <x:v>084691-SILVER</x:v>
      </x:c>
      <x:c r="E245" s="186" t="str">
        <x:v>SILVER - COMMODITY EXCHANGE INC.</x:v>
      </x:c>
      <x:c r="F245" s="186" t="n">
        <x:v>194685</x:v>
      </x:c>
      <x:c r="G245" s="186" t="n">
        <x:v>22689</x:v>
      </x:c>
      <x:c r="H245" s="186" t="n">
        <x:v>48232</x:v>
      </x:c>
      <x:c r="I245" s="186" t="n">
        <x:f>G245-H245</x:f>
        <x:v>-25543</x:v>
      </x:c>
      <x:c r="J245" s="186" t="n">
        <x:v>51834</x:v>
      </x:c>
      <x:c r="K245" s="186" t="n">
        <x:v>38269</x:v>
      </x:c>
      <x:c r="L245" s="186" t="n">
        <x:f>J245-K245</x:f>
        <x:v>13565</x:v>
      </x:c>
      <x:c r="M245" s="186" t="n">
        <x:v>43295</x:v>
      </x:c>
      <x:c r="N245" s="186" t="n">
        <x:v>67181</x:v>
      </x:c>
      <x:c r="O245" s="186" t="n">
        <x:f>M245-N245</x:f>
        <x:v>-23886</x:v>
      </x:c>
      <x:c r="P245" s="186" t="n">
        <x:v>25233</x:v>
      </x:c>
      <x:c r="Q245" s="186" t="n">
        <x:v>8543</x:v>
      </x:c>
      <x:c r="R245" s="186" t="n">
        <x:f>P245-Q245</x:f>
        <x:v>16690</x:v>
      </x:c>
      <x:c r="S245" s="186" t="n">
        <x:v>32743</x:v>
      </x:c>
      <x:c r="T245" s="186" t="n">
        <x:v>13569</x:v>
      </x:c>
      <x:c r="U245" s="186" t="n">
        <x:f>S245-T245</x:f>
        <x:v>19174</x:v>
      </x:c>
      <x:c r="V245" s="196" t="n">
        <x:f>IFERROR(O245/F245,"")</x:f>
        <x:v>-0.12269050003852378</x:v>
      </x:c>
      <x:c r="W245" s="196" t="n">
        <x:f>IFERROR(I245/F245,"")</x:f>
        <x:v>-0.13120168477283817</x:v>
      </x:c>
    </x:row>
    <x:row r="246">
      <x:c r="A246" s="186" t="str">
        <x:v>Gold</x:v>
      </x:c>
      <x:c r="B246" s="187" t="n">
        <x:v>43228</x:v>
      </x:c>
      <x:c r="C246" s="187" t="n">
        <x:v>43231</x:v>
      </x:c>
      <x:c r="D246" s="186" t="str">
        <x:v>088691-GOLD</x:v>
      </x:c>
      <x:c r="E246" s="186" t="str">
        <x:v>GOLD - COMMODITY EXCHANGE INC.</x:v>
      </x:c>
      <x:c r="F246" s="186" t="n">
        <x:v>491398</x:v>
      </x:c>
      <x:c r="G246" s="186" t="n">
        <x:v>34195</x:v>
      </x:c>
      <x:c r="H246" s="186" t="n">
        <x:v>182428</x:v>
      </x:c>
      <x:c r="I246" s="186" t="n">
        <x:f>G246-H246</x:f>
        <x:v>-148233</x:v>
      </x:c>
      <x:c r="J246" s="186" t="n">
        <x:v>121849</x:v>
      </x:c>
      <x:c r="K246" s="186" t="n">
        <x:v>108600</x:v>
      </x:c>
      <x:c r="L246" s="186" t="n">
        <x:f>J246-K246</x:f>
        <x:v>13249</x:v>
      </x:c>
      <x:c r="M246" s="186" t="n">
        <x:v>109508</x:v>
      </x:c>
      <x:c r="N246" s="186" t="n">
        <x:v>67869</x:v>
      </x:c>
      <x:c r="O246" s="186" t="n">
        <x:f>M246-N246</x:f>
        <x:v>41639</x:v>
      </x:c>
      <x:c r="P246" s="186" t="n">
        <x:v>89040</x:v>
      </x:c>
      <x:c r="Q246" s="186" t="n">
        <x:v>23239</x:v>
      </x:c>
      <x:c r="R246" s="186" t="n">
        <x:f>P246-Q246</x:f>
        <x:v>65801</x:v>
      </x:c>
      <x:c r="S246" s="186" t="n">
        <x:v>53651</x:v>
      </x:c>
      <x:c r="T246" s="186" t="n">
        <x:v>26107</x:v>
      </x:c>
      <x:c r="U246" s="186" t="n">
        <x:f>S246-T246</x:f>
        <x:v>27544</x:v>
      </x:c>
      <x:c r="V246" s="196" t="n">
        <x:f>IFERROR(O246/F246,"")</x:f>
        <x:v>0.08473579461047867</x:v>
      </x:c>
      <x:c r="W246" s="196" t="n">
        <x:f>IFERROR(I246/F246,"")</x:f>
        <x:v>-0.3016556843943199</x:v>
      </x:c>
    </x:row>
    <x:row r="247">
      <x:c r="A247" s="186" t="str">
        <x:v>Silver</x:v>
      </x:c>
      <x:c r="B247" s="187" t="n">
        <x:v>43228</x:v>
      </x:c>
      <x:c r="C247" s="187" t="n">
        <x:v>43231</x:v>
      </x:c>
      <x:c r="D247" s="186" t="str">
        <x:v>084691-SILVER</x:v>
      </x:c>
      <x:c r="E247" s="186" t="str">
        <x:v>SILVER - COMMODITY EXCHANGE INC.</x:v>
      </x:c>
      <x:c r="F247" s="186" t="n">
        <x:v>195865</x:v>
      </x:c>
      <x:c r="G247" s="186" t="n">
        <x:v>22099</x:v>
      </x:c>
      <x:c r="H247" s="186" t="n">
        <x:v>50210</x:v>
      </x:c>
      <x:c r="I247" s="186" t="n">
        <x:f>G247-H247</x:f>
        <x:v>-28111</x:v>
      </x:c>
      <x:c r="J247" s="186" t="n">
        <x:v>52342</x:v>
      </x:c>
      <x:c r="K247" s="186" t="n">
        <x:v>41308</x:v>
      </x:c>
      <x:c r="L247" s="186" t="n">
        <x:f>J247-K247</x:f>
        <x:v>11034</x:v>
      </x:c>
      <x:c r="M247" s="186" t="n">
        <x:v>47919</x:v>
      </x:c>
      <x:c r="N247" s="186" t="n">
        <x:v>67402</x:v>
      </x:c>
      <x:c r="O247" s="186" t="n">
        <x:f>M247-N247</x:f>
        <x:v>-19483</x:v>
      </x:c>
      <x:c r="P247" s="186" t="n">
        <x:v>24794</x:v>
      </x:c>
      <x:c r="Q247" s="186" t="n">
        <x:v>5432</x:v>
      </x:c>
      <x:c r="R247" s="186" t="n">
        <x:f>P247-Q247</x:f>
        <x:v>19362</x:v>
      </x:c>
      <x:c r="S247" s="186" t="n">
        <x:v>30792</x:v>
      </x:c>
      <x:c r="T247" s="186" t="n">
        <x:v>13594</x:v>
      </x:c>
      <x:c r="U247" s="186" t="n">
        <x:f>S247-T247</x:f>
        <x:v>17198</x:v>
      </x:c>
      <x:c r="V247" s="196" t="n">
        <x:f>IFERROR(O247/F247,"")</x:f>
        <x:v>-0.09947157480917979</x:v>
      </x:c>
      <x:c r="W247" s="196" t="n">
        <x:f>IFERROR(I247/F247,"")</x:f>
        <x:v>-0.14352232404972812</x:v>
      </x:c>
    </x:row>
    <x:row r="248">
      <x:c r="A248" s="186" t="str">
        <x:v>Gold</x:v>
      </x:c>
      <x:c r="B248" s="187" t="n">
        <x:v>43235</x:v>
      </x:c>
      <x:c r="C248" s="187" t="n">
        <x:v>43238</x:v>
      </x:c>
      <x:c r="D248" s="186" t="str">
        <x:v>088691-GOLD</x:v>
      </x:c>
      <x:c r="E248" s="186" t="str">
        <x:v>GOLD - COMMODITY EXCHANGE INC.</x:v>
      </x:c>
      <x:c r="F248" s="186" t="n">
        <x:v>519958</x:v>
      </x:c>
      <x:c r="G248" s="186" t="n">
        <x:v>35688</x:v>
      </x:c>
      <x:c r="H248" s="186" t="n">
        <x:v>175548</x:v>
      </x:c>
      <x:c r="I248" s="186" t="n">
        <x:f>G248-H248</x:f>
        <x:v>-139860</x:v>
      </x:c>
      <x:c r="J248" s="186" t="n">
        <x:v>121526</x:v>
      </x:c>
      <x:c r="K248" s="186" t="n">
        <x:v>99755</x:v>
      </x:c>
      <x:c r="L248" s="186" t="n">
        <x:f>J248-K248</x:f>
        <x:v>21771</x:v>
      </x:c>
      <x:c r="M248" s="186" t="n">
        <x:v>103256</x:v>
      </x:c>
      <x:c r="N248" s="186" t="n">
        <x:v>84258</x:v>
      </x:c>
      <x:c r="O248" s="186" t="n">
        <x:f>M248-N248</x:f>
        <x:v>18998</x:v>
      </x:c>
      <x:c r="P248" s="186" t="n">
        <x:v>98212</x:v>
      </x:c>
      <x:c r="Q248" s="186" t="n">
        <x:v>24767</x:v>
      </x:c>
      <x:c r="R248" s="186" t="n">
        <x:f>P248-Q248</x:f>
        <x:v>73445</x:v>
      </x:c>
      <x:c r="S248" s="186" t="n">
        <x:v>57246</x:v>
      </x:c>
      <x:c r="T248" s="186" t="n">
        <x:v>31600</x:v>
      </x:c>
      <x:c r="U248" s="186" t="n">
        <x:f>S248-T248</x:f>
        <x:v>25646</x:v>
      </x:c>
      <x:c r="V248" s="196" t="n">
        <x:f>IFERROR(O248/F248,"")</x:f>
        <x:v>0.03653756649575542</x:v>
      </x:c>
      <x:c r="W248" s="196" t="n">
        <x:f>IFERROR(I248/F248,"")</x:f>
        <x:v>-0.2689832640328642</x:v>
      </x:c>
    </x:row>
    <x:row r="249">
      <x:c r="A249" s="186" t="str">
        <x:v>Silver</x:v>
      </x:c>
      <x:c r="B249" s="187" t="n">
        <x:v>43235</x:v>
      </x:c>
      <x:c r="C249" s="187" t="n">
        <x:v>43238</x:v>
      </x:c>
      <x:c r="D249" s="186" t="str">
        <x:v>084691-SILVER</x:v>
      </x:c>
      <x:c r="E249" s="186" t="str">
        <x:v>SILVER - COMMODITY EXCHANGE INC.</x:v>
      </x:c>
      <x:c r="F249" s="186" t="n">
        <x:v>198065</x:v>
      </x:c>
      <x:c r="G249" s="186" t="n">
        <x:v>22727</x:v>
      </x:c>
      <x:c r="H249" s="186" t="n">
        <x:v>53642</x:v>
      </x:c>
      <x:c r="I249" s="186" t="n">
        <x:f>G249-H249</x:f>
        <x:v>-30915</x:v>
      </x:c>
      <x:c r="J249" s="186" t="n">
        <x:v>52539</x:v>
      </x:c>
      <x:c r="K249" s="186" t="n">
        <x:v>39690</x:v>
      </x:c>
      <x:c r="L249" s="186" t="n">
        <x:f>J249-K249</x:f>
        <x:v>12849</x:v>
      </x:c>
      <x:c r="M249" s="186" t="n">
        <x:v>49041</x:v>
      </x:c>
      <x:c r="N249" s="186" t="n">
        <x:v>65654</x:v>
      </x:c>
      <x:c r="O249" s="186" t="n">
        <x:f>M249-N249</x:f>
        <x:v>-16613</x:v>
      </x:c>
      <x:c r="P249" s="186" t="n">
        <x:v>23622</x:v>
      </x:c>
      <x:c r="Q249" s="186" t="n">
        <x:v>6351</x:v>
      </x:c>
      <x:c r="R249" s="186" t="n">
        <x:f>P249-Q249</x:f>
        <x:v>17271</x:v>
      </x:c>
      <x:c r="S249" s="186" t="n">
        <x:v>30546</x:v>
      </x:c>
      <x:c r="T249" s="186" t="n">
        <x:v>13138</x:v>
      </x:c>
      <x:c r="U249" s="186" t="n">
        <x:f>S249-T249</x:f>
        <x:v>17408</x:v>
      </x:c>
      <x:c r="V249" s="196" t="n">
        <x:f>IFERROR(O249/F249,"")</x:f>
        <x:v>-0.08387650518769091</x:v>
      </x:c>
      <x:c r="W249" s="196" t="n">
        <x:f>IFERROR(I249/F249,"")</x:f>
        <x:v>-0.15608512357054502</x:v>
      </x:c>
    </x:row>
    <x:row r="250">
      <x:c r="A250" s="186" t="str">
        <x:v>Gold</x:v>
      </x:c>
      <x:c r="B250" s="187" t="n">
        <x:v>43242</x:v>
      </x:c>
      <x:c r="C250" s="187" t="n">
        <x:v>43245</x:v>
      </x:c>
      <x:c r="D250" s="186" t="str">
        <x:v>088691-GOLD</x:v>
      </x:c>
      <x:c r="E250" s="186" t="str">
        <x:v>GOLD - COMMODITY EXCHANGE INC.</x:v>
      </x:c>
      <x:c r="F250" s="186" t="n">
        <x:v>502942</x:v>
      </x:c>
      <x:c r="G250" s="186" t="n">
        <x:v>37972</x:v>
      </x:c>
      <x:c r="H250" s="186" t="n">
        <x:v>167276</x:v>
      </x:c>
      <x:c r="I250" s="186" t="n">
        <x:f>G250-H250</x:f>
        <x:v>-129304</x:v>
      </x:c>
      <x:c r="J250" s="186" t="n">
        <x:v>118596</x:v>
      </x:c>
      <x:c r="K250" s="186" t="n">
        <x:v>104867</x:v>
      </x:c>
      <x:c r="L250" s="186" t="n">
        <x:f>J250-K250</x:f>
        <x:v>13729</x:v>
      </x:c>
      <x:c r="M250" s="186" t="n">
        <x:v>91411</x:v>
      </x:c>
      <x:c r="N250" s="186" t="n">
        <x:v>74880</x:v>
      </x:c>
      <x:c r="O250" s="186" t="n">
        <x:f>M250-N250</x:f>
        <x:v>16531</x:v>
      </x:c>
      <x:c r="P250" s="186" t="n">
        <x:v>98266</x:v>
      </x:c>
      <x:c r="Q250" s="186" t="n">
        <x:v>23840</x:v>
      </x:c>
      <x:c r="R250" s="186" t="n">
        <x:f>P250-Q250</x:f>
        <x:v>74426</x:v>
      </x:c>
      <x:c r="S250" s="186" t="n">
        <x:v>54558</x:v>
      </x:c>
      <x:c r="T250" s="186" t="n">
        <x:v>29940</x:v>
      </x:c>
      <x:c r="U250" s="186" t="n">
        <x:f>S250-T250</x:f>
        <x:v>24618</x:v>
      </x:c>
      <x:c r="V250" s="196" t="n">
        <x:f>IFERROR(O250/F250,"")</x:f>
        <x:v>0.03286860115082853</x:v>
      </x:c>
      <x:c r="W250" s="196" t="n">
        <x:f>IFERROR(I250/F250,"")</x:f>
        <x:v>-0.257095251539939</x:v>
      </x:c>
    </x:row>
    <x:row r="251">
      <x:c r="A251" s="186" t="str">
        <x:v>Silver</x:v>
      </x:c>
      <x:c r="B251" s="187" t="n">
        <x:v>43242</x:v>
      </x:c>
      <x:c r="C251" s="187" t="n">
        <x:v>43245</x:v>
      </x:c>
      <x:c r="D251" s="186" t="str">
        <x:v>084691-SILVER</x:v>
      </x:c>
      <x:c r="E251" s="186" t="str">
        <x:v>SILVER - COMMODITY EXCHANGE INC.</x:v>
      </x:c>
      <x:c r="F251" s="186" t="n">
        <x:v>198248</x:v>
      </x:c>
      <x:c r="G251" s="186" t="n">
        <x:v>23183</x:v>
      </x:c>
      <x:c r="H251" s="186" t="n">
        <x:v>60532</x:v>
      </x:c>
      <x:c r="I251" s="186" t="n">
        <x:f>G251-H251</x:f>
        <x:v>-37349</x:v>
      </x:c>
      <x:c r="J251" s="186" t="n">
        <x:v>50469</x:v>
      </x:c>
      <x:c r="K251" s="186" t="n">
        <x:v>44543</x:v>
      </x:c>
      <x:c r="L251" s="186" t="n">
        <x:f>J251-K251</x:f>
        <x:v>5926</x:v>
      </x:c>
      <x:c r="M251" s="186" t="n">
        <x:v>56388</x:v>
      </x:c>
      <x:c r="N251" s="186" t="n">
        <x:v>56978</x:v>
      </x:c>
      <x:c r="O251" s="186" t="n">
        <x:f>M251-N251</x:f>
        <x:v>-590</x:v>
      </x:c>
      <x:c r="P251" s="186" t="n">
        <x:v>21619</x:v>
      </x:c>
      <x:c r="Q251" s="186" t="n">
        <x:v>5804</x:v>
      </x:c>
      <x:c r="R251" s="186" t="n">
        <x:f>P251-Q251</x:f>
        <x:v>15815</x:v>
      </x:c>
      <x:c r="S251" s="186" t="n">
        <x:v>29116</x:v>
      </x:c>
      <x:c r="T251" s="186" t="n">
        <x:v>12918</x:v>
      </x:c>
      <x:c r="U251" s="186" t="n">
        <x:f>S251-T251</x:f>
        <x:v>16198</x:v>
      </x:c>
      <x:c r="V251" s="196" t="n">
        <x:f>IFERROR(O251/F251,"")</x:f>
        <x:v>-0.0029760703764981234</x:v>
      </x:c>
      <x:c r="W251" s="196" t="n">
        <x:f>IFERROR(I251/F251,"")</x:f>
        <x:v>-0.18839534320648885</x:v>
      </x:c>
    </x:row>
    <x:row r="252">
      <x:c r="A252" s="186" t="str">
        <x:v>Gold</x:v>
      </x:c>
      <x:c r="B252" s="187" t="n">
        <x:v>43249</x:v>
      </x:c>
      <x:c r="C252" s="187" t="n">
        <x:v>43252</x:v>
      </x:c>
      <x:c r="D252" s="186" t="str">
        <x:v>088691-GOLD</x:v>
      </x:c>
      <x:c r="E252" s="186" t="str">
        <x:v>GOLD - COMMODITY EXCHANGE INC.</x:v>
      </x:c>
      <x:c r="F252" s="186" t="n">
        <x:v>469382</x:v>
      </x:c>
      <x:c r="G252" s="186" t="n">
        <x:v>33583</x:v>
      </x:c>
      <x:c r="H252" s="186" t="n">
        <x:v>170958</x:v>
      </x:c>
      <x:c r="I252" s="186" t="n">
        <x:f>G252-H252</x:f>
        <x:v>-137375</x:v>
      </x:c>
      <x:c r="J252" s="186" t="n">
        <x:v>114188</x:v>
      </x:c>
      <x:c r="K252" s="186" t="n">
        <x:v>113502</x:v>
      </x:c>
      <x:c r="L252" s="186" t="n">
        <x:f>J252-K252</x:f>
        <x:v>686</x:v>
      </x:c>
      <x:c r="M252" s="186" t="n">
        <x:v>107882</x:v>
      </x:c>
      <x:c r="N252" s="186" t="n">
        <x:v>53881</x:v>
      </x:c>
      <x:c r="O252" s="186" t="n">
        <x:f>M252-N252</x:f>
        <x:v>54001</x:v>
      </x:c>
      <x:c r="P252" s="186" t="n">
        <x:v>85770</x:v>
      </x:c>
      <x:c r="Q252" s="186" t="n">
        <x:v>24641</x:v>
      </x:c>
      <x:c r="R252" s="186" t="n">
        <x:f>P252-Q252</x:f>
        <x:v>61129</x:v>
      </x:c>
      <x:c r="S252" s="186" t="n">
        <x:v>51427</x:v>
      </x:c>
      <x:c r="T252" s="186" t="n">
        <x:v>29868</x:v>
      </x:c>
      <x:c r="U252" s="186" t="n">
        <x:f>S252-T252</x:f>
        <x:v>21559</x:v>
      </x:c>
      <x:c r="V252" s="196" t="n">
        <x:f>IFERROR(O252/F252,"")</x:f>
        <x:v>0.11504701927214933</x:v>
      </x:c>
      <x:c r="W252" s="196" t="n">
        <x:f>IFERROR(I252/F252,"")</x:f>
        <x:v>-0.2926720666749045</x:v>
      </x:c>
    </x:row>
    <x:row r="253">
      <x:c r="A253" s="186" t="str">
        <x:v>Silver</x:v>
      </x:c>
      <x:c r="B253" s="187" t="n">
        <x:v>43249</x:v>
      </x:c>
      <x:c r="C253" s="187" t="n">
        <x:v>43252</x:v>
      </x:c>
      <x:c r="D253" s="186" t="str">
        <x:v>084691-SILVER</x:v>
      </x:c>
      <x:c r="E253" s="186" t="str">
        <x:v>SILVER - COMMODITY EXCHANGE INC.</x:v>
      </x:c>
      <x:c r="F253" s="186" t="n">
        <x:v>207610</x:v>
      </x:c>
      <x:c r="G253" s="186" t="n">
        <x:v>22047</x:v>
      </x:c>
      <x:c r="H253" s="186" t="n">
        <x:v>62781</x:v>
      </x:c>
      <x:c r="I253" s="186" t="n">
        <x:f>G253-H253</x:f>
        <x:v>-40734</x:v>
      </x:c>
      <x:c r="J253" s="186" t="n">
        <x:v>51776</x:v>
      </x:c>
      <x:c r="K253" s="186" t="n">
        <x:v>46339</x:v>
      </x:c>
      <x:c r="L253" s="186" t="n">
        <x:f>J253-K253</x:f>
        <x:v>5437</x:v>
      </x:c>
      <x:c r="M253" s="186" t="n">
        <x:v>59999</x:v>
      </x:c>
      <x:c r="N253" s="186" t="n">
        <x:v>59208</x:v>
      </x:c>
      <x:c r="O253" s="186" t="n">
        <x:f>M253-N253</x:f>
        <x:v>791</x:v>
      </x:c>
      <x:c r="P253" s="186" t="n">
        <x:v>23067</x:v>
      </x:c>
      <x:c r="Q253" s="186" t="n">
        <x:v>6405</x:v>
      </x:c>
      <x:c r="R253" s="186" t="n">
        <x:f>P253-Q253</x:f>
        <x:v>16662</x:v>
      </x:c>
      <x:c r="S253" s="186" t="n">
        <x:v>30750</x:v>
      </x:c>
      <x:c r="T253" s="186" t="n">
        <x:v>12906</x:v>
      </x:c>
      <x:c r="U253" s="186" t="n">
        <x:f>S253-T253</x:f>
        <x:v>17844</x:v>
      </x:c>
      <x:c r="V253" s="196" t="n">
        <x:f>IFERROR(O253/F253,"")</x:f>
        <x:v>0.003810028418669621</x:v>
      </x:c>
      <x:c r="W253" s="196" t="n">
        <x:f>IFERROR(I253/F253,"")</x:f>
        <x:v>-0.19620442175232408</x:v>
      </x:c>
    </x:row>
    <x:row r="254">
      <x:c r="A254" s="186" t="str">
        <x:v>Gold</x:v>
      </x:c>
      <x:c r="B254" s="187" t="n">
        <x:v>43256</x:v>
      </x:c>
      <x:c r="C254" s="187" t="n">
        <x:v>43259</x:v>
      </x:c>
      <x:c r="D254" s="186" t="str">
        <x:v>088691-GOLD</x:v>
      </x:c>
      <x:c r="E254" s="186" t="str">
        <x:v>GOLD - COMMODITY EXCHANGE INC.</x:v>
      </x:c>
      <x:c r="F254" s="186" t="n">
        <x:v>450641</x:v>
      </x:c>
      <x:c r="G254" s="186" t="n">
        <x:v>42172</x:v>
      </x:c>
      <x:c r="H254" s="186" t="n">
        <x:v>140296</x:v>
      </x:c>
      <x:c r="I254" s="186" t="n">
        <x:f>G254-H254</x:f>
        <x:v>-98124</x:v>
      </x:c>
      <x:c r="J254" s="186" t="n">
        <x:v>97169</x:v>
      </x:c>
      <x:c r="K254" s="186" t="n">
        <x:v>133392</x:v>
      </x:c>
      <x:c r="L254" s="186" t="n">
        <x:f>J254-K254</x:f>
        <x:v>-36223</x:v>
      </x:c>
      <x:c r="M254" s="186" t="n">
        <x:v>100027</x:v>
      </x:c>
      <x:c r="N254" s="186" t="n">
        <x:v>49147</x:v>
      </x:c>
      <x:c r="O254" s="186" t="n">
        <x:f>M254-N254</x:f>
        <x:v>50880</x:v>
      </x:c>
      <x:c r="P254" s="186" t="n">
        <x:v>85294</x:v>
      </x:c>
      <x:c r="Q254" s="186" t="n">
        <x:v>24758</x:v>
      </x:c>
      <x:c r="R254" s="186" t="n">
        <x:f>P254-Q254</x:f>
        <x:v>60536</x:v>
      </x:c>
      <x:c r="S254" s="186" t="n">
        <x:v>50584</x:v>
      </x:c>
      <x:c r="T254" s="186" t="n">
        <x:v>27653</x:v>
      </x:c>
      <x:c r="U254" s="186" t="n">
        <x:f>S254-T254</x:f>
        <x:v>22931</x:v>
      </x:c>
      <x:c r="V254" s="196" t="n">
        <x:f>IFERROR(O254/F254,"")</x:f>
        <x:v>0.1129058385721672</x:v>
      </x:c>
      <x:c r="W254" s="196" t="n">
        <x:f>IFERROR(I254/F254,"")</x:f>
        <x:v>-0.21774317028410642</x:v>
      </x:c>
    </x:row>
    <x:row r="255">
      <x:c r="A255" s="186" t="str">
        <x:v>Silver</x:v>
      </x:c>
      <x:c r="B255" s="187" t="n">
        <x:v>43256</x:v>
      </x:c>
      <x:c r="C255" s="187" t="n">
        <x:v>43259</x:v>
      </x:c>
      <x:c r="D255" s="186" t="str">
        <x:v>084691-SILVER</x:v>
      </x:c>
      <x:c r="E255" s="186" t="str">
        <x:v>SILVER - COMMODITY EXCHANGE INC.</x:v>
      </x:c>
      <x:c r="F255" s="186" t="n">
        <x:v>211605</x:v>
      </x:c>
      <x:c r="G255" s="186" t="n">
        <x:v>19853</x:v>
      </x:c>
      <x:c r="H255" s="186" t="n">
        <x:v>62443</x:v>
      </x:c>
      <x:c r="I255" s="186" t="n">
        <x:f>G255-H255</x:f>
        <x:v>-42590</x:v>
      </x:c>
      <x:c r="J255" s="186" t="n">
        <x:v>51529</x:v>
      </x:c>
      <x:c r="K255" s="186" t="n">
        <x:v>46486</x:v>
      </x:c>
      <x:c r="L255" s="186" t="n">
        <x:f>J255-K255</x:f>
        <x:v>5043</x:v>
      </x:c>
      <x:c r="M255" s="186" t="n">
        <x:v>63720</x:v>
      </x:c>
      <x:c r="N255" s="186" t="n">
        <x:v>59101</x:v>
      </x:c>
      <x:c r="O255" s="186" t="n">
        <x:f>M255-N255</x:f>
        <x:v>4619</x:v>
      </x:c>
      <x:c r="P255" s="186" t="n">
        <x:v>21350</x:v>
      </x:c>
      <x:c r="Q255" s="186" t="n">
        <x:v>6535</x:v>
      </x:c>
      <x:c r="R255" s="186" t="n">
        <x:f>P255-Q255</x:f>
        <x:v>14815</x:v>
      </x:c>
      <x:c r="S255" s="186" t="n">
        <x:v>30637</x:v>
      </x:c>
      <x:c r="T255" s="186" t="n">
        <x:v>12524</x:v>
      </x:c>
      <x:c r="U255" s="186" t="n">
        <x:f>S255-T255</x:f>
        <x:v>18113</x:v>
      </x:c>
      <x:c r="V255" s="196" t="n">
        <x:f>IFERROR(O255/F255,"")</x:f>
        <x:v>0.021828406701164906</x:v>
      </x:c>
      <x:c r="W255" s="196" t="n">
        <x:f>IFERROR(I255/F255,"")</x:f>
        <x:v>-0.201271236501973</x:v>
      </x:c>
    </x:row>
    <x:row r="256">
      <x:c r="A256" s="186" t="str">
        <x:v>Gold</x:v>
      </x:c>
      <x:c r="B256" s="187" t="n">
        <x:v>43263</x:v>
      </x:c>
      <x:c r="C256" s="187" t="n">
        <x:v>43266</x:v>
      </x:c>
      <x:c r="D256" s="186" t="str">
        <x:v>088691-GOLD</x:v>
      </x:c>
      <x:c r="E256" s="186" t="str">
        <x:v>GOLD - COMMODITY EXCHANGE INC.</x:v>
      </x:c>
      <x:c r="F256" s="186" t="n">
        <x:v>448695</x:v>
      </x:c>
      <x:c r="G256" s="186" t="n">
        <x:v>43227</x:v>
      </x:c>
      <x:c r="H256" s="186" t="n">
        <x:v>138843</x:v>
      </x:c>
      <x:c r="I256" s="186" t="n">
        <x:f>G256-H256</x:f>
        <x:v>-95616</x:v>
      </x:c>
      <x:c r="J256" s="186" t="n">
        <x:v>93548</x:v>
      </x:c>
      <x:c r="K256" s="186" t="n">
        <x:v>138519</x:v>
      </x:c>
      <x:c r="L256" s="186" t="n">
        <x:f>J256-K256</x:f>
        <x:v>-44971</x:v>
      </x:c>
      <x:c r="M256" s="186" t="n">
        <x:v>104313</x:v>
      </x:c>
      <x:c r="N256" s="186" t="n">
        <x:v>48809</x:v>
      </x:c>
      <x:c r="O256" s="186" t="n">
        <x:f>M256-N256</x:f>
        <x:v>55504</x:v>
      </x:c>
      <x:c r="P256" s="186" t="n">
        <x:v>88439</x:v>
      </x:c>
      <x:c r="Q256" s="186" t="n">
        <x:v>23703</x:v>
      </x:c>
      <x:c r="R256" s="186" t="n">
        <x:f>P256-Q256</x:f>
        <x:v>64736</x:v>
      </x:c>
      <x:c r="S256" s="186" t="n">
        <x:v>48159</x:v>
      </x:c>
      <x:c r="T256" s="186" t="n">
        <x:v>27812</x:v>
      </x:c>
      <x:c r="U256" s="186" t="n">
        <x:f>S256-T256</x:f>
        <x:v>20347</x:v>
      </x:c>
      <x:c r="V256" s="196" t="n">
        <x:f>IFERROR(O256/F256,"")</x:f>
        <x:v>0.12370095499169814</x:v>
      </x:c>
      <x:c r="W256" s="196" t="n">
        <x:f>IFERROR(I256/F256,"")</x:f>
        <x:v>-0.21309798415404674</x:v>
      </x:c>
    </x:row>
    <x:row r="257">
      <x:c r="A257" s="186" t="str">
        <x:v>Silver</x:v>
      </x:c>
      <x:c r="B257" s="187" t="n">
        <x:v>43263</x:v>
      </x:c>
      <x:c r="C257" s="187" t="n">
        <x:v>43266</x:v>
      </x:c>
      <x:c r="D257" s="186" t="str">
        <x:v>084691-SILVER</x:v>
      </x:c>
      <x:c r="E257" s="186" t="str">
        <x:v>SILVER - COMMODITY EXCHANGE INC.</x:v>
      </x:c>
      <x:c r="F257" s="186" t="n">
        <x:v>230163</x:v>
      </x:c>
      <x:c r="G257" s="186" t="n">
        <x:v>16525</x:v>
      </x:c>
      <x:c r="H257" s="186" t="n">
        <x:v>70453</x:v>
      </x:c>
      <x:c r="I257" s="186" t="n">
        <x:f>G257-H257</x:f>
        <x:v>-53928</x:v>
      </x:c>
      <x:c r="J257" s="186" t="n">
        <x:v>47292</x:v>
      </x:c>
      <x:c r="K257" s="186" t="n">
        <x:v>60746</x:v>
      </x:c>
      <x:c r="L257" s="186" t="n">
        <x:f>J257-K257</x:f>
        <x:v>-13454</x:v>
      </x:c>
      <x:c r="M257" s="186" t="n">
        <x:v>83823</x:v>
      </x:c>
      <x:c r="N257" s="186" t="n">
        <x:v>43079</x:v>
      </x:c>
      <x:c r="O257" s="186" t="n">
        <x:f>M257-N257</x:f>
        <x:v>40744</x:v>
      </x:c>
      <x:c r="P257" s="186" t="n">
        <x:v>17310</x:v>
      </x:c>
      <x:c r="Q257" s="186" t="n">
        <x:v>8324</x:v>
      </x:c>
      <x:c r="R257" s="186" t="n">
        <x:f>P257-Q257</x:f>
        <x:v>8986</x:v>
      </x:c>
      <x:c r="S257" s="186" t="n">
        <x:v>30828</x:v>
      </x:c>
      <x:c r="T257" s="186" t="n">
        <x:v>13176</x:v>
      </x:c>
      <x:c r="U257" s="186" t="n">
        <x:f>S257-T257</x:f>
        <x:v>17652</x:v>
      </x:c>
      <x:c r="V257" s="196" t="n">
        <x:f>IFERROR(O257/F257,"")</x:f>
        <x:v>0.17702237110221886</x:v>
      </x:c>
      <x:c r="W257" s="196" t="n">
        <x:f>IFERROR(I257/F257,"")</x:f>
        <x:v>-0.23430351533478447</x:v>
      </x:c>
    </x:row>
    <x:row r="258">
      <x:c r="A258" s="186" t="str">
        <x:v>Gold</x:v>
      </x:c>
      <x:c r="B258" s="187" t="n">
        <x:v>43270</x:v>
      </x:c>
      <x:c r="C258" s="187" t="n">
        <x:v>43273</x:v>
      </x:c>
      <x:c r="D258" s="186" t="str">
        <x:v>088691-GOLD</x:v>
      </x:c>
      <x:c r="E258" s="186" t="str">
        <x:v>GOLD - COMMODITY EXCHANGE INC.</x:v>
      </x:c>
      <x:c r="F258" s="186" t="n">
        <x:v>468345</x:v>
      </x:c>
      <x:c r="G258" s="186" t="n">
        <x:v>45041</x:v>
      </x:c>
      <x:c r="H258" s="186" t="n">
        <x:v>116231</x:v>
      </x:c>
      <x:c r="I258" s="186" t="n">
        <x:f>G258-H258</x:f>
        <x:v>-71190</x:v>
      </x:c>
      <x:c r="J258" s="186" t="n">
        <x:v>95221</x:v>
      </x:c>
      <x:c r="K258" s="186" t="n">
        <x:v>138155</x:v>
      </x:c>
      <x:c r="L258" s="186" t="n">
        <x:f>J258-K258</x:f>
        <x:v>-42934</x:v>
      </x:c>
      <x:c r="M258" s="186" t="n">
        <x:v>94297</x:v>
      </x:c>
      <x:c r="N258" s="186" t="n">
        <x:v>83769</x:v>
      </x:c>
      <x:c r="O258" s="186" t="n">
        <x:f>M258-N258</x:f>
        <x:v>10528</x:v>
      </x:c>
      <x:c r="P258" s="186" t="n">
        <x:v>108618</x:v>
      </x:c>
      <x:c r="Q258" s="186" t="n">
        <x:v>22634</x:v>
      </x:c>
      <x:c r="R258" s="186" t="n">
        <x:f>P258-Q258</x:f>
        <x:v>85984</x:v>
      </x:c>
      <x:c r="S258" s="186" t="n">
        <x:v>47073</x:v>
      </x:c>
      <x:c r="T258" s="186" t="n">
        <x:v>29461</x:v>
      </x:c>
      <x:c r="U258" s="186" t="n">
        <x:f>S258-T258</x:f>
        <x:v>17612</x:v>
      </x:c>
      <x:c r="V258" s="196" t="n">
        <x:f>IFERROR(O258/F258,"")</x:f>
        <x:v>0.022479155323532864</x:v>
      </x:c>
      <x:c r="W258" s="196" t="n">
        <x:f>IFERROR(I258/F258,"")</x:f>
        <x:v>-0.15200333087787848</x:v>
      </x:c>
    </x:row>
    <x:row r="259">
      <x:c r="A259" s="186" t="str">
        <x:v>Silver</x:v>
      </x:c>
      <x:c r="B259" s="187" t="n">
        <x:v>43270</x:v>
      </x:c>
      <x:c r="C259" s="187" t="n">
        <x:v>43273</x:v>
      </x:c>
      <x:c r="D259" s="186" t="str">
        <x:v>084691-SILVER</x:v>
      </x:c>
      <x:c r="E259" s="186" t="str">
        <x:v>SILVER - COMMODITY EXCHANGE INC.</x:v>
      </x:c>
      <x:c r="F259" s="186" t="n">
        <x:v>218814</x:v>
      </x:c>
      <x:c r="G259" s="186" t="n">
        <x:v>16957</x:v>
      </x:c>
      <x:c r="H259" s="186" t="n">
        <x:v>62816</x:v>
      </x:c>
      <x:c r="I259" s="186" t="n">
        <x:f>G259-H259</x:f>
        <x:v>-45859</x:v>
      </x:c>
      <x:c r="J259" s="186" t="n">
        <x:v>47553</x:v>
      </x:c>
      <x:c r="K259" s="186" t="n">
        <x:v>60235</x:v>
      </x:c>
      <x:c r="L259" s="186" t="n">
        <x:f>J259-K259</x:f>
        <x:v>-12682</x:v>
      </x:c>
      <x:c r="M259" s="186" t="n">
        <x:v>75158</x:v>
      </x:c>
      <x:c r="N259" s="186" t="n">
        <x:v>47422</x:v>
      </x:c>
      <x:c r="O259" s="186" t="n">
        <x:f>M259-N259</x:f>
        <x:v>27736</x:v>
      </x:c>
      <x:c r="P259" s="186" t="n">
        <x:v>20165</x:v>
      </x:c>
      <x:c r="Q259" s="186" t="n">
        <x:v>6999</x:v>
      </x:c>
      <x:c r="R259" s="186" t="n">
        <x:f>P259-Q259</x:f>
        <x:v>13166</x:v>
      </x:c>
      <x:c r="S259" s="186" t="n">
        <x:v>31117</x:v>
      </x:c>
      <x:c r="T259" s="186" t="n">
        <x:v>13478</x:v>
      </x:c>
      <x:c r="U259" s="186" t="n">
        <x:f>S259-T259</x:f>
        <x:v>17639</x:v>
      </x:c>
      <x:c r="V259" s="196" t="n">
        <x:f>IFERROR(O259/F259,"")</x:f>
        <x:v>0.1267560576562743</x:v>
      </x:c>
      <x:c r="W259" s="196" t="n">
        <x:f>IFERROR(I259/F259,"")</x:f>
        <x:v>-0.20957982578811227</x:v>
      </x:c>
    </x:row>
    <x:row r="260">
      <x:c r="A260" s="186" t="str">
        <x:v>Gold</x:v>
      </x:c>
      <x:c r="B260" s="187" t="n">
        <x:v>43277</x:v>
      </x:c>
      <x:c r="C260" s="187" t="n">
        <x:v>43280</x:v>
      </x:c>
      <x:c r="D260" s="186" t="str">
        <x:v>088691-GOLD</x:v>
      </x:c>
      <x:c r="E260" s="186" t="str">
        <x:v>GOLD - COMMODITY EXCHANGE INC.</x:v>
      </x:c>
      <x:c r="F260" s="186" t="n">
        <x:v>468573</x:v>
      </x:c>
      <x:c r="G260" s="186" t="n">
        <x:v>45108</x:v>
      </x:c>
      <x:c r="H260" s="186" t="n">
        <x:v>116919</x:v>
      </x:c>
      <x:c r="I260" s="186" t="n">
        <x:f>G260-H260</x:f>
        <x:v>-71811</x:v>
      </x:c>
      <x:c r="J260" s="186" t="n">
        <x:v>101135</x:v>
      </x:c>
      <x:c r="K260" s="186" t="n">
        <x:v>124287</x:v>
      </x:c>
      <x:c r="L260" s="186" t="n">
        <x:f>J260-K260</x:f>
        <x:v>-23152</x:v>
      </x:c>
      <x:c r="M260" s="186" t="n">
        <x:v>94845</x:v>
      </x:c>
      <x:c r="N260" s="186" t="n">
        <x:v>94869</x:v>
      </x:c>
      <x:c r="O260" s="186" t="n">
        <x:f>M260-N260</x:f>
        <x:v>-24</x:v>
      </x:c>
      <x:c r="P260" s="186" t="n">
        <x:v>100273</x:v>
      </x:c>
      <x:c r="Q260" s="186" t="n">
        <x:v>23577</x:v>
      </x:c>
      <x:c r="R260" s="186" t="n">
        <x:f>P260-Q260</x:f>
        <x:v>76696</x:v>
      </x:c>
      <x:c r="S260" s="186" t="n">
        <x:v>50420</x:v>
      </x:c>
      <x:c r="T260" s="186" t="n">
        <x:v>32129</x:v>
      </x:c>
      <x:c r="U260" s="186" t="n">
        <x:f>S260-T260</x:f>
        <x:v>18291</x:v>
      </x:c>
      <x:c r="V260" s="196" t="n">
        <x:f>IFERROR(O260/F260,"")</x:f>
        <x:v>-0.000051219340422943705</x:v>
      </x:c>
      <x:c r="W260" s="196" t="n">
        <x:f>IFERROR(I260/F260,"")</x:f>
        <x:v>-0.15325466896300044</x:v>
      </x:c>
    </x:row>
    <x:row r="261">
      <x:c r="A261" s="186" t="str">
        <x:v>Silver</x:v>
      </x:c>
      <x:c r="B261" s="187" t="n">
        <x:v>43277</x:v>
      </x:c>
      <x:c r="C261" s="187" t="n">
        <x:v>43280</x:v>
      </x:c>
      <x:c r="D261" s="186" t="str">
        <x:v>084691-SILVER</x:v>
      </x:c>
      <x:c r="E261" s="186" t="str">
        <x:v>SILVER - COMMODITY EXCHANGE INC.</x:v>
      </x:c>
      <x:c r="F261" s="186" t="n">
        <x:v>218492</x:v>
      </x:c>
      <x:c r="G261" s="186" t="n">
        <x:v>16088</x:v>
      </x:c>
      <x:c r="H261" s="186" t="n">
        <x:v>58127</x:v>
      </x:c>
      <x:c r="I261" s="186" t="n">
        <x:f>G261-H261</x:f>
        <x:v>-42039</x:v>
      </x:c>
      <x:c r="J261" s="186" t="n">
        <x:v>50958</x:v>
      </x:c>
      <x:c r="K261" s="186" t="n">
        <x:v>57950</x:v>
      </x:c>
      <x:c r="L261" s="186" t="n">
        <x:f>J261-K261</x:f>
        <x:v>-6992</x:v>
      </x:c>
      <x:c r="M261" s="186" t="n">
        <x:v>74273</x:v>
      </x:c>
      <x:c r="N261" s="186" t="n">
        <x:v>52212</x:v>
      </x:c>
      <x:c r="O261" s="186" t="n">
        <x:f>M261-N261</x:f>
        <x:v>22061</x:v>
      </x:c>
      <x:c r="P261" s="186" t="n">
        <x:v>19292</x:v>
      </x:c>
      <x:c r="Q261" s="186" t="n">
        <x:v>7132</x:v>
      </x:c>
      <x:c r="R261" s="186" t="n">
        <x:f>P261-Q261</x:f>
        <x:v>12160</x:v>
      </x:c>
      <x:c r="S261" s="186" t="n">
        <x:v>31131</x:v>
      </x:c>
      <x:c r="T261" s="186" t="n">
        <x:v>16321</x:v>
      </x:c>
      <x:c r="U261" s="186" t="n">
        <x:f>S261-T261</x:f>
        <x:v>14810</x:v>
      </x:c>
      <x:c r="V261" s="196" t="n">
        <x:f>IFERROR(O261/F261,"")</x:f>
        <x:v>0.10096937187631584</x:v>
      </x:c>
      <x:c r="W261" s="196" t="n">
        <x:f>IFERROR(I261/F261,"")</x:f>
        <x:v>-0.1924052139208758</x:v>
      </x:c>
    </x:row>
    <x:row r="262">
      <x:c r="A262" s="186" t="str">
        <x:v>Gold</x:v>
      </x:c>
      <x:c r="B262" s="187" t="n">
        <x:v>43284</x:v>
      </x:c>
      <x:c r="C262" s="187" t="n">
        <x:v>43287</x:v>
      </x:c>
      <x:c r="D262" s="186" t="str">
        <x:v>088691-GOLD</x:v>
      </x:c>
      <x:c r="E262" s="186" t="str">
        <x:v>GOLD - COMMODITY EXCHANGE INC.</x:v>
      </x:c>
      <x:c r="F262" s="186" t="n">
        <x:v>494164</x:v>
      </x:c>
      <x:c r="G262" s="186" t="n">
        <x:v>40794</x:v>
      </x:c>
      <x:c r="H262" s="186" t="n">
        <x:v>112038</x:v>
      </x:c>
      <x:c r="I262" s="186" t="n">
        <x:f>G262-H262</x:f>
        <x:v>-71244</x:v>
      </x:c>
      <x:c r="J262" s="186" t="n">
        <x:v>96505</x:v>
      </x:c>
      <x:c r="K262" s="186" t="n">
        <x:v>118411</x:v>
      </x:c>
      <x:c r="L262" s="186" t="n">
        <x:f>J262-K262</x:f>
        <x:v>-21906</x:v>
      </x:c>
      <x:c r="M262" s="186" t="n">
        <x:v>104275</x:v>
      </x:c>
      <x:c r="N262" s="186" t="n">
        <x:v>105529</x:v>
      </x:c>
      <x:c r="O262" s="186" t="n">
        <x:f>M262-N262</x:f>
        <x:v>-1254</x:v>
      </x:c>
      <x:c r="P262" s="186" t="n">
        <x:v>106208</x:v>
      </x:c>
      <x:c r="Q262" s="186" t="n">
        <x:v>26627</x:v>
      </x:c>
      <x:c r="R262" s="186" t="n">
        <x:f>P262-Q262</x:f>
        <x:v>79581</x:v>
      </x:c>
      <x:c r="S262" s="186" t="n">
        <x:v>51099</x:v>
      </x:c>
      <x:c r="T262" s="186" t="n">
        <x:v>36276</x:v>
      </x:c>
      <x:c r="U262" s="186" t="n">
        <x:f>S262-T262</x:f>
        <x:v>14823</x:v>
      </x:c>
      <x:c r="V262" s="196" t="n">
        <x:f>IFERROR(O262/F262,"")</x:f>
        <x:v>-0.0025376190900186983</x:v>
      </x:c>
      <x:c r="W262" s="196" t="n">
        <x:f>IFERROR(I262/F262,"")</x:f>
        <x:v>-0.14417076112383742</x:v>
      </x:c>
    </x:row>
    <x:row r="263">
      <x:c r="A263" s="186" t="str">
        <x:v>Silver</x:v>
      </x:c>
      <x:c r="B263" s="187" t="n">
        <x:v>43284</x:v>
      </x:c>
      <x:c r="C263" s="187" t="n">
        <x:v>43287</x:v>
      </x:c>
      <x:c r="D263" s="186" t="str">
        <x:v>084691-SILVER</x:v>
      </x:c>
      <x:c r="E263" s="186" t="str">
        <x:v>SILVER - COMMODITY EXCHANGE INC.</x:v>
      </x:c>
      <x:c r="F263" s="186" t="n">
        <x:v>205622</x:v>
      </x:c>
      <x:c r="G263" s="186" t="n">
        <x:v>17205</x:v>
      </x:c>
      <x:c r="H263" s="186" t="n">
        <x:v>54928</x:v>
      </x:c>
      <x:c r="I263" s="186" t="n">
        <x:f>G263-H263</x:f>
        <x:v>-37723</x:v>
      </x:c>
      <x:c r="J263" s="186" t="n">
        <x:v>50777</x:v>
      </x:c>
      <x:c r="K263" s="186" t="n">
        <x:v>51609</x:v>
      </x:c>
      <x:c r="L263" s="186" t="n">
        <x:f>J263-K263</x:f>
        <x:v>-832</x:v>
      </x:c>
      <x:c r="M263" s="186" t="n">
        <x:v>72263</x:v>
      </x:c>
      <x:c r="N263" s="186" t="n">
        <x:v>62242</x:v>
      </x:c>
      <x:c r="O263" s="186" t="n">
        <x:f>M263-N263</x:f>
        <x:v>10021</x:v>
      </x:c>
      <x:c r="P263" s="186" t="n">
        <x:v>20415</x:v>
      </x:c>
      <x:c r="Q263" s="186" t="n">
        <x:v>5754</x:v>
      </x:c>
      <x:c r="R263" s="186" t="n">
        <x:f>P263-Q263</x:f>
        <x:v>14661</x:v>
      </x:c>
      <x:c r="S263" s="186" t="n">
        <x:v>30693</x:v>
      </x:c>
      <x:c r="T263" s="186" t="n">
        <x:v>16820</x:v>
      </x:c>
      <x:c r="U263" s="186" t="n">
        <x:f>S263-T263</x:f>
        <x:v>13873</x:v>
      </x:c>
      <x:c r="V263" s="196" t="n">
        <x:f>IFERROR(O263/F263,"")</x:f>
        <x:v>0.048735057532754276</x:v>
      </x:c>
      <x:c r="W263" s="196" t="n">
        <x:f>IFERROR(I263/F263,"")</x:f>
        <x:v>-0.18345799573975546</x:v>
      </x:c>
    </x:row>
    <x:row r="264">
      <x:c r="A264" s="186" t="str">
        <x:v>Gold</x:v>
      </x:c>
      <x:c r="B264" s="187" t="n">
        <x:v>43291</x:v>
      </x:c>
      <x:c r="C264" s="187" t="n">
        <x:v>43294</x:v>
      </x:c>
      <x:c r="D264" s="186" t="str">
        <x:v>088691-GOLD</x:v>
      </x:c>
      <x:c r="E264" s="186" t="str">
        <x:v>GOLD - COMMODITY EXCHANGE INC.</x:v>
      </x:c>
      <x:c r="F264" s="186" t="n">
        <x:v>503593</x:v>
      </x:c>
      <x:c r="G264" s="186" t="n">
        <x:v>34107</x:v>
      </x:c>
      <x:c r="H264" s="186" t="n">
        <x:v>103749</x:v>
      </x:c>
      <x:c r="I264" s="186" t="n">
        <x:f>G264-H264</x:f>
        <x:v>-69642</x:v>
      </x:c>
      <x:c r="J264" s="186" t="n">
        <x:v>92406</x:v>
      </x:c>
      <x:c r="K264" s="186" t="n">
        <x:v>123158</x:v>
      </x:c>
      <x:c r="L264" s="186" t="n">
        <x:f>J264-K264</x:f>
        <x:v>-30752</x:v>
      </x:c>
      <x:c r="M264" s="186" t="n">
        <x:v>107402</x:v>
      </x:c>
      <x:c r="N264" s="186" t="n">
        <x:v>109929</x:v>
      </x:c>
      <x:c r="O264" s="186" t="n">
        <x:f>M264-N264</x:f>
        <x:v>-2527</x:v>
      </x:c>
      <x:c r="P264" s="186" t="n">
        <x:v>106908</x:v>
      </x:c>
      <x:c r="Q264" s="186" t="n">
        <x:v>22947</x:v>
      </x:c>
      <x:c r="R264" s="186" t="n">
        <x:f>P264-Q264</x:f>
        <x:v>83961</x:v>
      </x:c>
      <x:c r="S264" s="186" t="n">
        <x:v>53355</x:v>
      </x:c>
      <x:c r="T264" s="186" t="n">
        <x:v>34395</x:v>
      </x:c>
      <x:c r="U264" s="186" t="n">
        <x:f>S264-T264</x:f>
        <x:v>18960</x:v>
      </x:c>
      <x:c r="V264" s="196" t="n">
        <x:f>IFERROR(O264/F264,"")</x:f>
        <x:v>-0.005017941075431946</x:v>
      </x:c>
      <x:c r="W264" s="196" t="n">
        <x:f>IFERROR(I264/F264,"")</x:f>
        <x:v>-0.13829024629015893</x:v>
      </x:c>
    </x:row>
    <x:row r="265">
      <x:c r="A265" s="186" t="str">
        <x:v>Silver</x:v>
      </x:c>
      <x:c r="B265" s="187" t="n">
        <x:v>43291</x:v>
      </x:c>
      <x:c r="C265" s="187" t="n">
        <x:v>43294</x:v>
      </x:c>
      <x:c r="D265" s="186" t="str">
        <x:v>084691-SILVER</x:v>
      </x:c>
      <x:c r="E265" s="186" t="str">
        <x:v>SILVER - COMMODITY EXCHANGE INC.</x:v>
      </x:c>
      <x:c r="F265" s="186" t="n">
        <x:v>207701</x:v>
      </x:c>
      <x:c r="G265" s="186" t="n">
        <x:v>17054</x:v>
      </x:c>
      <x:c r="H265" s="186" t="n">
        <x:v>54485</x:v>
      </x:c>
      <x:c r="I265" s="186" t="n">
        <x:f>G265-H265</x:f>
        <x:v>-37431</x:v>
      </x:c>
      <x:c r="J265" s="186" t="n">
        <x:v>50506</x:v>
      </x:c>
      <x:c r="K265" s="186" t="n">
        <x:v>51675</x:v>
      </x:c>
      <x:c r="L265" s="186" t="n">
        <x:f>J265-K265</x:f>
        <x:v>-1169</x:v>
      </x:c>
      <x:c r="M265" s="186" t="n">
        <x:v>68829</x:v>
      </x:c>
      <x:c r="N265" s="186" t="n">
        <x:v>61002</x:v>
      </x:c>
      <x:c r="O265" s="186" t="n">
        <x:f>M265-N265</x:f>
        <x:v>7827</x:v>
      </x:c>
      <x:c r="P265" s="186" t="n">
        <x:v>21769</x:v>
      </x:c>
      <x:c r="Q265" s="186" t="n">
        <x:v>5897</x:v>
      </x:c>
      <x:c r="R265" s="186" t="n">
        <x:f>P265-Q265</x:f>
        <x:v>15872</x:v>
      </x:c>
      <x:c r="S265" s="186" t="n">
        <x:v>31414</x:v>
      </x:c>
      <x:c r="T265" s="186" t="n">
        <x:v>16513</x:v>
      </x:c>
      <x:c r="U265" s="186" t="n">
        <x:f>S265-T265</x:f>
        <x:v>14901</x:v>
      </x:c>
      <x:c r="V265" s="196" t="n">
        <x:f>IFERROR(O265/F265,"")</x:f>
        <x:v>0.0376839784112739</x:v>
      </x:c>
      <x:c r="W265" s="196" t="n">
        <x:f>IFERROR(I265/F265,"")</x:f>
        <x:v>-0.18021579096874835</x:v>
      </x:c>
    </x:row>
    <x:row r="266">
      <x:c r="A266" s="186" t="str">
        <x:v>Gold</x:v>
      </x:c>
      <x:c r="B266" s="187" t="n">
        <x:v>43298</x:v>
      </x:c>
      <x:c r="C266" s="187" t="n">
        <x:v>43301</x:v>
      </x:c>
      <x:c r="D266" s="186" t="str">
        <x:v>088691-GOLD</x:v>
      </x:c>
      <x:c r="E266" s="186" t="str">
        <x:v>GOLD - COMMODITY EXCHANGE INC.</x:v>
      </x:c>
      <x:c r="F266" s="186" t="n">
        <x:v>528278</x:v>
      </x:c>
      <x:c r="G266" s="186" t="n">
        <x:v>29729</x:v>
      </x:c>
      <x:c r="H266" s="186" t="n">
        <x:v>101723</x:v>
      </x:c>
      <x:c r="I266" s="186" t="n">
        <x:f>G266-H266</x:f>
        <x:v>-71994</x:v>
      </x:c>
      <x:c r="J266" s="186" t="n">
        <x:v>102289</x:v>
      </x:c>
      <x:c r="K266" s="186" t="n">
        <x:v>103930</x:v>
      </x:c>
      <x:c r="L266" s="186" t="n">
        <x:f>J266-K266</x:f>
        <x:v>-1641</x:v>
      </x:c>
      <x:c r="M266" s="186" t="n">
        <x:v>107775</x:v>
      </x:c>
      <x:c r="N266" s="186" t="n">
        <x:v>134224</x:v>
      </x:c>
      <x:c r="O266" s="186" t="n">
        <x:f>M266-N266</x:f>
        <x:v>-26449</x:v>
      </x:c>
      <x:c r="P266" s="186" t="n">
        <x:v>110652</x:v>
      </x:c>
      <x:c r="Q266" s="186" t="n">
        <x:v>26362</x:v>
      </x:c>
      <x:c r="R266" s="186" t="n">
        <x:f>P266-Q266</x:f>
        <x:v>84290</x:v>
      </x:c>
      <x:c r="S266" s="186" t="n">
        <x:v>51491</x:v>
      </x:c>
      <x:c r="T266" s="186" t="n">
        <x:v>35697</x:v>
      </x:c>
      <x:c r="U266" s="186" t="n">
        <x:f>S266-T266</x:f>
        <x:v>15794</x:v>
      </x:c>
      <x:c r="V266" s="196" t="n">
        <x:f>IFERROR(O266/F266,"")</x:f>
        <x:v>-0.05006644228985496</x:v>
      </x:c>
      <x:c r="W266" s="196" t="n">
        <x:f>IFERROR(I266/F266,"")</x:f>
        <x:v>-0.13628051896917912</x:v>
      </x:c>
    </x:row>
    <x:row r="267">
      <x:c r="A267" s="186" t="str">
        <x:v>Silver</x:v>
      </x:c>
      <x:c r="B267" s="187" t="n">
        <x:v>43298</x:v>
      </x:c>
      <x:c r="C267" s="187" t="n">
        <x:v>43301</x:v>
      </x:c>
      <x:c r="D267" s="186" t="str">
        <x:v>084691-SILVER</x:v>
      </x:c>
      <x:c r="E267" s="186" t="str">
        <x:v>SILVER - COMMODITY EXCHANGE INC.</x:v>
      </x:c>
      <x:c r="F267" s="186" t="n">
        <x:v>212527</x:v>
      </x:c>
      <x:c r="G267" s="186" t="n">
        <x:v>16466</x:v>
      </x:c>
      <x:c r="H267" s="186" t="n">
        <x:v>51279</x:v>
      </x:c>
      <x:c r="I267" s="186" t="n">
        <x:f>G267-H267</x:f>
        <x:v>-34813</x:v>
      </x:c>
      <x:c r="J267" s="186" t="n">
        <x:v>53453</x:v>
      </x:c>
      <x:c r="K267" s="186" t="n">
        <x:v>43705</x:v>
      </x:c>
      <x:c r="L267" s="186" t="n">
        <x:f>J267-K267</x:f>
        <x:v>9748</x:v>
      </x:c>
      <x:c r="M267" s="186" t="n">
        <x:v>62439</x:v>
      </x:c>
      <x:c r="N267" s="186" t="n">
        <x:v>71249</x:v>
      </x:c>
      <x:c r="O267" s="186" t="n">
        <x:f>M267-N267</x:f>
        <x:v>-8810</x:v>
      </x:c>
      <x:c r="P267" s="186" t="n">
        <x:v>24737</x:v>
      </x:c>
      <x:c r="Q267" s="186" t="n">
        <x:v>7045</x:v>
      </x:c>
      <x:c r="R267" s="186" t="n">
        <x:f>P267-Q267</x:f>
        <x:v>17692</x:v>
      </x:c>
      <x:c r="S267" s="186" t="n">
        <x:v>33466</x:v>
      </x:c>
      <x:c r="T267" s="186" t="n">
        <x:v>17283</x:v>
      </x:c>
      <x:c r="U267" s="186" t="n">
        <x:f>S267-T267</x:f>
        <x:v>16183</x:v>
      </x:c>
      <x:c r="V267" s="196" t="n">
        <x:f>IFERROR(O267/F267,"")</x:f>
        <x:v>-0.04145355648929312</x:v>
      </x:c>
      <x:c r="W267" s="196" t="n">
        <x:f>IFERROR(I267/F267,"")</x:f>
        <x:v>-0.16380506947352572</x:v>
      </x:c>
    </x:row>
    <x:row r="268">
      <x:c r="A268" s="186" t="str">
        <x:v>Gold</x:v>
      </x:c>
      <x:c r="B268" s="187" t="n">
        <x:v>43305</x:v>
      </x:c>
      <x:c r="C268" s="187" t="n">
        <x:v>43308</x:v>
      </x:c>
      <x:c r="D268" s="186" t="str">
        <x:v>088691-GOLD</x:v>
      </x:c>
      <x:c r="E268" s="186" t="str">
        <x:v>GOLD - COMMODITY EXCHANGE INC.</x:v>
      </x:c>
      <x:c r="F268" s="186" t="n">
        <x:v>496620</x:v>
      </x:c>
      <x:c r="G268" s="186" t="n">
        <x:v>27066</x:v>
      </x:c>
      <x:c r="H268" s="186" t="n">
        <x:v>84366</x:v>
      </x:c>
      <x:c r="I268" s="186" t="n">
        <x:f>G268-H268</x:f>
        <x:v>-57300</x:v>
      </x:c>
      <x:c r="J268" s="186" t="n">
        <x:v>96946</x:v>
      </x:c>
      <x:c r="K268" s="186" t="n">
        <x:v>105314</x:v>
      </x:c>
      <x:c r="L268" s="186" t="n">
        <x:f>J268-K268</x:f>
        <x:v>-8368</x:v>
      </x:c>
      <x:c r="M268" s="186" t="n">
        <x:v>110249</x:v>
      </x:c>
      <x:c r="N268" s="186" t="n">
        <x:v>146671</x:v>
      </x:c>
      <x:c r="O268" s="186" t="n">
        <x:f>M268-N268</x:f>
        <x:v>-36422</x:v>
      </x:c>
      <x:c r="P268" s="186" t="n">
        <x:v>110371</x:v>
      </x:c>
      <x:c r="Q268" s="186" t="n">
        <x:v>25352</x:v>
      </x:c>
      <x:c r="R268" s="186" t="n">
        <x:f>P268-Q268</x:f>
        <x:v>85019</x:v>
      </x:c>
      <x:c r="S268" s="186" t="n">
        <x:v>54742</x:v>
      </x:c>
      <x:c r="T268" s="186" t="n">
        <x:v>37671</x:v>
      </x:c>
      <x:c r="U268" s="186" t="n">
        <x:f>S268-T268</x:f>
        <x:v>17071</x:v>
      </x:c>
      <x:c r="V268" s="196" t="n">
        <x:f>IFERROR(O268/F268,"")</x:f>
        <x:v>-0.07333977689178849</x:v>
      </x:c>
      <x:c r="W268" s="196" t="n">
        <x:f>IFERROR(I268/F268,"")</x:f>
        <x:v>-0.11537996858765254</x:v>
      </x:c>
    </x:row>
    <x:row r="269">
      <x:c r="A269" s="186" t="str">
        <x:v>Silver</x:v>
      </x:c>
      <x:c r="B269" s="187" t="n">
        <x:v>43305</x:v>
      </x:c>
      <x:c r="C269" s="187" t="n">
        <x:v>43308</x:v>
      </x:c>
      <x:c r="D269" s="186" t="str">
        <x:v>084691-SILVER</x:v>
      </x:c>
      <x:c r="E269" s="186" t="str">
        <x:v>SILVER - COMMODITY EXCHANGE INC.</x:v>
      </x:c>
      <x:c r="F269" s="186" t="n">
        <x:v>214596</x:v>
      </x:c>
      <x:c r="G269" s="186" t="n">
        <x:v>16169</x:v>
      </x:c>
      <x:c r="H269" s="186" t="n">
        <x:v>48285</x:v>
      </x:c>
      <x:c r="I269" s="186" t="n">
        <x:f>G269-H269</x:f>
        <x:v>-32116</x:v>
      </x:c>
      <x:c r="J269" s="186" t="n">
        <x:v>54664</x:v>
      </x:c>
      <x:c r="K269" s="186" t="n">
        <x:v>42573</x:v>
      </x:c>
      <x:c r="L269" s="186" t="n">
        <x:f>J269-K269</x:f>
        <x:v>12091</x:v>
      </x:c>
      <x:c r="M269" s="186" t="n">
        <x:v>64542</x:v>
      </x:c>
      <x:c r="N269" s="186" t="n">
        <x:v>77176</x:v>
      </x:c>
      <x:c r="O269" s="186" t="n">
        <x:f>M269-N269</x:f>
        <x:v>-12634</x:v>
      </x:c>
      <x:c r="P269" s="186" t="n">
        <x:v>23483</x:v>
      </x:c>
      <x:c r="Q269" s="186" t="n">
        <x:v>7311</x:v>
      </x:c>
      <x:c r="R269" s="186" t="n">
        <x:f>P269-Q269</x:f>
        <x:v>16172</x:v>
      </x:c>
      <x:c r="S269" s="186" t="n">
        <x:v>33566</x:v>
      </x:c>
      <x:c r="T269" s="186" t="n">
        <x:v>17079</x:v>
      </x:c>
      <x:c r="U269" s="186" t="n">
        <x:f>S269-T269</x:f>
        <x:v>16487</x:v>
      </x:c>
      <x:c r="V269" s="196" t="n">
        <x:f>IFERROR(O269/F269,"")</x:f>
        <x:v>-0.05887341795746426</x:v>
      </x:c>
      <x:c r="W269" s="196" t="n">
        <x:f>IFERROR(I269/F269,"")</x:f>
        <x:v>-0.14965796193778075</x:v>
      </x:c>
    </x:row>
    <x:row r="270">
      <x:c r="A270" s="186" t="str">
        <x:v>Gold</x:v>
      </x:c>
      <x:c r="B270" s="187" t="n">
        <x:v>43312</x:v>
      </x:c>
      <x:c r="C270" s="187" t="n">
        <x:v>43315</x:v>
      </x:c>
      <x:c r="D270" s="186" t="str">
        <x:v>088691-GOLD</x:v>
      </x:c>
      <x:c r="E270" s="186" t="str">
        <x:v>GOLD - COMMODITY EXCHANGE INC.</x:v>
      </x:c>
      <x:c r="F270" s="186" t="n">
        <x:v>452655</x:v>
      </x:c>
      <x:c r="G270" s="186" t="n">
        <x:v>26485</x:v>
      </x:c>
      <x:c r="H270" s="186" t="n">
        <x:v>79249</x:v>
      </x:c>
      <x:c r="I270" s="186" t="n">
        <x:f>G270-H270</x:f>
        <x:v>-52764</x:v>
      </x:c>
      <x:c r="J270" s="186" t="n">
        <x:v>96716</x:v>
      </x:c>
      <x:c r="K270" s="186" t="n">
        <x:v>91870</x:v>
      </x:c>
      <x:c r="L270" s="186" t="n">
        <x:f>J270-K270</x:f>
        <x:v>4846</x:v>
      </x:c>
      <x:c r="M270" s="186" t="n">
        <x:v>110580</x:v>
      </x:c>
      <x:c r="N270" s="186" t="n">
        <x:v>153108</x:v>
      </x:c>
      <x:c r="O270" s="186" t="n">
        <x:f>M270-N270</x:f>
        <x:v>-42528</x:v>
      </x:c>
      <x:c r="P270" s="186" t="n">
        <x:v>98675</x:v>
      </x:c>
      <x:c r="Q270" s="186" t="n">
        <x:v>20810</x:v>
      </x:c>
      <x:c r="R270" s="186" t="n">
        <x:f>P270-Q270</x:f>
        <x:v>77865</x:v>
      </x:c>
      <x:c r="S270" s="186" t="n">
        <x:v>50018</x:v>
      </x:c>
      <x:c r="T270" s="186" t="n">
        <x:v>37437</x:v>
      </x:c>
      <x:c r="U270" s="186" t="n">
        <x:f>S270-T270</x:f>
        <x:v>12581</x:v>
      </x:c>
      <x:c r="V270" s="196" t="n">
        <x:f>IFERROR(O270/F270,"")</x:f>
        <x:v>-0.09395234781456076</x:v>
      </x:c>
      <x:c r="W270" s="196" t="n">
        <x:f>IFERROR(I270/F270,"")</x:f>
        <x:v>-0.11656559631507439</x:v>
      </x:c>
    </x:row>
    <x:row r="271">
      <x:c r="A271" s="186" t="str">
        <x:v>Silver</x:v>
      </x:c>
      <x:c r="B271" s="187" t="n">
        <x:v>43312</x:v>
      </x:c>
      <x:c r="C271" s="187" t="n">
        <x:v>43315</x:v>
      </x:c>
      <x:c r="D271" s="186" t="str">
        <x:v>084691-SILVER</x:v>
      </x:c>
      <x:c r="E271" s="186" t="str">
        <x:v>SILVER - COMMODITY EXCHANGE INC.</x:v>
      </x:c>
      <x:c r="F271" s="186" t="n">
        <x:v>226512</x:v>
      </x:c>
      <x:c r="G271" s="186" t="n">
        <x:v>15590</x:v>
      </x:c>
      <x:c r="H271" s="186" t="n">
        <x:v>48778</x:v>
      </x:c>
      <x:c r="I271" s="186" t="n">
        <x:f>G271-H271</x:f>
        <x:v>-33188</x:v>
      </x:c>
      <x:c r="J271" s="186" t="n">
        <x:v>53937</x:v>
      </x:c>
      <x:c r="K271" s="186" t="n">
        <x:v>44898</x:v>
      </x:c>
      <x:c r="L271" s="186" t="n">
        <x:f>J271-K271</x:f>
        <x:v>9039</x:v>
      </x:c>
      <x:c r="M271" s="186" t="n">
        <x:v>68210</x:v>
      </x:c>
      <x:c r="N271" s="186" t="n">
        <x:v>76152</x:v>
      </x:c>
      <x:c r="O271" s="186" t="n">
        <x:f>M271-N271</x:f>
        <x:v>-7942</x:v>
      </x:c>
      <x:c r="P271" s="186" t="n">
        <x:v>21406</x:v>
      </x:c>
      <x:c r="Q271" s="186" t="n">
        <x:v>7600</x:v>
      </x:c>
      <x:c r="R271" s="186" t="n">
        <x:f>P271-Q271</x:f>
        <x:v>13806</x:v>
      </x:c>
      <x:c r="S271" s="186" t="n">
        <x:v>34989</x:v>
      </x:c>
      <x:c r="T271" s="186" t="n">
        <x:v>16704</x:v>
      </x:c>
      <x:c r="U271" s="186" t="n">
        <x:f>S271-T271</x:f>
        <x:v>18285</x:v>
      </x:c>
      <x:c r="V271" s="196" t="n">
        <x:f>IFERROR(O271/F271,"")</x:f>
        <x:v>-0.035062160062160064</x:v>
      </x:c>
      <x:c r="W271" s="196" t="n">
        <x:f>IFERROR(I271/F271,"")</x:f>
        <x:v>-0.14651762379035108</x:v>
      </x:c>
    </x:row>
    <x:row r="272">
      <x:c r="A272" s="186" t="str">
        <x:v>Gold</x:v>
      </x:c>
      <x:c r="B272" s="187" t="n">
        <x:v>43319</x:v>
      </x:c>
      <x:c r="C272" s="187" t="n">
        <x:v>43322</x:v>
      </x:c>
      <x:c r="D272" s="186" t="str">
        <x:v>088691-GOLD</x:v>
      </x:c>
      <x:c r="E272" s="186" t="str">
        <x:v>GOLD - COMMODITY EXCHANGE INC.</x:v>
      </x:c>
      <x:c r="F272" s="186" t="n">
        <x:v>459474</x:v>
      </x:c>
      <x:c r="G272" s="186" t="n">
        <x:v>24692</x:v>
      </x:c>
      <x:c r="H272" s="186" t="n">
        <x:v>72357</x:v>
      </x:c>
      <x:c r="I272" s="186" t="n">
        <x:f>G272-H272</x:f>
        <x:v>-47665</x:v>
      </x:c>
      <x:c r="J272" s="186" t="n">
        <x:v>105342</x:v>
      </x:c>
      <x:c r="K272" s="186" t="n">
        <x:v>83286</x:v>
      </x:c>
      <x:c r="L272" s="186" t="n">
        <x:f>J272-K272</x:f>
        <x:v>22056</x:v>
      </x:c>
      <x:c r="M272" s="186" t="n">
        <x:v>105849</x:v>
      </x:c>
      <x:c r="N272" s="186" t="n">
        <x:v>171965</x:v>
      </x:c>
      <x:c r="O272" s="186" t="n">
        <x:f>M272-N272</x:f>
        <x:v>-66116</x:v>
      </x:c>
      <x:c r="P272" s="186" t="n">
        <x:v>102443</x:v>
      </x:c>
      <x:c r="Q272" s="186" t="n">
        <x:v>23639</x:v>
      </x:c>
      <x:c r="R272" s="186" t="n">
        <x:f>P272-Q272</x:f>
        <x:v>78804</x:v>
      </x:c>
      <x:c r="S272" s="186" t="n">
        <x:v>48402</x:v>
      </x:c>
      <x:c r="T272" s="186" t="n">
        <x:v>35481</x:v>
      </x:c>
      <x:c r="U272" s="186" t="n">
        <x:f>S272-T272</x:f>
        <x:v>12921</x:v>
      </x:c>
      <x:c r="V272" s="196" t="n">
        <x:f>IFERROR(O272/F272,"")</x:f>
        <x:v>-0.1438949755590088</x:v>
      </x:c>
      <x:c r="W272" s="196" t="n">
        <x:f>IFERROR(I272/F272,"")</x:f>
        <x:v>-0.10373818757971072</x:v>
      </x:c>
    </x:row>
    <x:row r="273">
      <x:c r="A273" s="186" t="str">
        <x:v>Silver</x:v>
      </x:c>
      <x:c r="B273" s="187" t="n">
        <x:v>43319</x:v>
      </x:c>
      <x:c r="C273" s="187" t="n">
        <x:v>43322</x:v>
      </x:c>
      <x:c r="D273" s="186" t="str">
        <x:v>084691-SILVER</x:v>
      </x:c>
      <x:c r="E273" s="186" t="str">
        <x:v>SILVER - COMMODITY EXCHANGE INC.</x:v>
      </x:c>
      <x:c r="F273" s="186" t="n">
        <x:v>235440</x:v>
      </x:c>
      <x:c r="G273" s="186" t="n">
        <x:v>18838</x:v>
      </x:c>
      <x:c r="H273" s="186" t="n">
        <x:v>50492</x:v>
      </x:c>
      <x:c r="I273" s="186" t="n">
        <x:f>G273-H273</x:f>
        <x:v>-31654</x:v>
      </x:c>
      <x:c r="J273" s="186" t="n">
        <x:v>52910</x:v>
      </x:c>
      <x:c r="K273" s="186" t="n">
        <x:v>43374</x:v>
      </x:c>
      <x:c r="L273" s="186" t="n">
        <x:f>J273-K273</x:f>
        <x:v>9536</x:v>
      </x:c>
      <x:c r="M273" s="186" t="n">
        <x:v>67467</x:v>
      </x:c>
      <x:c r="N273" s="186" t="n">
        <x:v>81445</x:v>
      </x:c>
      <x:c r="O273" s="186" t="n">
        <x:f>M273-N273</x:f>
        <x:v>-13978</x:v>
      </x:c>
      <x:c r="P273" s="186" t="n">
        <x:v>25549</x:v>
      </x:c>
      <x:c r="Q273" s="186" t="n">
        <x:v>7230</x:v>
      </x:c>
      <x:c r="R273" s="186" t="n">
        <x:f>P273-Q273</x:f>
        <x:v>18319</x:v>
      </x:c>
      <x:c r="S273" s="186" t="n">
        <x:v>33853</x:v>
      </x:c>
      <x:c r="T273" s="186" t="n">
        <x:v>16076</x:v>
      </x:c>
      <x:c r="U273" s="186" t="n">
        <x:f>S273-T273</x:f>
        <x:v>17777</x:v>
      </x:c>
      <x:c r="V273" s="196" t="n">
        <x:f>IFERROR(O273/F273,"")</x:f>
        <x:v>-0.05936969079170914</x:v>
      </x:c>
      <x:c r="W273" s="196" t="n">
        <x:f>IFERROR(I273/F273,"")</x:f>
        <x:v>-0.1344461433910975</x:v>
      </x:c>
    </x:row>
    <x:row r="274">
      <x:c r="A274" s="186" t="str">
        <x:v>Gold</x:v>
      </x:c>
      <x:c r="B274" s="187" t="n">
        <x:v>43326</x:v>
      </x:c>
      <x:c r="C274" s="187" t="n">
        <x:v>43329</x:v>
      </x:c>
      <x:c r="D274" s="186" t="str">
        <x:v>088691-GOLD</x:v>
      </x:c>
      <x:c r="E274" s="186" t="str">
        <x:v>GOLD - COMMODITY EXCHANGE INC.</x:v>
      </x:c>
      <x:c r="F274" s="186" t="n">
        <x:v>476739</x:v>
      </x:c>
      <x:c r="G274" s="186" t="n">
        <x:v>27574</x:v>
      </x:c>
      <x:c r="H274" s="186" t="n">
        <x:v>66183</x:v>
      </x:c>
      <x:c r="I274" s="186" t="n">
        <x:f>G274-H274</x:f>
        <x:v>-38609</x:v>
      </x:c>
      <x:c r="J274" s="186" t="n">
        <x:v>109688</x:v>
      </x:c>
      <x:c r="K274" s="186" t="n">
        <x:v>78429</x:v>
      </x:c>
      <x:c r="L274" s="186" t="n">
        <x:f>J274-K274</x:f>
        <x:v>31259</x:v>
      </x:c>
      <x:c r="M274" s="186" t="n">
        <x:v>104803</x:v>
      </x:c>
      <x:c r="N274" s="186" t="n">
        <x:v>188127</x:v>
      </x:c>
      <x:c r="O274" s="186" t="n">
        <x:f>M274-N274</x:f>
        <x:v>-83324</x:v>
      </x:c>
      <x:c r="P274" s="186" t="n">
        <x:v>106976</x:v>
      </x:c>
      <x:c r="Q274" s="186" t="n">
        <x:v>27340</x:v>
      </x:c>
      <x:c r="R274" s="186" t="n">
        <x:f>P274-Q274</x:f>
        <x:v>79636</x:v>
      </x:c>
      <x:c r="S274" s="186" t="n">
        <x:v>46373</x:v>
      </x:c>
      <x:c r="T274" s="186" t="n">
        <x:v>35335</x:v>
      </x:c>
      <x:c r="U274" s="186" t="n">
        <x:f>S274-T274</x:f>
        <x:v>11038</x:v>
      </x:c>
      <x:c r="V274" s="196" t="n">
        <x:f>IFERROR(O274/F274,"")</x:f>
        <x:v>-0.1747790719869782</x:v>
      </x:c>
      <x:c r="W274" s="196" t="n">
        <x:f>IFERROR(I274/F274,"")</x:f>
        <x:v>-0.08098561267276225</x:v>
      </x:c>
    </x:row>
    <x:row r="275">
      <x:c r="A275" s="186" t="str">
        <x:v>Silver</x:v>
      </x:c>
      <x:c r="B275" s="187" t="n">
        <x:v>43326</x:v>
      </x:c>
      <x:c r="C275" s="187" t="n">
        <x:v>43329</x:v>
      </x:c>
      <x:c r="D275" s="186" t="str">
        <x:v>084691-SILVER</x:v>
      </x:c>
      <x:c r="E275" s="186" t="str">
        <x:v>SILVER - COMMODITY EXCHANGE INC.</x:v>
      </x:c>
      <x:c r="F275" s="186" t="n">
        <x:v>240038</x:v>
      </x:c>
      <x:c r="G275" s="186" t="n">
        <x:v>21250</x:v>
      </x:c>
      <x:c r="H275" s="186" t="n">
        <x:v>48121</x:v>
      </x:c>
      <x:c r="I275" s="186" t="n">
        <x:f>G275-H275</x:f>
        <x:v>-26871</x:v>
      </x:c>
      <x:c r="J275" s="186" t="n">
        <x:v>54283</x:v>
      </x:c>
      <x:c r="K275" s="186" t="n">
        <x:v>39788</x:v>
      </x:c>
      <x:c r="L275" s="186" t="n">
        <x:f>J275-K275</x:f>
        <x:v>14495</x:v>
      </x:c>
      <x:c r="M275" s="186" t="n">
        <x:v>66537</x:v>
      </x:c>
      <x:c r="N275" s="186" t="n">
        <x:v>88828</x:v>
      </x:c>
      <x:c r="O275" s="186" t="n">
        <x:f>M275-N275</x:f>
        <x:v>-22291</x:v>
      </x:c>
      <x:c r="P275" s="186" t="n">
        <x:v>26809</x:v>
      </x:c>
      <x:c r="Q275" s="186" t="n">
        <x:v>7354</x:v>
      </x:c>
      <x:c r="R275" s="186" t="n">
        <x:f>P275-Q275</x:f>
        <x:v>19455</x:v>
      </x:c>
      <x:c r="S275" s="186" t="n">
        <x:v>33523</x:v>
      </x:c>
      <x:c r="T275" s="186" t="n">
        <x:v>18311</x:v>
      </x:c>
      <x:c r="U275" s="186" t="n">
        <x:f>S275-T275</x:f>
        <x:v>15212</x:v>
      </x:c>
      <x:c r="V275" s="196" t="n">
        <x:f>IFERROR(O275/F275,"")</x:f>
        <x:v>-0.09286446312667161</x:v>
      </x:c>
      <x:c r="W275" s="196" t="n">
        <x:f>IFERROR(I275/F275,"")</x:f>
        <x:v>-0.11194477541056</x:v>
      </x:c>
    </x:row>
    <x:row r="276">
      <x:c r="A276" s="186" t="str">
        <x:v>Gold</x:v>
      </x:c>
      <x:c r="B276" s="187" t="n">
        <x:v>43333</x:v>
      </x:c>
      <x:c r="C276" s="187" t="n">
        <x:v>43336</x:v>
      </x:c>
      <x:c r="D276" s="186" t="str">
        <x:v>088691-GOLD</x:v>
      </x:c>
      <x:c r="E276" s="186" t="str">
        <x:v>GOLD - COMMODITY EXCHANGE INC.</x:v>
      </x:c>
      <x:c r="F276" s="186" t="n">
        <x:v>483730</x:v>
      </x:c>
      <x:c r="G276" s="186" t="n">
        <x:v>26516</x:v>
      </x:c>
      <x:c r="H276" s="186" t="n">
        <x:v>63915</x:v>
      </x:c>
      <x:c r="I276" s="186" t="n">
        <x:f>G276-H276</x:f>
        <x:v>-37399</x:v>
      </x:c>
      <x:c r="J276" s="186" t="n">
        <x:v>109023</x:v>
      </x:c>
      <x:c r="K276" s="186" t="n">
        <x:v>73309</x:v>
      </x:c>
      <x:c r="L276" s="186" t="n">
        <x:f>J276-K276</x:f>
        <x:v>35714</x:v>
      </x:c>
      <x:c r="M276" s="186" t="n">
        <x:v>107143</x:v>
      </x:c>
      <x:c r="N276" s="186" t="n">
        <x:v>197171</x:v>
      </x:c>
      <x:c r="O276" s="186" t="n">
        <x:f>M276-N276</x:f>
        <x:v>-90028</x:v>
      </x:c>
      <x:c r="P276" s="186" t="n">
        <x:v>106357</x:v>
      </x:c>
      <x:c r="Q276" s="186" t="n">
        <x:v>25039</x:v>
      </x:c>
      <x:c r="R276" s="186" t="n">
        <x:f>P276-Q276</x:f>
        <x:v>81318</x:v>
      </x:c>
      <x:c r="S276" s="186" t="n">
        <x:v>44895</x:v>
      </x:c>
      <x:c r="T276" s="186" t="n">
        <x:v>34500</x:v>
      </x:c>
      <x:c r="U276" s="186" t="n">
        <x:f>S276-T276</x:f>
        <x:v>10395</x:v>
      </x:c>
      <x:c r="V276" s="196" t="n">
        <x:f>IFERROR(O276/F276,"")</x:f>
        <x:v>-0.18611208732143963</x:v>
      </x:c>
      <x:c r="W276" s="196" t="n">
        <x:f>IFERROR(I276/F276,"")</x:f>
        <x:v>-0.07731379075103881</x:v>
      </x:c>
    </x:row>
    <x:row r="277">
      <x:c r="A277" s="186" t="str">
        <x:v>Silver</x:v>
      </x:c>
      <x:c r="B277" s="187" t="n">
        <x:v>43333</x:v>
      </x:c>
      <x:c r="C277" s="187" t="n">
        <x:v>43336</x:v>
      </x:c>
      <x:c r="D277" s="186" t="str">
        <x:v>084691-SILVER</x:v>
      </x:c>
      <x:c r="E277" s="186" t="str">
        <x:v>SILVER - COMMODITY EXCHANGE INC.</x:v>
      </x:c>
      <x:c r="F277" s="186" t="n">
        <x:v>244196</x:v>
      </x:c>
      <x:c r="G277" s="186" t="n">
        <x:v>20803</x:v>
      </x:c>
      <x:c r="H277" s="186" t="n">
        <x:v>42982</x:v>
      </x:c>
      <x:c r="I277" s="186" t="n">
        <x:f>G277-H277</x:f>
        <x:v>-22179</x:v>
      </x:c>
      <x:c r="J277" s="186" t="n">
        <x:v>52150</x:v>
      </x:c>
      <x:c r="K277" s="186" t="n">
        <x:v>37389</x:v>
      </x:c>
      <x:c r="L277" s="186" t="n">
        <x:f>J277-K277</x:f>
        <x:v>14761</x:v>
      </x:c>
      <x:c r="M277" s="186" t="n">
        <x:v>63210</x:v>
      </x:c>
      <x:c r="N277" s="186" t="n">
        <x:v>90927</x:v>
      </x:c>
      <x:c r="O277" s="186" t="n">
        <x:f>M277-N277</x:f>
        <x:v>-27717</x:v>
      </x:c>
      <x:c r="P277" s="186" t="n">
        <x:v>28218</x:v>
      </x:c>
      <x:c r="Q277" s="186" t="n">
        <x:v>7659</x:v>
      </x:c>
      <x:c r="R277" s="186" t="n">
        <x:f>P277-Q277</x:f>
        <x:v>20559</x:v>
      </x:c>
      <x:c r="S277" s="186" t="n">
        <x:v>32759</x:v>
      </x:c>
      <x:c r="T277" s="186" t="n">
        <x:v>18183</x:v>
      </x:c>
      <x:c r="U277" s="186" t="n">
        <x:f>S277-T277</x:f>
        <x:v>14576</x:v>
      </x:c>
      <x:c r="V277" s="196" t="n">
        <x:f>IFERROR(O277/F277,"")</x:f>
        <x:v>-0.11350308768366395</x:v>
      </x:c>
      <x:c r="W277" s="196" t="n">
        <x:f>IFERROR(I277/F277,"")</x:f>
        <x:v>-0.09082458353126177</x:v>
      </x:c>
    </x:row>
    <x:row r="278">
      <x:c r="A278" s="186" t="str">
        <x:v>Gold</x:v>
      </x:c>
      <x:c r="B278" s="187" t="n">
        <x:v>43340</x:v>
      </x:c>
      <x:c r="C278" s="187" t="n">
        <x:v>43343</x:v>
      </x:c>
      <x:c r="D278" s="186" t="str">
        <x:v>088691-GOLD</x:v>
      </x:c>
      <x:c r="E278" s="186" t="str">
        <x:v>GOLD - COMMODITY EXCHANGE INC.</x:v>
      </x:c>
      <x:c r="F278" s="186" t="n">
        <x:v>479283</x:v>
      </x:c>
      <x:c r="G278" s="186" t="n">
        <x:v>26507</x:v>
      </x:c>
      <x:c r="H278" s="186" t="n">
        <x:v>67699</x:v>
      </x:c>
      <x:c r="I278" s="186" t="n">
        <x:f>G278-H278</x:f>
        <x:v>-41192</x:v>
      </x:c>
      <x:c r="J278" s="186" t="n">
        <x:v>108361</x:v>
      </x:c>
      <x:c r="K278" s="186" t="n">
        <x:v>75431</x:v>
      </x:c>
      <x:c r="L278" s="186" t="n">
        <x:f>J278-K278</x:f>
        <x:v>32930</x:v>
      </x:c>
      <x:c r="M278" s="186" t="n">
        <x:v>105971</x:v>
      </x:c>
      <x:c r="N278" s="186" t="n">
        <x:v>181743</x:v>
      </x:c>
      <x:c r="O278" s="186" t="n">
        <x:f>M278-N278</x:f>
        <x:v>-75772</x:v>
      </x:c>
      <x:c r="P278" s="186" t="n">
        <x:v>101399</x:v>
      </x:c>
      <x:c r="Q278" s="186" t="n">
        <x:v>28690</x:v>
      </x:c>
      <x:c r="R278" s="186" t="n">
        <x:f>P278-Q278</x:f>
        <x:v>72709</x:v>
      </x:c>
      <x:c r="S278" s="186" t="n">
        <x:v>45508</x:v>
      </x:c>
      <x:c r="T278" s="186" t="n">
        <x:v>34183</x:v>
      </x:c>
      <x:c r="U278" s="186" t="n">
        <x:f>S278-T278</x:f>
        <x:v>11325</x:v>
      </x:c>
      <x:c r="V278" s="196" t="n">
        <x:f>IFERROR(O278/F278,"")</x:f>
        <x:v>-0.15809448697324963</x:v>
      </x:c>
      <x:c r="W278" s="196" t="n">
        <x:f>IFERROR(I278/F278,"")</x:f>
        <x:v>-0.08594504708074353</x:v>
      </x:c>
    </x:row>
    <x:row r="279">
      <x:c r="A279" s="186" t="str">
        <x:v>Silver</x:v>
      </x:c>
      <x:c r="B279" s="187" t="n">
        <x:v>43340</x:v>
      </x:c>
      <x:c r="C279" s="187" t="n">
        <x:v>43343</x:v>
      </x:c>
      <x:c r="D279" s="186" t="str">
        <x:v>084691-SILVER</x:v>
      </x:c>
      <x:c r="E279" s="186" t="str">
        <x:v>SILVER - COMMODITY EXCHANGE INC.</x:v>
      </x:c>
      <x:c r="F279" s="186" t="n">
        <x:v>227329</x:v>
      </x:c>
      <x:c r="G279" s="186" t="n">
        <x:v>22526</x:v>
      </x:c>
      <x:c r="H279" s="186" t="n">
        <x:v>41538</x:v>
      </x:c>
      <x:c r="I279" s="186" t="n">
        <x:f>G279-H279</x:f>
        <x:v>-19012</x:v>
      </x:c>
      <x:c r="J279" s="186" t="n">
        <x:v>53074</x:v>
      </x:c>
      <x:c r="K279" s="186" t="n">
        <x:v>32645</x:v>
      </x:c>
      <x:c r="L279" s="186" t="n">
        <x:f>J279-K279</x:f>
        <x:v>20429</x:v>
      </x:c>
      <x:c r="M279" s="186" t="n">
        <x:v>60430</x:v>
      </x:c>
      <x:c r="N279" s="186" t="n">
        <x:v>96135</x:v>
      </x:c>
      <x:c r="O279" s="186" t="n">
        <x:f>M279-N279</x:f>
        <x:v>-35705</x:v>
      </x:c>
      <x:c r="P279" s="186" t="n">
        <x:v>26110</x:v>
      </x:c>
      <x:c r="Q279" s="186" t="n">
        <x:v>7003</x:v>
      </x:c>
      <x:c r="R279" s="186" t="n">
        <x:f>P279-Q279</x:f>
        <x:v>19107</x:v>
      </x:c>
      <x:c r="S279" s="186" t="n">
        <x:v>32197</x:v>
      </x:c>
      <x:c r="T279" s="186" t="n">
        <x:v>17016</x:v>
      </x:c>
      <x:c r="U279" s="186" t="n">
        <x:f>S279-T279</x:f>
        <x:v>15181</x:v>
      </x:c>
      <x:c r="V279" s="196" t="n">
        <x:f>IFERROR(O279/F279,"")</x:f>
        <x:v>-0.1570631111736734</x:v>
      </x:c>
      <x:c r="W279" s="196" t="n">
        <x:f>IFERROR(I279/F279,"")</x:f>
        <x:v>-0.083632092693849</x:v>
      </x:c>
    </x:row>
    <x:row r="280">
      <x:c r="A280" s="186" t="str">
        <x:v>Gold</x:v>
      </x:c>
      <x:c r="B280" s="187" t="n">
        <x:v>43347</x:v>
      </x:c>
      <x:c r="C280" s="187" t="n">
        <x:v>43350</x:v>
      </x:c>
      <x:c r="D280" s="186" t="str">
        <x:v>088691-GOLD</x:v>
      </x:c>
      <x:c r="E280" s="186" t="str">
        <x:v>GOLD - COMMODITY EXCHANGE INC.</x:v>
      </x:c>
      <x:c r="F280" s="186" t="n">
        <x:v>473118</x:v>
      </x:c>
      <x:c r="G280" s="186" t="n">
        <x:v>27115</x:v>
      </x:c>
      <x:c r="H280" s="186" t="n">
        <x:v>65731</x:v>
      </x:c>
      <x:c r="I280" s="186" t="n">
        <x:f>G280-H280</x:f>
        <x:v>-38616</x:v>
      </x:c>
      <x:c r="J280" s="186" t="n">
        <x:v>111868</x:v>
      </x:c>
      <x:c r="K280" s="186" t="n">
        <x:v>66727</x:v>
      </x:c>
      <x:c r="L280" s="186" t="n">
        <x:f>J280-K280</x:f>
        <x:v>45141</x:v>
      </x:c>
      <x:c r="M280" s="186" t="n">
        <x:v>101651</x:v>
      </x:c>
      <x:c r="N280" s="186" t="n">
        <x:v>184373</x:v>
      </x:c>
      <x:c r="O280" s="186" t="n">
        <x:f>M280-N280</x:f>
        <x:v>-82722</x:v>
      </x:c>
      <x:c r="P280" s="186" t="n">
        <x:v>98111</x:v>
      </x:c>
      <x:c r="Q280" s="186" t="n">
        <x:v>28886</x:v>
      </x:c>
      <x:c r="R280" s="186" t="n">
        <x:f>P280-Q280</x:f>
        <x:v>69225</x:v>
      </x:c>
      <x:c r="S280" s="186" t="n">
        <x:v>49169</x:v>
      </x:c>
      <x:c r="T280" s="186" t="n">
        <x:v>42197</x:v>
      </x:c>
      <x:c r="U280" s="186" t="n">
        <x:f>S280-T280</x:f>
        <x:v>6972</x:v>
      </x:c>
      <x:c r="V280" s="196" t="n">
        <x:f>IFERROR(O280/F280,"")</x:f>
        <x:v>-0.1748443305898317</x:v>
      </x:c>
      <x:c r="W280" s="196" t="n">
        <x:f>IFERROR(I280/F280,"")</x:f>
        <x:v>-0.08162023004831775</x:v>
      </x:c>
    </x:row>
    <x:row r="281">
      <x:c r="A281" s="186" t="str">
        <x:v>Silver</x:v>
      </x:c>
      <x:c r="B281" s="187" t="n">
        <x:v>43347</x:v>
      </x:c>
      <x:c r="C281" s="187" t="n">
        <x:v>43350</x:v>
      </x:c>
      <x:c r="D281" s="186" t="str">
        <x:v>084691-SILVER</x:v>
      </x:c>
      <x:c r="E281" s="186" t="str">
        <x:v>SILVER - COMMODITY EXCHANGE INC.</x:v>
      </x:c>
      <x:c r="F281" s="186" t="n">
        <x:v>212391</x:v>
      </x:c>
      <x:c r="G281" s="186" t="n">
        <x:v>22368</x:v>
      </x:c>
      <x:c r="H281" s="186" t="n">
        <x:v>33018</x:v>
      </x:c>
      <x:c r="I281" s="186" t="n">
        <x:f>G281-H281</x:f>
        <x:v>-10650</x:v>
      </x:c>
      <x:c r="J281" s="186" t="n">
        <x:v>54355</x:v>
      </x:c>
      <x:c r="K281" s="186" t="n">
        <x:v>29092</x:v>
      </x:c>
      <x:c r="L281" s="186" t="n">
        <x:f>J281-K281</x:f>
        <x:v>25263</x:v>
      </x:c>
      <x:c r="M281" s="186" t="n">
        <x:v>55559</x:v>
      </x:c>
      <x:c r="N281" s="186" t="n">
        <x:v>104482</x:v>
      </x:c>
      <x:c r="O281" s="186" t="n">
        <x:f>M281-N281</x:f>
        <x:v>-48923</x:v>
      </x:c>
      <x:c r="P281" s="186" t="n">
        <x:v>27502</x:v>
      </x:c>
      <x:c r="Q281" s="186" t="n">
        <x:v>7553</x:v>
      </x:c>
      <x:c r="R281" s="186" t="n">
        <x:f>P281-Q281</x:f>
        <x:v>19949</x:v>
      </x:c>
      <x:c r="S281" s="186" t="n">
        <x:v>30920</x:v>
      </x:c>
      <x:c r="T281" s="186" t="n">
        <x:v>16559</x:v>
      </x:c>
      <x:c r="U281" s="186" t="n">
        <x:f>S281-T281</x:f>
        <x:v>14361</x:v>
      </x:c>
      <x:c r="V281" s="196" t="n">
        <x:f>IFERROR(O281/F281,"")</x:f>
        <x:v>-0.23034403529339756</x:v>
      </x:c>
      <x:c r="W281" s="196" t="n">
        <x:f>IFERROR(I281/F281,"")</x:f>
        <x:v>-0.05014336765682162</x:v>
      </x:c>
    </x:row>
    <x:row r="282">
      <x:c r="A282" s="186" t="str">
        <x:v>Gold</x:v>
      </x:c>
      <x:c r="B282" s="187" t="n">
        <x:v>43354</x:v>
      </x:c>
      <x:c r="C282" s="187" t="n">
        <x:v>43357</x:v>
      </x:c>
      <x:c r="D282" s="186" t="str">
        <x:v>088691-GOLD</x:v>
      </x:c>
      <x:c r="E282" s="186" t="str">
        <x:v>GOLD - COMMODITY EXCHANGE INC.</x:v>
      </x:c>
      <x:c r="F282" s="186" t="n">
        <x:v>469450</x:v>
      </x:c>
      <x:c r="G282" s="186" t="n">
        <x:v>28256</x:v>
      </x:c>
      <x:c r="H282" s="186" t="n">
        <x:v>68613</x:v>
      </x:c>
      <x:c r="I282" s="186" t="n">
        <x:f>G282-H282</x:f>
        <x:v>-40357</x:v>
      </x:c>
      <x:c r="J282" s="186" t="n">
        <x:v>111917</x:v>
      </x:c>
      <x:c r="K282" s="186" t="n">
        <x:v>71547</x:v>
      </x:c>
      <x:c r="L282" s="186" t="n">
        <x:f>J282-K282</x:f>
        <x:v>40370</x:v>
      </x:c>
      <x:c r="M282" s="186" t="n">
        <x:v>100593</x:v>
      </x:c>
      <x:c r="N282" s="186" t="n">
        <x:v>175812</x:v>
      </x:c>
      <x:c r="O282" s="186" t="n">
        <x:f>M282-N282</x:f>
        <x:v>-75219</x:v>
      </x:c>
      <x:c r="P282" s="186" t="n">
        <x:v>97774</x:v>
      </x:c>
      <x:c r="Q282" s="186" t="n">
        <x:v>30145</x:v>
      </x:c>
      <x:c r="R282" s="186" t="n">
        <x:f>P282-Q282</x:f>
        <x:v>67629</x:v>
      </x:c>
      <x:c r="S282" s="186" t="n">
        <x:v>47866</x:v>
      </x:c>
      <x:c r="T282" s="186" t="n">
        <x:v>40289</x:v>
      </x:c>
      <x:c r="U282" s="186" t="n">
        <x:f>S282-T282</x:f>
        <x:v>7577</x:v>
      </x:c>
      <x:c r="V282" s="196" t="n">
        <x:f>IFERROR(O282/F282,"")</x:f>
        <x:v>-0.16022792629673022</x:v>
      </x:c>
      <x:c r="W282" s="196" t="n">
        <x:f>IFERROR(I282/F282,"")</x:f>
        <x:v>-0.08596655660879753</x:v>
      </x:c>
    </x:row>
    <x:row r="283">
      <x:c r="A283" s="186" t="str">
        <x:v>Silver</x:v>
      </x:c>
      <x:c r="B283" s="187" t="n">
        <x:v>43354</x:v>
      </x:c>
      <x:c r="C283" s="187" t="n">
        <x:v>43357</x:v>
      </x:c>
      <x:c r="D283" s="186" t="str">
        <x:v>084691-SILVER</x:v>
      </x:c>
      <x:c r="E283" s="186" t="str">
        <x:v>SILVER - COMMODITY EXCHANGE INC.</x:v>
      </x:c>
      <x:c r="F283" s="186" t="n">
        <x:v>208969</x:v>
      </x:c>
      <x:c r="G283" s="186" t="n">
        <x:v>20639</x:v>
      </x:c>
      <x:c r="H283" s="186" t="n">
        <x:v>30296</x:v>
      </x:c>
      <x:c r="I283" s="186" t="n">
        <x:f>G283-H283</x:f>
        <x:v>-9657</x:v>
      </x:c>
      <x:c r="J283" s="186" t="n">
        <x:v>52451</x:v>
      </x:c>
      <x:c r="K283" s="186" t="n">
        <x:v>30420</x:v>
      </x:c>
      <x:c r="L283" s="186" t="n">
        <x:f>J283-K283</x:f>
        <x:v>22031</x:v>
      </x:c>
      <x:c r="M283" s="186" t="n">
        <x:v>53034</x:v>
      </x:c>
      <x:c r="N283" s="186" t="n">
        <x:v>101109</x:v>
      </x:c>
      <x:c r="O283" s="186" t="n">
        <x:f>M283-N283</x:f>
        <x:v>-48075</x:v>
      </x:c>
      <x:c r="P283" s="186" t="n">
        <x:v>28061</x:v>
      </x:c>
      <x:c r="Q283" s="186" t="n">
        <x:v>7389</x:v>
      </x:c>
      <x:c r="R283" s="186" t="n">
        <x:f>P283-Q283</x:f>
        <x:v>20672</x:v>
      </x:c>
      <x:c r="S283" s="186" t="n">
        <x:v>31395</x:v>
      </x:c>
      <x:c r="T283" s="186" t="n">
        <x:v>16366</x:v>
      </x:c>
      <x:c r="U283" s="186" t="n">
        <x:f>S283-T283</x:f>
        <x:v>15029</x:v>
      </x:c>
      <x:c r="V283" s="196" t="n">
        <x:f>IFERROR(O283/F283,"")</x:f>
        <x:v>-0.23005804688733736</x:v>
      </x:c>
      <x:c r="W283" s="196" t="n">
        <x:f>IFERROR(I283/F283,"")</x:f>
        <x:v>-0.046212596126698216</x:v>
      </x:c>
    </x:row>
    <x:row r="284">
      <x:c r="A284" s="186" t="str">
        <x:v>Gold</x:v>
      </x:c>
      <x:c r="B284" s="187" t="n">
        <x:v>43361</x:v>
      </x:c>
      <x:c r="C284" s="187" t="n">
        <x:v>43364</x:v>
      </x:c>
      <x:c r="D284" s="186" t="str">
        <x:v>088691-GOLD</x:v>
      </x:c>
      <x:c r="E284" s="186" t="str">
        <x:v>GOLD - COMMODITY EXCHANGE INC.</x:v>
      </x:c>
      <x:c r="F284" s="186" t="n">
        <x:v>469436</x:v>
      </x:c>
      <x:c r="G284" s="186" t="n">
        <x:v>29357</x:v>
      </x:c>
      <x:c r="H284" s="186" t="n">
        <x:v>68328</x:v>
      </x:c>
      <x:c r="I284" s="186" t="n">
        <x:f>G284-H284</x:f>
        <x:v>-38971</x:v>
      </x:c>
      <x:c r="J284" s="186" t="n">
        <x:v>111685</x:v>
      </x:c>
      <x:c r="K284" s="186" t="n">
        <x:v>71023</x:v>
      </x:c>
      <x:c r="L284" s="186" t="n">
        <x:f>J284-K284</x:f>
        <x:v>40662</x:v>
      </x:c>
      <x:c r="M284" s="186" t="n">
        <x:v>97904</x:v>
      </x:c>
      <x:c r="N284" s="186" t="n">
        <x:v>180367</x:v>
      </x:c>
      <x:c r="O284" s="186" t="n">
        <x:f>M284-N284</x:f>
        <x:v>-82463</x:v>
      </x:c>
      <x:c r="P284" s="186" t="n">
        <x:v>99893</x:v>
      </x:c>
      <x:c r="Q284" s="186" t="n">
        <x:v>28274</x:v>
      </x:c>
      <x:c r="R284" s="186" t="n">
        <x:f>P284-Q284</x:f>
        <x:v>71619</x:v>
      </x:c>
      <x:c r="S284" s="186" t="n">
        <x:v>43868</x:v>
      </x:c>
      <x:c r="T284" s="186" t="n">
        <x:v>34715</x:v>
      </x:c>
      <x:c r="U284" s="186" t="n">
        <x:f>S284-T284</x:f>
        <x:v>9153</x:v>
      </x:c>
      <x:c r="V284" s="196" t="n">
        <x:f>IFERROR(O284/F284,"")</x:f>
        <x:v>-0.17566398827529206</x:v>
      </x:c>
      <x:c r="W284" s="196" t="n">
        <x:f>IFERROR(I284/F284,"")</x:f>
        <x:v>-0.08301664124609105</x:v>
      </x:c>
    </x:row>
    <x:row r="285">
      <x:c r="A285" s="186" t="str">
        <x:v>Silver</x:v>
      </x:c>
      <x:c r="B285" s="187" t="n">
        <x:v>43361</x:v>
      </x:c>
      <x:c r="C285" s="187" t="n">
        <x:v>43364</x:v>
      </x:c>
      <x:c r="D285" s="186" t="str">
        <x:v>084691-SILVER</x:v>
      </x:c>
      <x:c r="E285" s="186" t="str">
        <x:v>SILVER - COMMODITY EXCHANGE INC.</x:v>
      </x:c>
      <x:c r="F285" s="186" t="n">
        <x:v>205469</x:v>
      </x:c>
      <x:c r="G285" s="186" t="n">
        <x:v>21956</x:v>
      </x:c>
      <x:c r="H285" s="186" t="n">
        <x:v>32279</x:v>
      </x:c>
      <x:c r="I285" s="186" t="n">
        <x:f>G285-H285</x:f>
        <x:v>-10323</x:v>
      </x:c>
      <x:c r="J285" s="186" t="n">
        <x:v>49890</x:v>
      </x:c>
      <x:c r="K285" s="186" t="n">
        <x:v>30733</x:v>
      </x:c>
      <x:c r="L285" s="186" t="n">
        <x:f>J285-K285</x:f>
        <x:v>19157</x:v>
      </x:c>
      <x:c r="M285" s="186" t="n">
        <x:v>52296</x:v>
      </x:c>
      <x:c r="N285" s="186" t="n">
        <x:v>99047</x:v>
      </x:c>
      <x:c r="O285" s="186" t="n">
        <x:f>M285-N285</x:f>
        <x:v>-46751</x:v>
      </x:c>
      <x:c r="P285" s="186" t="n">
        <x:v>27728</x:v>
      </x:c>
      <x:c r="Q285" s="186" t="n">
        <x:v>6493</x:v>
      </x:c>
      <x:c r="R285" s="186" t="n">
        <x:f>P285-Q285</x:f>
        <x:v>21235</x:v>
      </x:c>
      <x:c r="S285" s="186" t="n">
        <x:v>32927</x:v>
      </x:c>
      <x:c r="T285" s="186" t="n">
        <x:v>16245</x:v>
      </x:c>
      <x:c r="U285" s="186" t="n">
        <x:f>S285-T285</x:f>
        <x:v>16682</x:v>
      </x:c>
      <x:c r="V285" s="196" t="n">
        <x:f>IFERROR(O285/F285,"")</x:f>
        <x:v>-0.2275331071840521</x:v>
      </x:c>
      <x:c r="W285" s="196" t="n">
        <x:f>IFERROR(I285/F285,"")</x:f>
        <x:v>-0.050241155600114856</x:v>
      </x:c>
    </x:row>
    <x:row r="286">
      <x:c r="A286" s="186" t="str">
        <x:v>Gold</x:v>
      </x:c>
      <x:c r="B286" s="187" t="n">
        <x:v>43368</x:v>
      </x:c>
      <x:c r="C286" s="187" t="n">
        <x:v>43371</x:v>
      </x:c>
      <x:c r="D286" s="186" t="str">
        <x:v>088691-GOLD</x:v>
      </x:c>
      <x:c r="E286" s="186" t="str">
        <x:v>GOLD - COMMODITY EXCHANGE INC.</x:v>
      </x:c>
      <x:c r="F286" s="186" t="n">
        <x:v>460279</x:v>
      </x:c>
      <x:c r="G286" s="186" t="n">
        <x:v>27277</x:v>
      </x:c>
      <x:c r="H286" s="186" t="n">
        <x:v>67802</x:v>
      </x:c>
      <x:c r="I286" s="186" t="n">
        <x:f>G286-H286</x:f>
        <x:v>-40525</x:v>
      </x:c>
      <x:c r="J286" s="186" t="n">
        <x:v>110272</x:v>
      </x:c>
      <x:c r="K286" s="186" t="n">
        <x:v>62667</x:v>
      </x:c>
      <x:c r="L286" s="186" t="n">
        <x:f>J286-K286</x:f>
        <x:v>47605</x:v>
      </x:c>
      <x:c r="M286" s="186" t="n">
        <x:v>98513</x:v>
      </x:c>
      <x:c r="N286" s="186" t="n">
        <x:v>182190</x:v>
      </x:c>
      <x:c r="O286" s="186" t="n">
        <x:f>M286-N286</x:f>
        <x:v>-83677</x:v>
      </x:c>
      <x:c r="P286" s="186" t="n">
        <x:v>94427</x:v>
      </x:c>
      <x:c r="Q286" s="186" t="n">
        <x:v>28398</x:v>
      </x:c>
      <x:c r="R286" s="186" t="n">
        <x:f>P286-Q286</x:f>
        <x:v>66029</x:v>
      </x:c>
      <x:c r="S286" s="186" t="n">
        <x:v>47538</x:v>
      </x:c>
      <x:c r="T286" s="186" t="n">
        <x:v>36970</x:v>
      </x:c>
      <x:c r="U286" s="186" t="n">
        <x:f>S286-T286</x:f>
        <x:v>10568</x:v>
      </x:c>
      <x:c r="V286" s="196" t="n">
        <x:f>IFERROR(O286/F286,"")</x:f>
        <x:v>-0.18179625835634475</x:v>
      </x:c>
      <x:c r="W286" s="196" t="n">
        <x:f>IFERROR(I286/F286,"")</x:f>
        <x:v>-0.08804442522904586</x:v>
      </x:c>
    </x:row>
    <x:row r="287">
      <x:c r="A287" s="186" t="str">
        <x:v>Silver</x:v>
      </x:c>
      <x:c r="B287" s="187" t="n">
        <x:v>43368</x:v>
      </x:c>
      <x:c r="C287" s="187" t="n">
        <x:v>43371</x:v>
      </x:c>
      <x:c r="D287" s="186" t="str">
        <x:v>084691-SILVER</x:v>
      </x:c>
      <x:c r="E287" s="186" t="str">
        <x:v>SILVER - COMMODITY EXCHANGE INC.</x:v>
      </x:c>
      <x:c r="F287" s="186" t="n">
        <x:v>204508</x:v>
      </x:c>
      <x:c r="G287" s="186" t="n">
        <x:v>18532</x:v>
      </x:c>
      <x:c r="H287" s="186" t="n">
        <x:v>33704</x:v>
      </x:c>
      <x:c r="I287" s="186" t="n">
        <x:f>G287-H287</x:f>
        <x:v>-15172</x:v>
      </x:c>
      <x:c r="J287" s="186" t="n">
        <x:v>51356</x:v>
      </x:c>
      <x:c r="K287" s="186" t="n">
        <x:v>30798</x:v>
      </x:c>
      <x:c r="L287" s="186" t="n">
        <x:f>J287-K287</x:f>
        <x:v>20558</x:v>
      </x:c>
      <x:c r="M287" s="186" t="n">
        <x:v>52672</x:v>
      </x:c>
      <x:c r="N287" s="186" t="n">
        <x:v>95355</x:v>
      </x:c>
      <x:c r="O287" s="186" t="n">
        <x:f>M287-N287</x:f>
        <x:v>-42683</x:v>
      </x:c>
      <x:c r="P287" s="186" t="n">
        <x:v>26526</x:v>
      </x:c>
      <x:c r="Q287" s="186" t="n">
        <x:v>7098</x:v>
      </x:c>
      <x:c r="R287" s="186" t="n">
        <x:f>P287-Q287</x:f>
        <x:v>19428</x:v>
      </x:c>
      <x:c r="S287" s="186" t="n">
        <x:v>33295</x:v>
      </x:c>
      <x:c r="T287" s="186" t="n">
        <x:v>15426</x:v>
      </x:c>
      <x:c r="U287" s="186" t="n">
        <x:f>S287-T287</x:f>
        <x:v>17869</x:v>
      </x:c>
      <x:c r="V287" s="196" t="n">
        <x:f>IFERROR(O287/F287,"")</x:f>
        <x:v>-0.20871066168560642</x:v>
      </x:c>
      <x:c r="W287" s="196" t="n">
        <x:f>IFERROR(I287/F287,"")</x:f>
        <x:v>-0.07418780683396249</x:v>
      </x:c>
    </x:row>
    <x:row r="288">
      <x:c r="A288" s="186" t="str">
        <x:v>Gold</x:v>
      </x:c>
      <x:c r="B288" s="187" t="n">
        <x:v>43375</x:v>
      </x:c>
      <x:c r="C288" s="187" t="n">
        <x:v>43378</x:v>
      </x:c>
      <x:c r="D288" s="186" t="str">
        <x:v>088691-GOLD</x:v>
      </x:c>
      <x:c r="E288" s="186" t="str">
        <x:v>GOLD - COMMODITY EXCHANGE INC.</x:v>
      </x:c>
      <x:c r="F288" s="186" t="n">
        <x:v>459776</x:v>
      </x:c>
      <x:c r="G288" s="186" t="n">
        <x:v>31567</x:v>
      </x:c>
      <x:c r="H288" s="186" t="n">
        <x:v>70177</x:v>
      </x:c>
      <x:c r="I288" s="186" t="n">
        <x:f>G288-H288</x:f>
        <x:v>-38610</x:v>
      </x:c>
      <x:c r="J288" s="186" t="n">
        <x:v>108806</x:v>
      </x:c>
      <x:c r="K288" s="186" t="n">
        <x:v>61321</x:v>
      </x:c>
      <x:c r="L288" s="186" t="n">
        <x:f>J288-K288</x:f>
        <x:v>47485</x:v>
      </x:c>
      <x:c r="M288" s="186" t="n">
        <x:v>100671</x:v>
      </x:c>
      <x:c r="N288" s="186" t="n">
        <x:v>180274</x:v>
      </x:c>
      <x:c r="O288" s="186" t="n">
        <x:f>M288-N288</x:f>
        <x:v>-79603</x:v>
      </x:c>
      <x:c r="P288" s="186" t="n">
        <x:v>91819</x:v>
      </x:c>
      <x:c r="Q288" s="186" t="n">
        <x:v>34038</x:v>
      </x:c>
      <x:c r="R288" s="186" t="n">
        <x:f>P288-Q288</x:f>
        <x:v>57781</x:v>
      </x:c>
      <x:c r="S288" s="186" t="n">
        <x:v>49286</x:v>
      </x:c>
      <x:c r="T288" s="186" t="n">
        <x:v>36339</x:v>
      </x:c>
      <x:c r="U288" s="186" t="n">
        <x:f>S288-T288</x:f>
        <x:v>12947</x:v>
      </x:c>
      <x:c r="V288" s="196" t="n">
        <x:f>IFERROR(O288/F288,"")</x:f>
        <x:v>-0.17313430888084633</x:v>
      </x:c>
      <x:c r="W288" s="196" t="n">
        <x:f>IFERROR(I288/F288,"")</x:f>
        <x:v>-0.08397567511135857</x:v>
      </x:c>
    </x:row>
    <x:row r="289">
      <x:c r="A289" s="186" t="str">
        <x:v>Silver</x:v>
      </x:c>
      <x:c r="B289" s="187" t="n">
        <x:v>43375</x:v>
      </x:c>
      <x:c r="C289" s="187" t="n">
        <x:v>43378</x:v>
      </x:c>
      <x:c r="D289" s="186" t="str">
        <x:v>084691-SILVER</x:v>
      </x:c>
      <x:c r="E289" s="186" t="str">
        <x:v>SILVER - COMMODITY EXCHANGE INC.</x:v>
      </x:c>
      <x:c r="F289" s="186" t="n">
        <x:v>200173</x:v>
      </x:c>
      <x:c r="G289" s="186" t="n">
        <x:v>16784</x:v>
      </x:c>
      <x:c r="H289" s="186" t="n">
        <x:v>36795</x:v>
      </x:c>
      <x:c r="I289" s="186" t="n">
        <x:f>G289-H289</x:f>
        <x:v>-20011</x:v>
      </x:c>
      <x:c r="J289" s="186" t="n">
        <x:v>52303</x:v>
      </x:c>
      <x:c r="K289" s="186" t="n">
        <x:v>33304</x:v>
      </x:c>
      <x:c r="L289" s="186" t="n">
        <x:f>J289-K289</x:f>
        <x:v>18999</x:v>
      </x:c>
      <x:c r="M289" s="186" t="n">
        <x:v>50674</x:v>
      </x:c>
      <x:c r="N289" s="186" t="n">
        <x:v>86744</x:v>
      </x:c>
      <x:c r="O289" s="186" t="n">
        <x:f>M289-N289</x:f>
        <x:v>-36070</x:v>
      </x:c>
      <x:c r="P289" s="186" t="n">
        <x:v>25263</x:v>
      </x:c>
      <x:c r="Q289" s="186" t="n">
        <x:v>6691</x:v>
      </x:c>
      <x:c r="R289" s="186" t="n">
        <x:f>P289-Q289</x:f>
        <x:v>18572</x:v>
      </x:c>
      <x:c r="S289" s="186" t="n">
        <x:v>32150</x:v>
      </x:c>
      <x:c r="T289" s="186" t="n">
        <x:v>13640</x:v>
      </x:c>
      <x:c r="U289" s="186" t="n">
        <x:f>S289-T289</x:f>
        <x:v>18510</x:v>
      </x:c>
      <x:c r="V289" s="196" t="n">
        <x:f>IFERROR(O289/F289,"")</x:f>
        <x:v>-0.18019413207575447</x:v>
      </x:c>
      <x:c r="W289" s="196" t="n">
        <x:f>IFERROR(I289/F289,"")</x:f>
        <x:v>-0.09996852722395128</x:v>
      </x:c>
    </x:row>
    <x:row r="290">
      <x:c r="A290" s="186" t="str">
        <x:v>Gold</x:v>
      </x:c>
      <x:c r="B290" s="187" t="n">
        <x:v>43382</x:v>
      </x:c>
      <x:c r="C290" s="187" t="n">
        <x:v>43385</x:v>
      </x:c>
      <x:c r="D290" s="186" t="str">
        <x:v>088691-GOLD</x:v>
      </x:c>
      <x:c r="E290" s="186" t="str">
        <x:v>GOLD - COMMODITY EXCHANGE INC.</x:v>
      </x:c>
      <x:c r="F290" s="186" t="n">
        <x:v>465253</x:v>
      </x:c>
      <x:c r="G290" s="186" t="n">
        <x:v>35501</x:v>
      </x:c>
      <x:c r="H290" s="186" t="n">
        <x:v>69634</x:v>
      </x:c>
      <x:c r="I290" s="186" t="n">
        <x:f>G290-H290</x:f>
        <x:v>-34133</x:v>
      </x:c>
      <x:c r="J290" s="186" t="n">
        <x:v>111386</x:v>
      </x:c>
      <x:c r="K290" s="186" t="n">
        <x:v>51387</x:v>
      </x:c>
      <x:c r="L290" s="186" t="n">
        <x:f>J290-K290</x:f>
        <x:v>59999</x:v>
      </x:c>
      <x:c r="M290" s="186" t="n">
        <x:v>82218</x:v>
      </x:c>
      <x:c r="N290" s="186" t="n">
        <x:v>191672</x:v>
      </x:c>
      <x:c r="O290" s="186" t="n">
        <x:f>M290-N290</x:f>
        <x:v>-109454</x:v>
      </x:c>
      <x:c r="P290" s="186" t="n">
        <x:v>97528</x:v>
      </x:c>
      <x:c r="Q290" s="186" t="n">
        <x:v>26249</x:v>
      </x:c>
      <x:c r="R290" s="186" t="n">
        <x:f>P290-Q290</x:f>
        <x:v>71279</x:v>
      </x:c>
      <x:c r="S290" s="186" t="n">
        <x:v>47441</x:v>
      </x:c>
      <x:c r="T290" s="186" t="n">
        <x:v>35132</x:v>
      </x:c>
      <x:c r="U290" s="186" t="n">
        <x:f>S290-T290</x:f>
        <x:v>12309</x:v>
      </x:c>
      <x:c r="V290" s="196" t="n">
        <x:f>IFERROR(O290/F290,"")</x:f>
        <x:v>-0.23525694622065843</x:v>
      </x:c>
      <x:c r="W290" s="196" t="n">
        <x:f>IFERROR(I290/F290,"")</x:f>
        <x:v>-0.07336438453916472</x:v>
      </x:c>
    </x:row>
    <x:row r="291">
      <x:c r="A291" s="186" t="str">
        <x:v>Silver</x:v>
      </x:c>
      <x:c r="B291" s="187" t="n">
        <x:v>43382</x:v>
      </x:c>
      <x:c r="C291" s="187" t="n">
        <x:v>43385</x:v>
      </x:c>
      <x:c r="D291" s="186" t="str">
        <x:v>084691-SILVER</x:v>
      </x:c>
      <x:c r="E291" s="186" t="str">
        <x:v>SILVER - COMMODITY EXCHANGE INC.</x:v>
      </x:c>
      <x:c r="F291" s="186" t="n">
        <x:v>199853</x:v>
      </x:c>
      <x:c r="G291" s="186" t="n">
        <x:v>16026</x:v>
      </x:c>
      <x:c r="H291" s="186" t="n">
        <x:v>35721</x:v>
      </x:c>
      <x:c r="I291" s="186" t="n">
        <x:f>G291-H291</x:f>
        <x:v>-19695</x:v>
      </x:c>
      <x:c r="J291" s="186" t="n">
        <x:v>52899</x:v>
      </x:c>
      <x:c r="K291" s="186" t="n">
        <x:v>29649</x:v>
      </x:c>
      <x:c r="L291" s="186" t="n">
        <x:f>J291-K291</x:f>
        <x:v>23250</x:v>
      </x:c>
      <x:c r="M291" s="186" t="n">
        <x:v>45587</x:v>
      </x:c>
      <x:c r="N291" s="186" t="n">
        <x:v>86851</x:v>
      </x:c>
      <x:c r="O291" s="186" t="n">
        <x:f>M291-N291</x:f>
        <x:v>-41264</x:v>
      </x:c>
      <x:c r="P291" s="186" t="n">
        <x:v>26548</x:v>
      </x:c>
      <x:c r="Q291" s="186" t="n">
        <x:v>7534</x:v>
      </x:c>
      <x:c r="R291" s="186" t="n">
        <x:f>P291-Q291</x:f>
        <x:v>19014</x:v>
      </x:c>
      <x:c r="S291" s="186" t="n">
        <x:v>32924</x:v>
      </x:c>
      <x:c r="T291" s="186" t="n">
        <x:v>14229</x:v>
      </x:c>
      <x:c r="U291" s="186" t="n">
        <x:f>S291-T291</x:f>
        <x:v>18695</x:v>
      </x:c>
      <x:c r="V291" s="196" t="n">
        <x:f>IFERROR(O291/F291,"")</x:f>
        <x:v>-0.2064717567412048</x:v>
      </x:c>
      <x:c r="W291" s="196" t="n">
        <x:f>IFERROR(I291/F291,"")</x:f>
        <x:v>-0.09854743236278665</x:v>
      </x:c>
    </x:row>
    <x:row r="292">
      <x:c r="A292" s="186" t="str">
        <x:v>Gold</x:v>
      </x:c>
      <x:c r="B292" s="187" t="n">
        <x:v>43389</x:v>
      </x:c>
      <x:c r="C292" s="187" t="n">
        <x:v>43392</x:v>
      </x:c>
      <x:c r="D292" s="186" t="str">
        <x:v>088691-GOLD</x:v>
      </x:c>
      <x:c r="E292" s="186" t="str">
        <x:v>GOLD - COMMODITY EXCHANGE INC.</x:v>
      </x:c>
      <x:c r="F292" s="186" t="n">
        <x:v>474418</x:v>
      </x:c>
      <x:c r="G292" s="186" t="n">
        <x:v>36197</x:v>
      </x:c>
      <x:c r="H292" s="186" t="n">
        <x:v>98154</x:v>
      </x:c>
      <x:c r="I292" s="186" t="n">
        <x:f>G292-H292</x:f>
        <x:v>-61957</x:v>
      </x:c>
      <x:c r="J292" s="186" t="n">
        <x:v>105647</x:v>
      </x:c>
      <x:c r="K292" s="186" t="n">
        <x:v>75686</x:v>
      </x:c>
      <x:c r="L292" s="186" t="n">
        <x:f>J292-K292</x:f>
        <x:v>29961</x:v>
      </x:c>
      <x:c r="M292" s="186" t="n">
        <x:v>95333</x:v>
      </x:c>
      <x:c r="N292" s="186" t="n">
        <x:v>144715</x:v>
      </x:c>
      <x:c r="O292" s="186" t="n">
        <x:f>M292-N292</x:f>
        <x:v>-49382</x:v>
      </x:c>
      <x:c r="P292" s="186" t="n">
        <x:v>93867</x:v>
      </x:c>
      <x:c r="Q292" s="186" t="n">
        <x:v>26818</x:v>
      </x:c>
      <x:c r="R292" s="186" t="n">
        <x:f>P292-Q292</x:f>
        <x:v>67049</x:v>
      </x:c>
      <x:c r="S292" s="186" t="n">
        <x:v>47797</x:v>
      </x:c>
      <x:c r="T292" s="186" t="n">
        <x:v>33468</x:v>
      </x:c>
      <x:c r="U292" s="186" t="n">
        <x:f>S292-T292</x:f>
        <x:v>14329</x:v>
      </x:c>
      <x:c r="V292" s="196" t="n">
        <x:f>IFERROR(O292/F292,"")</x:f>
        <x:v>-0.10408964246719138</x:v>
      </x:c>
      <x:c r="W292" s="196" t="n">
        <x:f>IFERROR(I292/F292,"")</x:f>
        <x:v>-0.13059580370053414</x:v>
      </x:c>
    </x:row>
    <x:row r="293">
      <x:c r="A293" s="186" t="str">
        <x:v>Silver</x:v>
      </x:c>
      <x:c r="B293" s="187" t="n">
        <x:v>43389</x:v>
      </x:c>
      <x:c r="C293" s="187" t="n">
        <x:v>43392</x:v>
      </x:c>
      <x:c r="D293" s="186" t="str">
        <x:v>084691-SILVER</x:v>
      </x:c>
      <x:c r="E293" s="186" t="str">
        <x:v>SILVER - COMMODITY EXCHANGE INC.</x:v>
      </x:c>
      <x:c r="F293" s="186" t="n">
        <x:v>199398</x:v>
      </x:c>
      <x:c r="G293" s="186" t="n">
        <x:v>14625</x:v>
      </x:c>
      <x:c r="H293" s="186" t="n">
        <x:v>39416</x:v>
      </x:c>
      <x:c r="I293" s="186" t="n">
        <x:f>G293-H293</x:f>
        <x:v>-24791</x:v>
      </x:c>
      <x:c r="J293" s="186" t="n">
        <x:v>53108</x:v>
      </x:c>
      <x:c r="K293" s="186" t="n">
        <x:v>33141</x:v>
      </x:c>
      <x:c r="L293" s="186" t="n">
        <x:f>J293-K293</x:f>
        <x:v>19967</x:v>
      </x:c>
      <x:c r="M293" s="186" t="n">
        <x:v>45792</x:v>
      </x:c>
      <x:c r="N293" s="186" t="n">
        <x:v>79191</x:v>
      </x:c>
      <x:c r="O293" s="186" t="n">
        <x:f>M293-N293</x:f>
        <x:v>-33399</x:v>
      </x:c>
      <x:c r="P293" s="186" t="n">
        <x:v>26411</x:v>
      </x:c>
      <x:c r="Q293" s="186" t="n">
        <x:v>7839</x:v>
      </x:c>
      <x:c r="R293" s="186" t="n">
        <x:f>P293-Q293</x:f>
        <x:v>18572</x:v>
      </x:c>
      <x:c r="S293" s="186" t="n">
        <x:v>33920</x:v>
      </x:c>
      <x:c r="T293" s="186" t="n">
        <x:v>14269</x:v>
      </x:c>
      <x:c r="U293" s="186" t="n">
        <x:f>S293-T293</x:f>
        <x:v>19651</x:v>
      </x:c>
      <x:c r="V293" s="196" t="n">
        <x:f>IFERROR(O293/F293,"")</x:f>
        <x:v>-0.16749917250925286</x:v>
      </x:c>
      <x:c r="W293" s="196" t="n">
        <x:f>IFERROR(I293/F293,"")</x:f>
        <x:v>-0.12432923098526565</x:v>
      </x:c>
    </x:row>
    <x:row r="294">
      <x:c r="A294" s="186" t="str">
        <x:v>Gold</x:v>
      </x:c>
      <x:c r="B294" s="187" t="n">
        <x:v>43396</x:v>
      </x:c>
      <x:c r="C294" s="187" t="n">
        <x:v>43399</x:v>
      </x:c>
      <x:c r="D294" s="186" t="str">
        <x:v>088691-GOLD</x:v>
      </x:c>
      <x:c r="E294" s="186" t="str">
        <x:v>GOLD - COMMODITY EXCHANGE INC.</x:v>
      </x:c>
      <x:c r="F294" s="186" t="n">
        <x:v>477832</x:v>
      </x:c>
      <x:c r="G294" s="186" t="n">
        <x:v>34663</x:v>
      </x:c>
      <x:c r="H294" s="186" t="n">
        <x:v>102587</x:v>
      </x:c>
      <x:c r="I294" s="186" t="n">
        <x:f>G294-H294</x:f>
        <x:v>-67924</x:v>
      </x:c>
      <x:c r="J294" s="186" t="n">
        <x:v>102239</x:v>
      </x:c>
      <x:c r="K294" s="186" t="n">
        <x:v>80835</x:v>
      </x:c>
      <x:c r="L294" s="186" t="n">
        <x:f>J294-K294</x:f>
        <x:v>21404</x:v>
      </x:c>
      <x:c r="M294" s="186" t="n">
        <x:v>99368</x:v>
      </x:c>
      <x:c r="N294" s="186" t="n">
        <x:v>137484</x:v>
      </x:c>
      <x:c r="O294" s="186" t="n">
        <x:f>M294-N294</x:f>
        <x:v>-38116</x:v>
      </x:c>
      <x:c r="P294" s="186" t="n">
        <x:v>93210</x:v>
      </x:c>
      <x:c r="Q294" s="186" t="n">
        <x:v>25706</x:v>
      </x:c>
      <x:c r="R294" s="186" t="n">
        <x:f>P294-Q294</x:f>
        <x:v>67504</x:v>
      </x:c>
      <x:c r="S294" s="186" t="n">
        <x:v>47890</x:v>
      </x:c>
      <x:c r="T294" s="186" t="n">
        <x:v>30758</x:v>
      </x:c>
      <x:c r="U294" s="186" t="n">
        <x:f>S294-T294</x:f>
        <x:v>17132</x:v>
      </x:c>
      <x:c r="V294" s="196" t="n">
        <x:f>IFERROR(O294/F294,"")</x:f>
        <x:v>-0.0797686216075943</x:v>
      </x:c>
      <x:c r="W294" s="196" t="n">
        <x:f>IFERROR(I294/F294,"")</x:f>
        <x:v>-0.1421503792127777</x:v>
      </x:c>
    </x:row>
    <x:row r="295">
      <x:c r="A295" s="186" t="str">
        <x:v>Silver</x:v>
      </x:c>
      <x:c r="B295" s="187" t="n">
        <x:v>43396</x:v>
      </x:c>
      <x:c r="C295" s="187" t="n">
        <x:v>43399</x:v>
      </x:c>
      <x:c r="D295" s="186" t="str">
        <x:v>084691-SILVER</x:v>
      </x:c>
      <x:c r="E295" s="186" t="str">
        <x:v>SILVER - COMMODITY EXCHANGE INC.</x:v>
      </x:c>
      <x:c r="F295" s="186" t="n">
        <x:v>199746</x:v>
      </x:c>
      <x:c r="G295" s="186" t="n">
        <x:v>14163</x:v>
      </x:c>
      <x:c r="H295" s="186" t="n">
        <x:v>44389</x:v>
      </x:c>
      <x:c r="I295" s="186" t="n">
        <x:f>G295-H295</x:f>
        <x:v>-30226</x:v>
      </x:c>
      <x:c r="J295" s="186" t="n">
        <x:v>52859</x:v>
      </x:c>
      <x:c r="K295" s="186" t="n">
        <x:v>35895</x:v>
      </x:c>
      <x:c r="L295" s="186" t="n">
        <x:f>J295-K295</x:f>
        <x:v>16964</x:v>
      </x:c>
      <x:c r="M295" s="186" t="n">
        <x:v>50611</x:v>
      </x:c>
      <x:c r="N295" s="186" t="n">
        <x:v>71636</x:v>
      </x:c>
      <x:c r="O295" s="186" t="n">
        <x:f>M295-N295</x:f>
        <x:v>-21025</x:v>
      </x:c>
      <x:c r="P295" s="186" t="n">
        <x:v>24405</x:v>
      </x:c>
      <x:c r="Q295" s="186" t="n">
        <x:v>8559</x:v>
      </x:c>
      <x:c r="R295" s="186" t="n">
        <x:f>P295-Q295</x:f>
        <x:v>15846</x:v>
      </x:c>
      <x:c r="S295" s="186" t="n">
        <x:v>32819</x:v>
      </x:c>
      <x:c r="T295" s="186" t="n">
        <x:v>14378</x:v>
      </x:c>
      <x:c r="U295" s="186" t="n">
        <x:f>S295-T295</x:f>
        <x:v>18441</x:v>
      </x:c>
      <x:c r="V295" s="196" t="n">
        <x:f>IFERROR(O295/F295,"")</x:f>
        <x:v>-0.10525867852172259</x:v>
      </x:c>
      <x:c r="W295" s="196" t="n">
        <x:f>IFERROR(I295/F295,"")</x:f>
        <x:v>-0.1513221791675428</x:v>
      </x:c>
    </x:row>
    <x:row r="296">
      <x:c r="A296" s="186" t="str">
        <x:v>Gold</x:v>
      </x:c>
      <x:c r="B296" s="187" t="n">
        <x:v>43403</x:v>
      </x:c>
      <x:c r="C296" s="187" t="n">
        <x:v>43406</x:v>
      </x:c>
      <x:c r="D296" s="186" t="str">
        <x:v>088691-GOLD</x:v>
      </x:c>
      <x:c r="E296" s="186" t="str">
        <x:v>GOLD - COMMODITY EXCHANGE INC.</x:v>
      </x:c>
      <x:c r="F296" s="186" t="n">
        <x:v>474941</x:v>
      </x:c>
      <x:c r="G296" s="186" t="n">
        <x:v>36057</x:v>
      </x:c>
      <x:c r="H296" s="186" t="n">
        <x:v>97111</x:v>
      </x:c>
      <x:c r="I296" s="186" t="n">
        <x:f>G296-H296</x:f>
        <x:v>-61054</x:v>
      </x:c>
      <x:c r="J296" s="186" t="n">
        <x:v>102321</x:v>
      </x:c>
      <x:c r="K296" s="186" t="n">
        <x:v>72472</x:v>
      </x:c>
      <x:c r="L296" s="186" t="n">
        <x:f>J296-K296</x:f>
        <x:v>29849</x:v>
      </x:c>
      <x:c r="M296" s="186" t="n">
        <x:v>80105</x:v>
      </x:c>
      <x:c r="N296" s="186" t="n">
        <x:v>135628</x:v>
      </x:c>
      <x:c r="O296" s="186" t="n">
        <x:f>M296-N296</x:f>
        <x:v>-55523</x:v>
      </x:c>
      <x:c r="P296" s="186" t="n">
        <x:v>88649</x:v>
      </x:c>
      <x:c r="Q296" s="186" t="n">
        <x:v>19932</x:v>
      </x:c>
      <x:c r="R296" s="186" t="n">
        <x:f>P296-Q296</x:f>
        <x:v>68717</x:v>
      </x:c>
      <x:c r="S296" s="186" t="n">
        <x:v>48870</x:v>
      </x:c>
      <x:c r="T296" s="186" t="n">
        <x:v>30859</x:v>
      </x:c>
      <x:c r="U296" s="186" t="n">
        <x:f>S296-T296</x:f>
        <x:v>18011</x:v>
      </x:c>
      <x:c r="V296" s="196" t="n">
        <x:f>IFERROR(O296/F296,"")</x:f>
        <x:v>-0.11690504715322535</x:v>
      </x:c>
      <x:c r="W296" s="196" t="n">
        <x:f>IFERROR(I296/F296,"")</x:f>
        <x:v>-0.12855070419273132</x:v>
      </x:c>
    </x:row>
    <x:row r="297">
      <x:c r="A297" s="186" t="str">
        <x:v>Silver</x:v>
      </x:c>
      <x:c r="B297" s="187" t="n">
        <x:v>43403</x:v>
      </x:c>
      <x:c r="C297" s="187" t="n">
        <x:v>43406</x:v>
      </x:c>
      <x:c r="D297" s="186" t="str">
        <x:v>084691-SILVER</x:v>
      </x:c>
      <x:c r="E297" s="186" t="str">
        <x:v>SILVER - COMMODITY EXCHANGE INC.</x:v>
      </x:c>
      <x:c r="F297" s="186" t="n">
        <x:v>208976</x:v>
      </x:c>
      <x:c r="G297" s="186" t="n">
        <x:v>16058</x:v>
      </x:c>
      <x:c r="H297" s="186" t="n">
        <x:v>45872</x:v>
      </x:c>
      <x:c r="I297" s="186" t="n">
        <x:f>G297-H297</x:f>
        <x:v>-29814</x:v>
      </x:c>
      <x:c r="J297" s="186" t="n">
        <x:v>53389</x:v>
      </x:c>
      <x:c r="K297" s="186" t="n">
        <x:v>33335</x:v>
      </x:c>
      <x:c r="L297" s="186" t="n">
        <x:f>J297-K297</x:f>
        <x:v>20054</x:v>
      </x:c>
      <x:c r="M297" s="186" t="n">
        <x:v>50387</x:v>
      </x:c>
      <x:c r="N297" s="186" t="n">
        <x:v>75563</x:v>
      </x:c>
      <x:c r="O297" s="186" t="n">
        <x:f>M297-N297</x:f>
        <x:v>-25176</x:v>
      </x:c>
      <x:c r="P297" s="186" t="n">
        <x:v>25666</x:v>
      </x:c>
      <x:c r="Q297" s="186" t="n">
        <x:v>8960</x:v>
      </x:c>
      <x:c r="R297" s="186" t="n">
        <x:f>P297-Q297</x:f>
        <x:v>16706</x:v>
      </x:c>
      <x:c r="S297" s="186" t="n">
        <x:v>33724</x:v>
      </x:c>
      <x:c r="T297" s="186" t="n">
        <x:v>15494</x:v>
      </x:c>
      <x:c r="U297" s="186" t="n">
        <x:f>S297-T297</x:f>
        <x:v>18230</x:v>
      </x:c>
      <x:c r="V297" s="196" t="n">
        <x:f>IFERROR(O297/F297,"")</x:f>
        <x:v>-0.12047316438251282</x:v>
      </x:c>
      <x:c r="W297" s="196" t="n">
        <x:f>IFERROR(I297/F297,"")</x:f>
        <x:v>-0.14266710052829032</x:v>
      </x:c>
    </x:row>
    <x:row r="298">
      <x:c r="A298" s="186" t="str">
        <x:v>Gold</x:v>
      </x:c>
      <x:c r="B298" s="187" t="n">
        <x:v>43410</x:v>
      </x:c>
      <x:c r="C298" s="187" t="n">
        <x:v>43413</x:v>
      </x:c>
      <x:c r="D298" s="186" t="str">
        <x:v>088691-GOLD</x:v>
      </x:c>
      <x:c r="E298" s="186" t="str">
        <x:v>GOLD - COMMODITY EXCHANGE INC.</x:v>
      </x:c>
      <x:c r="F298" s="186" t="n">
        <x:v>494911</x:v>
      </x:c>
      <x:c r="G298" s="186" t="n">
        <x:v>37023</x:v>
      </x:c>
      <x:c r="H298" s="186" t="n">
        <x:v>99334</x:v>
      </x:c>
      <x:c r="I298" s="186" t="n">
        <x:f>G298-H298</x:f>
        <x:v>-62311</x:v>
      </x:c>
      <x:c r="J298" s="186" t="n">
        <x:v>99126</x:v>
      </x:c>
      <x:c r="K298" s="186" t="n">
        <x:v>74951</x:v>
      </x:c>
      <x:c r="L298" s="186" t="n">
        <x:f>J298-K298</x:f>
        <x:v>24175</x:v>
      </x:c>
      <x:c r="M298" s="186" t="n">
        <x:v>82188</x:v>
      </x:c>
      <x:c r="N298" s="186" t="n">
        <x:v>129634</x:v>
      </x:c>
      <x:c r="O298" s="186" t="n">
        <x:f>M298-N298</x:f>
        <x:v>-47446</x:v>
      </x:c>
      <x:c r="P298" s="186" t="n">
        <x:v>86953</x:v>
      </x:c>
      <x:c r="Q298" s="186" t="n">
        <x:v>20481</x:v>
      </x:c>
      <x:c r="R298" s="186" t="n">
        <x:f>P298-Q298</x:f>
        <x:v>66472</x:v>
      </x:c>
      <x:c r="S298" s="186" t="n">
        <x:v>48615</x:v>
      </x:c>
      <x:c r="T298" s="186" t="n">
        <x:v>29505</x:v>
      </x:c>
      <x:c r="U298" s="186" t="n">
        <x:f>S298-T298</x:f>
        <x:v>19110</x:v>
      </x:c>
      <x:c r="V298" s="196" t="n">
        <x:f>IFERROR(O298/F298,"")</x:f>
        <x:v>-0.0958677418768223</x:v>
      </x:c>
      <x:c r="W298" s="196" t="n">
        <x:f>IFERROR(I298/F298,"")</x:f>
        <x:v>-0.12590344526591649</x:v>
      </x:c>
    </x:row>
    <x:row r="299">
      <x:c r="A299" s="186" t="str">
        <x:v>Silver</x:v>
      </x:c>
      <x:c r="B299" s="187" t="n">
        <x:v>43410</x:v>
      </x:c>
      <x:c r="C299" s="187" t="n">
        <x:v>43413</x:v>
      </x:c>
      <x:c r="D299" s="186" t="str">
        <x:v>084691-SILVER</x:v>
      </x:c>
      <x:c r="E299" s="186" t="str">
        <x:v>SILVER - COMMODITY EXCHANGE INC.</x:v>
      </x:c>
      <x:c r="F299" s="186" t="n">
        <x:v>213566</x:v>
      </x:c>
      <x:c r="G299" s="186" t="n">
        <x:v>16677</x:v>
      </x:c>
      <x:c r="H299" s="186" t="n">
        <x:v>49875</x:v>
      </x:c>
      <x:c r="I299" s="186" t="n">
        <x:f>G299-H299</x:f>
        <x:v>-33198</x:v>
      </x:c>
      <x:c r="J299" s="186" t="n">
        <x:v>47402</x:v>
      </x:c>
      <x:c r="K299" s="186" t="n">
        <x:v>33495</x:v>
      </x:c>
      <x:c r="L299" s="186" t="n">
        <x:f>J299-K299</x:f>
        <x:v>13907</x:v>
      </x:c>
      <x:c r="M299" s="186" t="n">
        <x:v>47496</x:v>
      </x:c>
      <x:c r="N299" s="186" t="n">
        <x:v>68344</x:v>
      </x:c>
      <x:c r="O299" s="186" t="n">
        <x:f>M299-N299</x:f>
        <x:v>-20848</x:v>
      </x:c>
      <x:c r="P299" s="186" t="n">
        <x:v>25621</x:v>
      </x:c>
      <x:c r="Q299" s="186" t="n">
        <x:v>7243</x:v>
      </x:c>
      <x:c r="R299" s="186" t="n">
        <x:f>P299-Q299</x:f>
        <x:v>18378</x:v>
      </x:c>
      <x:c r="S299" s="186" t="n">
        <x:v>34204</x:v>
      </x:c>
      <x:c r="T299" s="186" t="n">
        <x:v>12443</x:v>
      </x:c>
      <x:c r="U299" s="186" t="n">
        <x:f>S299-T299</x:f>
        <x:v>21761</x:v>
      </x:c>
      <x:c r="V299" s="196" t="n">
        <x:f>IFERROR(O299/F299,"")</x:f>
        <x:v>-0.09761853478549956</x:v>
      </x:c>
      <x:c r="W299" s="196" t="n">
        <x:f>IFERROR(I299/F299,"")</x:f>
        <x:v>-0.15544609160634185</x:v>
      </x:c>
    </x:row>
    <x:row r="300">
      <x:c r="A300" s="186" t="str">
        <x:v>Gold</x:v>
      </x:c>
      <x:c r="B300" s="187" t="n">
        <x:v>43417</x:v>
      </x:c>
      <x:c r="C300" s="187" t="n">
        <x:v>43420</x:v>
      </x:c>
      <x:c r="D300" s="186" t="str">
        <x:v>088691-GOLD</x:v>
      </x:c>
      <x:c r="E300" s="186" t="str">
        <x:v>GOLD - COMMODITY EXCHANGE INC.</x:v>
      </x:c>
      <x:c r="F300" s="186" t="n">
        <x:v>539520</x:v>
      </x:c>
      <x:c r="G300" s="186" t="n">
        <x:v>47551</x:v>
      </x:c>
      <x:c r="H300" s="186" t="n">
        <x:v>89514</x:v>
      </x:c>
      <x:c r="I300" s="186" t="n">
        <x:f>G300-H300</x:f>
        <x:v>-41963</x:v>
      </x:c>
      <x:c r="J300" s="186" t="n">
        <x:v>105368</x:v>
      </x:c>
      <x:c r="K300" s="186" t="n">
        <x:v>65228</x:v>
      </x:c>
      <x:c r="L300" s="186" t="n">
        <x:f>J300-K300</x:f>
        <x:v>40140</x:v>
      </x:c>
      <x:c r="M300" s="186" t="n">
        <x:v>79529</x:v>
      </x:c>
      <x:c r="N300" s="186" t="n">
        <x:v>158723</x:v>
      </x:c>
      <x:c r="O300" s="186" t="n">
        <x:f>M300-N300</x:f>
        <x:v>-79194</x:v>
      </x:c>
      <x:c r="P300" s="186" t="n">
        <x:v>88887</x:v>
      </x:c>
      <x:c r="Q300" s="186" t="n">
        <x:v>18940</x:v>
      </x:c>
      <x:c r="R300" s="186" t="n">
        <x:f>P300-Q300</x:f>
        <x:v>69947</x:v>
      </x:c>
      <x:c r="S300" s="186" t="n">
        <x:v>46932</x:v>
      </x:c>
      <x:c r="T300" s="186" t="n">
        <x:v>35862</x:v>
      </x:c>
      <x:c r="U300" s="186" t="n">
        <x:f>S300-T300</x:f>
        <x:v>11070</x:v>
      </x:c>
      <x:c r="V300" s="196" t="n">
        <x:f>IFERROR(O300/F300,"")</x:f>
        <x:v>-0.14678603202846974</x:v>
      </x:c>
      <x:c r="W300" s="196" t="n">
        <x:f>IFERROR(I300/F300,"")</x:f>
        <x:v>-0.0777783956109134</x:v>
      </x:c>
    </x:row>
    <x:row r="301">
      <x:c r="A301" s="186" t="str">
        <x:v>Silver</x:v>
      </x:c>
      <x:c r="B301" s="187" t="n">
        <x:v>43417</x:v>
      </x:c>
      <x:c r="C301" s="187" t="n">
        <x:v>43420</x:v>
      </x:c>
      <x:c r="D301" s="186" t="str">
        <x:v>084691-SILVER</x:v>
      </x:c>
      <x:c r="E301" s="186" t="str">
        <x:v>SILVER - COMMODITY EXCHANGE INC.</x:v>
      </x:c>
      <x:c r="F301" s="186" t="n">
        <x:v>224346</x:v>
      </x:c>
      <x:c r="G301" s="186" t="n">
        <x:v>17388</x:v>
      </x:c>
      <x:c r="H301" s="186" t="n">
        <x:v>39560</x:v>
      </x:c>
      <x:c r="I301" s="186" t="n">
        <x:f>G301-H301</x:f>
        <x:v>-22172</x:v>
      </x:c>
      <x:c r="J301" s="186" t="n">
        <x:v>45039</x:v>
      </x:c>
      <x:c r="K301" s="186" t="n">
        <x:v>27814</x:v>
      </x:c>
      <x:c r="L301" s="186" t="n">
        <x:f>J301-K301</x:f>
        <x:v>17225</x:v>
      </x:c>
      <x:c r="M301" s="186" t="n">
        <x:v>43546</x:v>
      </x:c>
      <x:c r="N301" s="186" t="n">
        <x:v>84379</x:v>
      </x:c>
      <x:c r="O301" s="186" t="n">
        <x:f>M301-N301</x:f>
        <x:v>-40833</x:v>
      </x:c>
      <x:c r="P301" s="186" t="n">
        <x:v>31072</x:v>
      </x:c>
      <x:c r="Q301" s="186" t="n">
        <x:v>7384</x:v>
      </x:c>
      <x:c r="R301" s="186" t="n">
        <x:f>P301-Q301</x:f>
        <x:v>23688</x:v>
      </x:c>
      <x:c r="S301" s="186" t="n">
        <x:v>36705</x:v>
      </x:c>
      <x:c r="T301" s="186" t="n">
        <x:v>14613</x:v>
      </x:c>
      <x:c r="U301" s="186" t="n">
        <x:f>S301-T301</x:f>
        <x:v>22092</x:v>
      </x:c>
      <x:c r="V301" s="196" t="n">
        <x:f>IFERROR(O301/F301,"")</x:f>
        <x:v>-0.18200903960846193</x:v>
      </x:c>
      <x:c r="W301" s="196" t="n">
        <x:f>IFERROR(I301/F301,"")</x:f>
        <x:v>-0.09882948659659632</x:v>
      </x:c>
    </x:row>
    <x:row r="302">
      <x:c r="A302" s="186" t="str">
        <x:v>Gold</x:v>
      </x:c>
      <x:c r="B302" s="187" t="n">
        <x:v>43424</x:v>
      </x:c>
      <x:c r="C302" s="187" t="n">
        <x:v>43427</x:v>
      </x:c>
      <x:c r="D302" s="186" t="str">
        <x:v>088691-GOLD</x:v>
      </x:c>
      <x:c r="E302" s="186" t="str">
        <x:v>GOLD - COMMODITY EXCHANGE INC.</x:v>
      </x:c>
      <x:c r="F302" s="186" t="n">
        <x:v>525940</x:v>
      </x:c>
      <x:c r="G302" s="186" t="n">
        <x:v>47454</x:v>
      </x:c>
      <x:c r="H302" s="186" t="n">
        <x:v>93564</x:v>
      </x:c>
      <x:c r="I302" s="186" t="n">
        <x:f>G302-H302</x:f>
        <x:v>-46110</x:v>
      </x:c>
      <x:c r="J302" s="186" t="n">
        <x:v>101125</x:v>
      </x:c>
      <x:c r="K302" s="186" t="n">
        <x:v>78155</x:v>
      </x:c>
      <x:c r="L302" s="186" t="n">
        <x:f>J302-K302</x:f>
        <x:v>22970</x:v>
      </x:c>
      <x:c r="M302" s="186" t="n">
        <x:v>84356</x:v>
      </x:c>
      <x:c r="N302" s="186" t="n">
        <x:v>136207</x:v>
      </x:c>
      <x:c r="O302" s="186" t="n">
        <x:f>M302-N302</x:f>
        <x:v>-51851</x:v>
      </x:c>
      <x:c r="P302" s="186" t="n">
        <x:v>81150</x:v>
      </x:c>
      <x:c r="Q302" s="186" t="n">
        <x:v>20403</x:v>
      </x:c>
      <x:c r="R302" s="186" t="n">
        <x:f>P302-Q302</x:f>
        <x:v>60747</x:v>
      </x:c>
      <x:c r="S302" s="186" t="n">
        <x:v>43791</x:v>
      </x:c>
      <x:c r="T302" s="186" t="n">
        <x:v>29547</x:v>
      </x:c>
      <x:c r="U302" s="186" t="n">
        <x:f>S302-T302</x:f>
        <x:v>14244</x:v>
      </x:c>
      <x:c r="V302" s="196" t="n">
        <x:f>IFERROR(O302/F302,"")</x:f>
        <x:v>-0.09858729132600677</x:v>
      </x:c>
      <x:c r="W302" s="196" t="n">
        <x:f>IFERROR(I302/F302,"")</x:f>
        <x:v>-0.08767159752062972</x:v>
      </x:c>
    </x:row>
    <x:row r="303">
      <x:c r="A303" s="186" t="str">
        <x:v>Silver</x:v>
      </x:c>
      <x:c r="B303" s="187" t="n">
        <x:v>43424</x:v>
      </x:c>
      <x:c r="C303" s="187" t="n">
        <x:v>43427</x:v>
      </x:c>
      <x:c r="D303" s="186" t="str">
        <x:v>084691-SILVER</x:v>
      </x:c>
      <x:c r="E303" s="186" t="str">
        <x:v>SILVER - COMMODITY EXCHANGE INC.</x:v>
      </x:c>
      <x:c r="F303" s="186" t="n">
        <x:v>223049</x:v>
      </x:c>
      <x:c r="G303" s="186" t="n">
        <x:v>16405</x:v>
      </x:c>
      <x:c r="H303" s="186" t="n">
        <x:v>34343</x:v>
      </x:c>
      <x:c r="I303" s="186" t="n">
        <x:f>G303-H303</x:f>
        <x:v>-17938</x:v>
      </x:c>
      <x:c r="J303" s="186" t="n">
        <x:v>44773</x:v>
      </x:c>
      <x:c r="K303" s="186" t="n">
        <x:v>33729</x:v>
      </x:c>
      <x:c r="L303" s="186" t="n">
        <x:f>J303-K303</x:f>
        <x:v>11044</x:v>
      </x:c>
      <x:c r="M303" s="186" t="n">
        <x:v>42665</x:v>
      </x:c>
      <x:c r="N303" s="186" t="n">
        <x:v>75379</x:v>
      </x:c>
      <x:c r="O303" s="186" t="n">
        <x:f>M303-N303</x:f>
        <x:v>-32714</x:v>
      </x:c>
      <x:c r="P303" s="186" t="n">
        <x:v>28981</x:v>
      </x:c>
      <x:c r="Q303" s="186" t="n">
        <x:v>6995</x:v>
      </x:c>
      <x:c r="R303" s="186" t="n">
        <x:f>P303-Q303</x:f>
        <x:v>21986</x:v>
      </x:c>
      <x:c r="S303" s="186" t="n">
        <x:v>32188</x:v>
      </x:c>
      <x:c r="T303" s="186" t="n">
        <x:v>14566</x:v>
      </x:c>
      <x:c r="U303" s="186" t="n">
        <x:f>S303-T303</x:f>
        <x:v>17622</x:v>
      </x:c>
      <x:c r="V303" s="196" t="n">
        <x:f>IFERROR(O303/F303,"")</x:f>
        <x:v>-0.1466673242202386</x:v>
      </x:c>
      <x:c r="W303" s="196" t="n">
        <x:f>IFERROR(I303/F303,"")</x:f>
        <x:v>-0.08042179072759797</x:v>
      </x:c>
    </x:row>
    <x:row r="304">
      <x:c r="A304" s="186" t="str">
        <x:v>Gold</x:v>
      </x:c>
      <x:c r="B304" s="187" t="n">
        <x:v>43431</x:v>
      </x:c>
      <x:c r="C304" s="187" t="n">
        <x:v>43434</x:v>
      </x:c>
      <x:c r="D304" s="186" t="str">
        <x:v>088691-GOLD</x:v>
      </x:c>
      <x:c r="E304" s="186" t="str">
        <x:v>GOLD - COMMODITY EXCHANGE INC.</x:v>
      </x:c>
      <x:c r="F304" s="186" t="n">
        <x:v>442801</x:v>
      </x:c>
      <x:c r="G304" s="186" t="n">
        <x:v>35196</x:v>
      </x:c>
      <x:c r="H304" s="186" t="n">
        <x:v>76210</x:v>
      </x:c>
      <x:c r="I304" s="186" t="n">
        <x:f>G304-H304</x:f>
        <x:v>-41014</x:v>
      </x:c>
      <x:c r="J304" s="186" t="n">
        <x:v>101201</x:v>
      </x:c>
      <x:c r="K304" s="186" t="n">
        <x:v>76287</x:v>
      </x:c>
      <x:c r="L304" s="186" t="n">
        <x:f>J304-K304</x:f>
        <x:v>24914</x:v>
      </x:c>
      <x:c r="M304" s="186" t="n">
        <x:v>79992</x:v>
      </x:c>
      <x:c r="N304" s="186" t="n">
        <x:v>138382</x:v>
      </x:c>
      <x:c r="O304" s="186" t="n">
        <x:f>M304-N304</x:f>
        <x:v>-58390</x:v>
      </x:c>
      <x:c r="P304" s="186" t="n">
        <x:v>76787</x:v>
      </x:c>
      <x:c r="Q304" s="186" t="n">
        <x:v>16526</x:v>
      </x:c>
      <x:c r="R304" s="186" t="n">
        <x:f>P304-Q304</x:f>
        <x:v>60261</x:v>
      </x:c>
      <x:c r="S304" s="186" t="n">
        <x:v>48120</x:v>
      </x:c>
      <x:c r="T304" s="186" t="n">
        <x:v>33891</x:v>
      </x:c>
      <x:c r="U304" s="186" t="n">
        <x:f>S304-T304</x:f>
        <x:v>14229</x:v>
      </x:c>
      <x:c r="V304" s="196" t="n">
        <x:f>IFERROR(O304/F304,"")</x:f>
        <x:v>-0.13186510418901493</x:v>
      </x:c>
      <x:c r="W304" s="196" t="n">
        <x:f>IFERROR(I304/F304,"")</x:f>
        <x:v>-0.09262400039746975</x:v>
      </x:c>
    </x:row>
    <x:row r="305">
      <x:c r="A305" s="186" t="str">
        <x:v>Silver</x:v>
      </x:c>
      <x:c r="B305" s="187" t="n">
        <x:v>43431</x:v>
      </x:c>
      <x:c r="C305" s="187" t="n">
        <x:v>43434</x:v>
      </x:c>
      <x:c r="D305" s="186" t="str">
        <x:v>084691-SILVER</x:v>
      </x:c>
      <x:c r="E305" s="186" t="str">
        <x:v>SILVER - COMMODITY EXCHANGE INC.</x:v>
      </x:c>
      <x:c r="F305" s="186" t="n">
        <x:v>199783</x:v>
      </x:c>
      <x:c r="G305" s="186" t="n">
        <x:v>14614</x:v>
      </x:c>
      <x:c r="H305" s="186" t="n">
        <x:v>35902</x:v>
      </x:c>
      <x:c r="I305" s="186" t="n">
        <x:f>G305-H305</x:f>
        <x:v>-21288</x:v>
      </x:c>
      <x:c r="J305" s="186" t="n">
        <x:v>46406</x:v>
      </x:c>
      <x:c r="K305" s="186" t="n">
        <x:v>33959</x:v>
      </x:c>
      <x:c r="L305" s="186" t="n">
        <x:f>J305-K305</x:f>
        <x:v>12447</x:v>
      </x:c>
      <x:c r="M305" s="186" t="n">
        <x:v>40021</x:v>
      </x:c>
      <x:c r="N305" s="186" t="n">
        <x:v>71659</x:v>
      </x:c>
      <x:c r="O305" s="186" t="n">
        <x:f>M305-N305</x:f>
        <x:v>-31638</x:v>
      </x:c>
      <x:c r="P305" s="186" t="n">
        <x:v>27792</x:v>
      </x:c>
      <x:c r="Q305" s="186" t="n">
        <x:v>7120</x:v>
      </x:c>
      <x:c r="R305" s="186" t="n">
        <x:f>P305-Q305</x:f>
        <x:v>20672</x:v>
      </x:c>
      <x:c r="S305" s="186" t="n">
        <x:v>33887</x:v>
      </x:c>
      <x:c r="T305" s="186" t="n">
        <x:v>14080</x:v>
      </x:c>
      <x:c r="U305" s="186" t="n">
        <x:f>S305-T305</x:f>
        <x:v>19807</x:v>
      </x:c>
      <x:c r="V305" s="196" t="n">
        <x:f>IFERROR(O305/F305,"")</x:f>
        <x:v>-0.1583618225774966</x:v>
      </x:c>
      <x:c r="W305" s="196" t="n">
        <x:f>IFERROR(I305/F305,"")</x:f>
        <x:v>-0.10655561283993133</x:v>
      </x:c>
    </x:row>
    <x:row r="306">
      <x:c r="A306" s="186" t="str">
        <x:v>Gold</x:v>
      </x:c>
      <x:c r="B306" s="187" t="n">
        <x:v>43438</x:v>
      </x:c>
      <x:c r="C306" s="187" t="n">
        <x:v>43441</x:v>
      </x:c>
      <x:c r="D306" s="186" t="str">
        <x:v>088691-GOLD</x:v>
      </x:c>
      <x:c r="E306" s="186" t="str">
        <x:v>GOLD - COMMODITY EXCHANGE INC.</x:v>
      </x:c>
      <x:c r="F306" s="186" t="n">
        <x:v>399919</x:v>
      </x:c>
      <x:c r="G306" s="186" t="n">
        <x:v>19212</x:v>
      </x:c>
      <x:c r="H306" s="186" t="n">
        <x:v>74759</x:v>
      </x:c>
      <x:c r="I306" s="186" t="n">
        <x:f>G306-H306</x:f>
        <x:v>-55547</x:v>
      </x:c>
      <x:c r="J306" s="186" t="n">
        <x:v>92265</x:v>
      </x:c>
      <x:c r="K306" s="186" t="n">
        <x:v>94967</x:v>
      </x:c>
      <x:c r="L306" s="186" t="n">
        <x:f>J306-K306</x:f>
        <x:v>-2702</x:v>
      </x:c>
      <x:c r="M306" s="186" t="n">
        <x:v>99414</x:v>
      </x:c>
      <x:c r="N306" s="186" t="n">
        <x:v>109201</x:v>
      </x:c>
      <x:c r="O306" s="186" t="n">
        <x:f>M306-N306</x:f>
        <x:v>-9787</x:v>
      </x:c>
      <x:c r="P306" s="186" t="n">
        <x:v>73605</x:v>
      </x:c>
      <x:c r="Q306" s="186" t="n">
        <x:v>14817</x:v>
      </x:c>
      <x:c r="R306" s="186" t="n">
        <x:f>P306-Q306</x:f>
        <x:v>58788</x:v>
      </x:c>
      <x:c r="S306" s="186" t="n">
        <x:v>39504</x:v>
      </x:c>
      <x:c r="T306" s="186" t="n">
        <x:v>30256</x:v>
      </x:c>
      <x:c r="U306" s="186" t="n">
        <x:f>S306-T306</x:f>
        <x:v>9248</x:v>
      </x:c>
      <x:c r="V306" s="196" t="n">
        <x:f>IFERROR(O306/F306,"")</x:f>
        <x:v>-0.024472455672273637</x:v>
      </x:c>
      <x:c r="W306" s="196" t="n">
        <x:f>IFERROR(I306/F306,"")</x:f>
        <x:v>-0.13889562636433878</x:v>
      </x:c>
    </x:row>
    <x:row r="307">
      <x:c r="A307" s="186" t="str">
        <x:v>Silver</x:v>
      </x:c>
      <x:c r="B307" s="187" t="n">
        <x:v>43438</x:v>
      </x:c>
      <x:c r="C307" s="187" t="n">
        <x:v>43441</x:v>
      </x:c>
      <x:c r="D307" s="186" t="str">
        <x:v>084691-SILVER</x:v>
      </x:c>
      <x:c r="E307" s="186" t="str">
        <x:v>SILVER - COMMODITY EXCHANGE INC.</x:v>
      </x:c>
      <x:c r="F307" s="186" t="n">
        <x:v>179909</x:v>
      </x:c>
      <x:c r="G307" s="186" t="n">
        <x:v>12863</x:v>
      </x:c>
      <x:c r="H307" s="186" t="n">
        <x:v>36559</x:v>
      </x:c>
      <x:c r="I307" s="186" t="n">
        <x:f>G307-H307</x:f>
        <x:v>-23696</x:v>
      </x:c>
      <x:c r="J307" s="186" t="n">
        <x:v>45814</x:v>
      </x:c>
      <x:c r="K307" s="186" t="n">
        <x:v>37536</x:v>
      </x:c>
      <x:c r="L307" s="186" t="n">
        <x:f>J307-K307</x:f>
        <x:v>8278</x:v>
      </x:c>
      <x:c r="M307" s="186" t="n">
        <x:v>41303</x:v>
      </x:c>
      <x:c r="N307" s="186" t="n">
        <x:v>63580</x:v>
      </x:c>
      <x:c r="O307" s="186" t="n">
        <x:f>M307-N307</x:f>
        <x:v>-22277</x:v>
      </x:c>
      <x:c r="P307" s="186" t="n">
        <x:v>28011</x:v>
      </x:c>
      <x:c r="Q307" s="186" t="n">
        <x:v>6369</x:v>
      </x:c>
      <x:c r="R307" s="186" t="n">
        <x:f>P307-Q307</x:f>
        <x:v>21642</x:v>
      </x:c>
      <x:c r="S307" s="186" t="n">
        <x:v>28456</x:v>
      </x:c>
      <x:c r="T307" s="186" t="n">
        <x:v>12403</x:v>
      </x:c>
      <x:c r="U307" s="186" t="n">
        <x:f>S307-T307</x:f>
        <x:v>16053</x:v>
      </x:c>
      <x:c r="V307" s="196" t="n">
        <x:f>IFERROR(O307/F307,"")</x:f>
        <x:v>-0.12382371087605401</x:v>
      </x:c>
      <x:c r="W307" s="196" t="n">
        <x:f>IFERROR(I307/F307,"")</x:f>
        <x:v>-0.13171103168824239</x:v>
      </x:c>
    </x:row>
    <x:row r="308">
      <x:c r="A308" s="186" t="str">
        <x:v>Gold</x:v>
      </x:c>
      <x:c r="B308" s="187" t="n">
        <x:v>43445</x:v>
      </x:c>
      <x:c r="C308" s="187" t="n">
        <x:v>43448</x:v>
      </x:c>
      <x:c r="D308" s="186" t="str">
        <x:v>088691-GOLD</x:v>
      </x:c>
      <x:c r="E308" s="186" t="str">
        <x:v>GOLD - COMMODITY EXCHANGE INC.</x:v>
      </x:c>
      <x:c r="F308" s="186" t="n">
        <x:v>402250</x:v>
      </x:c>
      <x:c r="G308" s="186" t="n">
        <x:v>18936</x:v>
      </x:c>
      <x:c r="H308" s="186" t="n">
        <x:v>83116</x:v>
      </x:c>
      <x:c r="I308" s="186" t="n">
        <x:f>G308-H308</x:f>
        <x:v>-64180</x:v>
      </x:c>
      <x:c r="J308" s="186" t="n">
        <x:v>95532</x:v>
      </x:c>
      <x:c r="K308" s="186" t="n">
        <x:v>108720</x:v>
      </x:c>
      <x:c r="L308" s="186" t="n">
        <x:f>J308-K308</x:f>
        <x:v>-13188</x:v>
      </x:c>
      <x:c r="M308" s="186" t="n">
        <x:v>89942</x:v>
      </x:c>
      <x:c r="N308" s="186" t="n">
        <x:v>90008</x:v>
      </x:c>
      <x:c r="O308" s="186" t="n">
        <x:f>M308-N308</x:f>
        <x:v>-66</x:v>
      </x:c>
      <x:c r="P308" s="186" t="n">
        <x:v>79658</x:v>
      </x:c>
      <x:c r="Q308" s="186" t="n">
        <x:v>19093</x:v>
      </x:c>
      <x:c r="R308" s="186" t="n">
        <x:f>P308-Q308</x:f>
        <x:v>60565</x:v>
      </x:c>
      <x:c r="S308" s="186" t="n">
        <x:v>45264</x:v>
      </x:c>
      <x:c r="T308" s="186" t="n">
        <x:v>28395</x:v>
      </x:c>
      <x:c r="U308" s="186" t="n">
        <x:f>S308-T308</x:f>
        <x:v>16869</x:v>
      </x:c>
      <x:c r="V308" s="196" t="n">
        <x:f>IFERROR(O308/F308,"")</x:f>
        <x:v>-0.00016407706650093225</x:v>
      </x:c>
      <x:c r="W308" s="196" t="n">
        <x:f>IFERROR(I308/F308,"")</x:f>
        <x:v>-0.1595525170913611</x:v>
      </x:c>
    </x:row>
    <x:row r="309">
      <x:c r="A309" s="186" t="str">
        <x:v>Silver</x:v>
      </x:c>
      <x:c r="B309" s="187" t="n">
        <x:v>43445</x:v>
      </x:c>
      <x:c r="C309" s="187" t="n">
        <x:v>43448</x:v>
      </x:c>
      <x:c r="D309" s="186" t="str">
        <x:v>084691-SILVER</x:v>
      </x:c>
      <x:c r="E309" s="186" t="str">
        <x:v>SILVER - COMMODITY EXCHANGE INC.</x:v>
      </x:c>
      <x:c r="F309" s="186" t="n">
        <x:v>174071</x:v>
      </x:c>
      <x:c r="G309" s="186" t="n">
        <x:v>12649</x:v>
      </x:c>
      <x:c r="H309" s="186" t="n">
        <x:v>40653</x:v>
      </x:c>
      <x:c r="I309" s="186" t="n">
        <x:f>G309-H309</x:f>
        <x:v>-28004</x:v>
      </x:c>
      <x:c r="J309" s="186" t="n">
        <x:v>44473</x:v>
      </x:c>
      <x:c r="K309" s="186" t="n">
        <x:v>44348</x:v>
      </x:c>
      <x:c r="L309" s="186" t="n">
        <x:f>J309-K309</x:f>
        <x:v>125</x:v>
      </x:c>
      <x:c r="M309" s="186" t="n">
        <x:v>44644</x:v>
      </x:c>
      <x:c r="N309" s="186" t="n">
        <x:v>53798</x:v>
      </x:c>
      <x:c r="O309" s="186" t="n">
        <x:f>M309-N309</x:f>
        <x:v>-9154</x:v>
      </x:c>
      <x:c r="P309" s="186" t="n">
        <x:v>26492</x:v>
      </x:c>
      <x:c r="Q309" s="186" t="n">
        <x:v>6082</x:v>
      </x:c>
      <x:c r="R309" s="186" t="n">
        <x:f>P309-Q309</x:f>
        <x:v>20410</x:v>
      </x:c>
      <x:c r="S309" s="186" t="n">
        <x:v>28532</x:v>
      </x:c>
      <x:c r="T309" s="186" t="n">
        <x:v>11909</x:v>
      </x:c>
      <x:c r="U309" s="186" t="n">
        <x:f>S309-T309</x:f>
        <x:v>16623</x:v>
      </x:c>
      <x:c r="V309" s="196" t="n">
        <x:f>IFERROR(O309/F309,"")</x:f>
        <x:v>-0.052587737187699275</x:v>
      </x:c>
      <x:c r="W309" s="196" t="n">
        <x:f>IFERROR(I309/F309,"")</x:f>
        <x:v>-0.1608768835704971</x:v>
      </x:c>
    </x:row>
    <x:row r="310">
      <x:c r="A310" s="186" t="str">
        <x:v>Gold</x:v>
      </x:c>
      <x:c r="B310" s="187" t="n">
        <x:v>43452</x:v>
      </x:c>
      <x:c r="C310" s="187" t="n">
        <x:v>43455</x:v>
      </x:c>
      <x:c r="D310" s="186" t="str">
        <x:v>088691-GOLD</x:v>
      </x:c>
      <x:c r="E310" s="186" t="str">
        <x:v>GOLD - COMMODITY EXCHANGE INC.</x:v>
      </x:c>
      <x:c r="F310" s="186" t="n">
        <x:v>412485</x:v>
      </x:c>
      <x:c r="G310" s="186" t="n">
        <x:v>18531</x:v>
      </x:c>
      <x:c r="H310" s="186" t="n">
        <x:v>78969</x:v>
      </x:c>
      <x:c r="I310" s="186" t="n">
        <x:f>G310-H310</x:f>
        <x:v>-60438</x:v>
      </x:c>
      <x:c r="J310" s="186" t="n">
        <x:v>93951</x:v>
      </x:c>
      <x:c r="K310" s="186" t="n">
        <x:v>126188</x:v>
      </x:c>
      <x:c r="L310" s="186" t="n">
        <x:f>J310-K310</x:f>
        <x:v>-32237</x:v>
      </x:c>
      <x:c r="M310" s="186" t="n">
        <x:v>100828</x:v>
      </x:c>
      <x:c r="N310" s="186" t="n">
        <x:v>89630</x:v>
      </x:c>
      <x:c r="O310" s="186" t="n">
        <x:f>M310-N310</x:f>
        <x:v>11198</x:v>
      </x:c>
      <x:c r="P310" s="186" t="n">
        <x:v>81340</x:v>
      </x:c>
      <x:c r="Q310" s="186" t="n">
        <x:v>16578</x:v>
      </x:c>
      <x:c r="R310" s="186" t="n">
        <x:f>P310-Q310</x:f>
        <x:v>64762</x:v>
      </x:c>
      <x:c r="S310" s="186" t="n">
        <x:v>44758</x:v>
      </x:c>
      <x:c r="T310" s="186" t="n">
        <x:v>28043</x:v>
      </x:c>
      <x:c r="U310" s="186" t="n">
        <x:f>S310-T310</x:f>
        <x:v>16715</x:v>
      </x:c>
      <x:c r="V310" s="196" t="n">
        <x:f>IFERROR(O310/F310,"")</x:f>
        <x:v>0.027147653854079544</x:v>
      </x:c>
      <x:c r="W310" s="196" t="n">
        <x:f>IFERROR(I310/F310,"")</x:f>
        <x:v>-0.14652169169787993</x:v>
      </x:c>
    </x:row>
    <x:row r="311">
      <x:c r="A311" s="186" t="str">
        <x:v>Silver</x:v>
      </x:c>
      <x:c r="B311" s="187" t="n">
        <x:v>43452</x:v>
      </x:c>
      <x:c r="C311" s="187" t="n">
        <x:v>43455</x:v>
      </x:c>
      <x:c r="D311" s="186" t="str">
        <x:v>084691-SILVER</x:v>
      </x:c>
      <x:c r="E311" s="186" t="str">
        <x:v>SILVER - COMMODITY EXCHANGE INC.</x:v>
      </x:c>
      <x:c r="F311" s="186" t="n">
        <x:v>172860</x:v>
      </x:c>
      <x:c r="G311" s="186" t="n">
        <x:v>11690</x:v>
      </x:c>
      <x:c r="H311" s="186" t="n">
        <x:v>42135</x:v>
      </x:c>
      <x:c r="I311" s="186" t="n">
        <x:f>G311-H311</x:f>
        <x:v>-30445</x:v>
      </x:c>
      <x:c r="J311" s="186" t="n">
        <x:v>43186</x:v>
      </x:c>
      <x:c r="K311" s="186" t="n">
        <x:v>48217</x:v>
      </x:c>
      <x:c r="L311" s="186" t="n">
        <x:f>J311-K311</x:f>
        <x:v>-5031</x:v>
      </x:c>
      <x:c r="M311" s="186" t="n">
        <x:v>48462</x:v>
      </x:c>
      <x:c r="N311" s="186" t="n">
        <x:v>46673</x:v>
      </x:c>
      <x:c r="O311" s="186" t="n">
        <x:f>M311-N311</x:f>
        <x:v>1789</x:v>
      </x:c>
      <x:c r="P311" s="186" t="n">
        <x:v>25561</x:v>
      </x:c>
      <x:c r="Q311" s="186" t="n">
        <x:v>7519</x:v>
      </x:c>
      <x:c r="R311" s="186" t="n">
        <x:f>P311-Q311</x:f>
        <x:v>18042</x:v>
      </x:c>
      <x:c r="S311" s="186" t="n">
        <x:v>27860</x:v>
      </x:c>
      <x:c r="T311" s="186" t="n">
        <x:v>12215</x:v>
      </x:c>
      <x:c r="U311" s="186" t="n">
        <x:f>S311-T311</x:f>
        <x:v>15645</x:v>
      </x:c>
      <x:c r="V311" s="196" t="n">
        <x:f>IFERROR(O311/F311,"")</x:f>
        <x:v>0.010349415712136989</x:v>
      </x:c>
      <x:c r="W311" s="196" t="n">
        <x:f>IFERROR(I311/F311,"")</x:f>
        <x:v>-0.17612518801342125</x:v>
      </x:c>
    </x:row>
    <x:row r="312">
      <x:c r="A312" s="186" t="str">
        <x:v>Gold</x:v>
      </x:c>
      <x:c r="B312" s="187" t="n">
        <x:v>43458</x:v>
      </x:c>
      <x:c r="C312" s="187" t="n">
        <x:v>43461</x:v>
      </x:c>
      <x:c r="D312" s="186" t="str">
        <x:v>088691-GOLD</x:v>
      </x:c>
      <x:c r="E312" s="186" t="str">
        <x:v>GOLD - COMMODITY EXCHANGE INC.</x:v>
      </x:c>
      <x:c r="F312" s="186" t="n">
        <x:v>442727</x:v>
      </x:c>
      <x:c r="G312" s="186" t="n">
        <x:v>20170</x:v>
      </x:c>
      <x:c r="H312" s="186" t="n">
        <x:v>86065</x:v>
      </x:c>
      <x:c r="I312" s="186" t="n">
        <x:f>G312-H312</x:f>
        <x:v>-65895</x:v>
      </x:c>
      <x:c r="J312" s="186" t="n">
        <x:v>90994</x:v>
      </x:c>
      <x:c r="K312" s="186" t="n">
        <x:v>153318</x:v>
      </x:c>
      <x:c r="L312" s="186" t="n">
        <x:f>J312-K312</x:f>
        <x:v>-62324</x:v>
      </x:c>
      <x:c r="M312" s="186" t="n">
        <x:v>119146</x:v>
      </x:c>
      <x:c r="N312" s="186" t="n">
        <x:v>77178</x:v>
      </x:c>
      <x:c r="O312" s="186" t="n">
        <x:f>M312-N312</x:f>
        <x:v>41968</x:v>
      </x:c>
      <x:c r="P312" s="186" t="n">
        <x:v>89476</x:v>
      </x:c>
      <x:c r="Q312" s="186" t="n">
        <x:v>20459</x:v>
      </x:c>
      <x:c r="R312" s="186" t="n">
        <x:f>P312-Q312</x:f>
        <x:v>69017</x:v>
      </x:c>
      <x:c r="S312" s="186" t="n">
        <x:v>43866</x:v>
      </x:c>
      <x:c r="T312" s="186" t="n">
        <x:v>26632</x:v>
      </x:c>
      <x:c r="U312" s="186" t="n">
        <x:f>S312-T312</x:f>
        <x:v>17234</x:v>
      </x:c>
      <x:c r="V312" s="196" t="n">
        <x:f>IFERROR(O312/F312,"")</x:f>
        <x:v>0.09479430890819851</x:v>
      </x:c>
      <x:c r="W312" s="196" t="n">
        <x:f>IFERROR(I312/F312,"")</x:f>
        <x:v>-0.14883890072211545</x:v>
      </x:c>
    </x:row>
    <x:row r="313">
      <x:c r="A313" s="186" t="str">
        <x:v>Silver</x:v>
      </x:c>
      <x:c r="B313" s="187" t="n">
        <x:v>43458</x:v>
      </x:c>
      <x:c r="C313" s="187" t="n">
        <x:v>43461</x:v>
      </x:c>
      <x:c r="D313" s="186" t="str">
        <x:v>084691-SILVER</x:v>
      </x:c>
      <x:c r="E313" s="186" t="str">
        <x:v>SILVER - COMMODITY EXCHANGE INC.</x:v>
      </x:c>
      <x:c r="F313" s="186" t="n">
        <x:v>173685</x:v>
      </x:c>
      <x:c r="G313" s="186" t="n">
        <x:v>11560</x:v>
      </x:c>
      <x:c r="H313" s="186" t="n">
        <x:v>42816</x:v>
      </x:c>
      <x:c r="I313" s="186" t="n">
        <x:f>G313-H313</x:f>
        <x:v>-31256</x:v>
      </x:c>
      <x:c r="J313" s="186" t="n">
        <x:v>42150</x:v>
      </x:c>
      <x:c r="K313" s="186" t="n">
        <x:v>50763</x:v>
      </x:c>
      <x:c r="L313" s="186" t="n">
        <x:f>J313-K313</x:f>
        <x:v>-8613</x:v>
      </x:c>
      <x:c r="M313" s="186" t="n">
        <x:v>53373</x:v>
      </x:c>
      <x:c r="N313" s="186" t="n">
        <x:v>44561</x:v>
      </x:c>
      <x:c r="O313" s="186" t="n">
        <x:f>M313-N313</x:f>
        <x:v>8812</x:v>
      </x:c>
      <x:c r="P313" s="186" t="n">
        <x:v>23941</x:v>
      </x:c>
      <x:c r="Q313" s="186" t="n">
        <x:v>7203</x:v>
      </x:c>
      <x:c r="R313" s="186" t="n">
        <x:f>P313-Q313</x:f>
        <x:v>16738</x:v>
      </x:c>
      <x:c r="S313" s="186" t="n">
        <x:v>26792</x:v>
      </x:c>
      <x:c r="T313" s="186" t="n">
        <x:v>12473</x:v>
      </x:c>
      <x:c r="U313" s="186" t="n">
        <x:f>S313-T313</x:f>
        <x:v>14319</x:v>
      </x:c>
      <x:c r="V313" s="196" t="n">
        <x:f>IFERROR(O313/F313,"")</x:f>
        <x:v>0.05073552695972594</x:v>
      </x:c>
      <x:c r="W313" s="196" t="n">
        <x:f>IFERROR(I313/F313,"")</x:f>
        <x:v>-0.17995796988801566</x:v>
      </x:c>
    </x:row>
    <x:row r="314">
      <x:c r="A314" s="186" t="str">
        <x:v>Gold</x:v>
      </x:c>
      <x:c r="B314" s="187" t="n">
        <x:v>43465</x:v>
      </x:c>
      <x:c r="C314" s="187" t="n">
        <x:v>43468</x:v>
      </x:c>
      <x:c r="D314" s="186" t="str">
        <x:v>088691-GOLD</x:v>
      </x:c>
      <x:c r="E314" s="186" t="str">
        <x:v>GOLD - COMMODITY EXCHANGE INC.</x:v>
      </x:c>
      <x:c r="F314" s="186" t="n">
        <x:v>451360</x:v>
      </x:c>
      <x:c r="G314" s="186" t="n">
        <x:v>19300</x:v>
      </x:c>
      <x:c r="H314" s="186" t="n">
        <x:v>92197</x:v>
      </x:c>
      <x:c r="I314" s="186" t="n">
        <x:f>G314-H314</x:f>
        <x:v>-72897</x:v>
      </x:c>
      <x:c r="J314" s="186" t="n">
        <x:v>91520</x:v>
      </x:c>
      <x:c r="K314" s="186" t="n">
        <x:v>163237</x:v>
      </x:c>
      <x:c r="L314" s="186" t="n">
        <x:f>J314-K314</x:f>
        <x:v>-71717</x:v>
      </x:c>
      <x:c r="M314" s="186" t="n">
        <x:v>121205</x:v>
      </x:c>
      <x:c r="N314" s="186" t="n">
        <x:v>71021</x:v>
      </x:c>
      <x:c r="O314" s="186" t="n">
        <x:f>M314-N314</x:f>
        <x:v>50184</x:v>
      </x:c>
      <x:c r="P314" s="186" t="n">
        <x:v>88936</x:v>
      </x:c>
      <x:c r="Q314" s="186" t="n">
        <x:v>15348</x:v>
      </x:c>
      <x:c r="R314" s="186" t="n">
        <x:f>P314-Q314</x:f>
        <x:v>73588</x:v>
      </x:c>
      <x:c r="S314" s="186" t="n">
        <x:v>46707</x:v>
      </x:c>
      <x:c r="T314" s="186" t="n">
        <x:v>25865</x:v>
      </x:c>
      <x:c r="U314" s="186" t="n">
        <x:f>S314-T314</x:f>
        <x:v>20842</x:v>
      </x:c>
      <x:c r="V314" s="196" t="n">
        <x:f>IFERROR(O314/F314,"")</x:f>
        <x:v>0.11118397731300957</x:v>
      </x:c>
      <x:c r="W314" s="196" t="n">
        <x:f>IFERROR(I314/F314,"")</x:f>
        <x:v>-0.16150522864232542</x:v>
      </x:c>
    </x:row>
    <x:row r="315">
      <x:c r="A315" s="186" t="str">
        <x:v>Silver</x:v>
      </x:c>
      <x:c r="B315" s="187" t="n">
        <x:v>43465</x:v>
      </x:c>
      <x:c r="C315" s="187" t="n">
        <x:v>43468</x:v>
      </x:c>
      <x:c r="D315" s="186" t="str">
        <x:v>084691-SILVER</x:v>
      </x:c>
      <x:c r="E315" s="186" t="str">
        <x:v>SILVER - COMMODITY EXCHANGE INC.</x:v>
      </x:c>
      <x:c r="F315" s="186" t="n">
        <x:v>176159</x:v>
      </x:c>
      <x:c r="G315" s="186" t="n">
        <x:v>10962</x:v>
      </x:c>
      <x:c r="H315" s="186" t="n">
        <x:v>50161</x:v>
      </x:c>
      <x:c r="I315" s="186" t="n">
        <x:f>G315-H315</x:f>
        <x:v>-39199</x:v>
      </x:c>
      <x:c r="J315" s="186" t="n">
        <x:v>40202</x:v>
      </x:c>
      <x:c r="K315" s="186" t="n">
        <x:v>58857</x:v>
      </x:c>
      <x:c r="L315" s="186" t="n">
        <x:f>J315-K315</x:f>
        <x:v>-18655</x:v>
      </x:c>
      <x:c r="M315" s="186" t="n">
        <x:v>60752</x:v>
      </x:c>
      <x:c r="N315" s="186" t="n">
        <x:v>30706</x:v>
      </x:c>
      <x:c r="O315" s="186" t="n">
        <x:f>M315-N315</x:f>
        <x:v>30046</x:v>
      </x:c>
      <x:c r="P315" s="186" t="n">
        <x:v>22270</x:v>
      </x:c>
      <x:c r="Q315" s="186" t="n">
        <x:v>7357</x:v>
      </x:c>
      <x:c r="R315" s="186" t="n">
        <x:f>P315-Q315</x:f>
        <x:v>14913</x:v>
      </x:c>
      <x:c r="S315" s="186" t="n">
        <x:v>26005</x:v>
      </x:c>
      <x:c r="T315" s="186" t="n">
        <x:v>13110</x:v>
      </x:c>
      <x:c r="U315" s="186" t="n">
        <x:f>S315-T315</x:f>
        <x:v>12895</x:v>
      </x:c>
      <x:c r="V315" s="196" t="n">
        <x:f>IFERROR(O315/F315,"")</x:f>
        <x:v>0.170561821990361</x:v>
      </x:c>
      <x:c r="W315" s="196" t="n">
        <x:f>IFERROR(I315/F315,"")</x:f>
        <x:v>-0.22252056380883178</x:v>
      </x:c>
    </x:row>
    <x:row r="316">
      <x:c r="A316" s="186" t="str">
        <x:v>Gold</x:v>
      </x:c>
      <x:c r="B316" s="187" t="n">
        <x:v>43473</x:v>
      </x:c>
      <x:c r="C316" s="187" t="n">
        <x:v>43476</x:v>
      </x:c>
      <x:c r="D316" s="186" t="str">
        <x:v>088691-GOLD</x:v>
      </x:c>
      <x:c r="E316" s="186" t="str">
        <x:v>GOLD - COMMODITY EXCHANGE INC.</x:v>
      </x:c>
      <x:c r="F316" s="186" t="n">
        <x:v>455232</x:v>
      </x:c>
      <x:c r="G316" s="186" t="n">
        <x:v>12969</x:v>
      </x:c>
      <x:c r="H316" s="186" t="n">
        <x:v>75020</x:v>
      </x:c>
      <x:c r="I316" s="186" t="n">
        <x:f>G316-H316</x:f>
        <x:v>-62051</x:v>
      </x:c>
      <x:c r="J316" s="186" t="n">
        <x:v>95600</x:v>
      </x:c>
      <x:c r="K316" s="186" t="n">
        <x:v>154736</x:v>
      </x:c>
      <x:c r="L316" s="186" t="n">
        <x:f>J316-K316</x:f>
        <x:v>-59136</x:v>
      </x:c>
      <x:c r="M316" s="186" t="n">
        <x:v>112690</x:v>
      </x:c>
      <x:c r="N316" s="186" t="n">
        <x:v>80219</x:v>
      </x:c>
      <x:c r="O316" s="186" t="n">
        <x:f>M316-N316</x:f>
        <x:v>32471</x:v>
      </x:c>
      <x:c r="P316" s="186" t="n">
        <x:v>86870</x:v>
      </x:c>
      <x:c r="Q316" s="186" t="n">
        <x:v>20125</x:v>
      </x:c>
      <x:c r="R316" s="186" t="n">
        <x:f>P316-Q316</x:f>
        <x:v>66745</x:v>
      </x:c>
      <x:c r="S316" s="186" t="n">
        <x:v>48508</x:v>
      </x:c>
      <x:c r="T316" s="186" t="n">
        <x:v>26537</x:v>
      </x:c>
      <x:c r="U316" s="186" t="n">
        <x:f>S316-T316</x:f>
        <x:v>21971</x:v>
      </x:c>
      <x:c r="V316" s="196" t="n">
        <x:f>IFERROR(O316/F316,"")</x:f>
        <x:v>0.07132846548573035</x:v>
      </x:c>
      <x:c r="W316" s="196" t="n">
        <x:f>IFERROR(I316/F316,"")</x:f>
        <x:v>-0.13630632292984676</x:v>
      </x:c>
    </x:row>
    <x:row r="317">
      <x:c r="A317" s="186" t="str">
        <x:v>Silver</x:v>
      </x:c>
      <x:c r="B317" s="187" t="n">
        <x:v>43473</x:v>
      </x:c>
      <x:c r="C317" s="187" t="n">
        <x:v>43476</x:v>
      </x:c>
      <x:c r="D317" s="186" t="str">
        <x:v>084691-SILVER</x:v>
      </x:c>
      <x:c r="E317" s="186" t="str">
        <x:v>SILVER - COMMODITY EXCHANGE INC.</x:v>
      </x:c>
      <x:c r="F317" s="186" t="n">
        <x:v>186506</x:v>
      </x:c>
      <x:c r="G317" s="186" t="n">
        <x:v>6153</x:v>
      </x:c>
      <x:c r="H317" s="186" t="n">
        <x:v>49572</x:v>
      </x:c>
      <x:c r="I317" s="186" t="n">
        <x:f>G317-H317</x:f>
        <x:v>-43419</x:v>
      </x:c>
      <x:c r="J317" s="186" t="n">
        <x:v>50435</x:v>
      </x:c>
      <x:c r="K317" s="186" t="n">
        <x:v>75807</x:v>
      </x:c>
      <x:c r="L317" s="186" t="n">
        <x:f>J317-K317</x:f>
        <x:v>-25372</x:v>
      </x:c>
      <x:c r="M317" s="186" t="n">
        <x:v>67815</x:v>
      </x:c>
      <x:c r="N317" s="186" t="n">
        <x:v>25104</x:v>
      </x:c>
      <x:c r="O317" s="186" t="n">
        <x:f>M317-N317</x:f>
        <x:v>42711</x:v>
      </x:c>
      <x:c r="P317" s="186" t="n">
        <x:v>18971</x:v>
      </x:c>
      <x:c r="Q317" s="186" t="n">
        <x:v>7659</x:v>
      </x:c>
      <x:c r="R317" s="186" t="n">
        <x:f>P317-Q317</x:f>
        <x:v>11312</x:v>
      </x:c>
      <x:c r="S317" s="186" t="n">
        <x:v>27960</x:v>
      </x:c>
      <x:c r="T317" s="186" t="n">
        <x:v>13192</x:v>
      </x:c>
      <x:c r="U317" s="186" t="n">
        <x:f>S317-T317</x:f>
        <x:v>14768</x:v>
      </x:c>
      <x:c r="V317" s="196" t="n">
        <x:f>IFERROR(O317/F317,"")</x:f>
        <x:v>0.22900603733928132</x:v>
      </x:c>
      <x:c r="W317" s="196" t="n">
        <x:f>IFERROR(I317/F317,"")</x:f>
        <x:v>-0.23280216186074443</x:v>
      </x:c>
    </x:row>
    <x:row r="318">
      <x:c r="A318" s="186" t="str">
        <x:v>Gold</x:v>
      </x:c>
      <x:c r="B318" s="187" t="n">
        <x:v>43480</x:v>
      </x:c>
      <x:c r="C318" s="187" t="n">
        <x:v>43483</x:v>
      </x:c>
      <x:c r="D318" s="186" t="str">
        <x:v>088691-GOLD</x:v>
      </x:c>
      <x:c r="E318" s="186" t="str">
        <x:v>GOLD - COMMODITY EXCHANGE INC.</x:v>
      </x:c>
      <x:c r="F318" s="186" t="n">
        <x:v>501605</x:v>
      </x:c>
      <x:c r="G318" s="186" t="n">
        <x:v>43351</x:v>
      </x:c>
      <x:c r="H318" s="186" t="n">
        <x:v>103302</x:v>
      </x:c>
      <x:c r="I318" s="186" t="n">
        <x:f>G318-H318</x:f>
        <x:v>-59951</x:v>
      </x:c>
      <x:c r="J318" s="186" t="n">
        <x:v>99528</x:v>
      </x:c>
      <x:c r="K318" s="186" t="n">
        <x:v>147690</x:v>
      </x:c>
      <x:c r="L318" s="186" t="n">
        <x:f>J318-K318</x:f>
        <x:v>-48162</x:v>
      </x:c>
      <x:c r="M318" s="186" t="n">
        <x:v>115651</x:v>
      </x:c>
      <x:c r="N318" s="186" t="n">
        <x:v>90716</x:v>
      </x:c>
      <x:c r="O318" s="186" t="n">
        <x:f>M318-N318</x:f>
        <x:v>24935</x:v>
      </x:c>
      <x:c r="P318" s="186" t="n">
        <x:v>86145</x:v>
      </x:c>
      <x:c r="Q318" s="186" t="n">
        <x:v>23167</x:v>
      </x:c>
      <x:c r="R318" s="186" t="n">
        <x:f>P318-Q318</x:f>
        <x:v>62978</x:v>
      </x:c>
      <x:c r="S318" s="186" t="n">
        <x:v>49334</x:v>
      </x:c>
      <x:c r="T318" s="186" t="n">
        <x:v>29134</x:v>
      </x:c>
      <x:c r="U318" s="186" t="n">
        <x:f>S318-T318</x:f>
        <x:v>20200</x:v>
      </x:c>
      <x:c r="V318" s="196" t="n">
        <x:f>IFERROR(O318/F318,"")</x:f>
        <x:v>0.04971042952123683</x:v>
      </x:c>
      <x:c r="W318" s="196" t="n">
        <x:f>IFERROR(I318/F318,"")</x:f>
        <x:v>-0.11951834610899015</x:v>
      </x:c>
    </x:row>
    <x:row r="319">
      <x:c r="A319" s="186" t="str">
        <x:v>Silver</x:v>
      </x:c>
      <x:c r="B319" s="187" t="n">
        <x:v>43480</x:v>
      </x:c>
      <x:c r="C319" s="187" t="n">
        <x:v>43483</x:v>
      </x:c>
      <x:c r="D319" s="186" t="str">
        <x:v>084691-SILVER</x:v>
      </x:c>
      <x:c r="E319" s="186" t="str">
        <x:v>SILVER - COMMODITY EXCHANGE INC.</x:v>
      </x:c>
      <x:c r="F319" s="186" t="n">
        <x:v>191922</x:v>
      </x:c>
      <x:c r="G319" s="186" t="n">
        <x:v>7140</x:v>
      </x:c>
      <x:c r="H319" s="186" t="n">
        <x:v>51926</x:v>
      </x:c>
      <x:c r="I319" s="186" t="n">
        <x:f>G319-H319</x:f>
        <x:v>-44786</x:v>
      </x:c>
      <x:c r="J319" s="186" t="n">
        <x:v>51211</x:v>
      </x:c>
      <x:c r="K319" s="186" t="n">
        <x:v>78115</x:v>
      </x:c>
      <x:c r="L319" s="186" t="n">
        <x:f>J319-K319</x:f>
        <x:v>-26904</x:v>
      </x:c>
      <x:c r="M319" s="186" t="n">
        <x:v>65554</x:v>
      </x:c>
      <x:c r="N319" s="186" t="n">
        <x:v>26323</x:v>
      </x:c>
      <x:c r="O319" s="186" t="n">
        <x:f>M319-N319</x:f>
        <x:v>39231</x:v>
      </x:c>
      <x:c r="P319" s="186" t="n">
        <x:v>20405</x:v>
      </x:c>
      <x:c r="Q319" s="186" t="n">
        <x:v>7461</x:v>
      </x:c>
      <x:c r="R319" s="186" t="n">
        <x:f>P319-Q319</x:f>
        <x:v>12944</x:v>
      </x:c>
      <x:c r="S319" s="186" t="n">
        <x:v>30596</x:v>
      </x:c>
      <x:c r="T319" s="186" t="n">
        <x:v>11081</x:v>
      </x:c>
      <x:c r="U319" s="186" t="n">
        <x:f>S319-T319</x:f>
        <x:v>19515</x:v>
      </x:c>
      <x:c r="V319" s="196" t="n">
        <x:f>IFERROR(O319/F319,"")</x:f>
        <x:v>0.2044111670366086</x:v>
      </x:c>
      <x:c r="W319" s="196" t="n">
        <x:f>IFERROR(I319/F319,"")</x:f>
        <x:v>-0.23335521722366379</x:v>
      </x:c>
    </x:row>
    <x:row r="320">
      <x:c r="A320" s="186" t="str">
        <x:v>Gold</x:v>
      </x:c>
      <x:c r="B320" s="187" t="n">
        <x:v>43487</x:v>
      </x:c>
      <x:c r="C320" s="187" t="n">
        <x:v>43490</x:v>
      </x:c>
      <x:c r="D320" s="186" t="str">
        <x:v>088691-GOLD</x:v>
      </x:c>
      <x:c r="E320" s="186" t="str">
        <x:v>GOLD - COMMODITY EXCHANGE INC.</x:v>
      </x:c>
      <x:c r="F320" s="186" t="n">
        <x:v>513509</x:v>
      </x:c>
      <x:c r="G320" s="186" t="n">
        <x:v>50087</x:v>
      </x:c>
      <x:c r="H320" s="186" t="n">
        <x:v>110130</x:v>
      </x:c>
      <x:c r="I320" s="186" t="n">
        <x:f>G320-H320</x:f>
        <x:v>-60043</x:v>
      </x:c>
      <x:c r="J320" s="186" t="n">
        <x:v>102479</x:v>
      </x:c>
      <x:c r="K320" s="186" t="n">
        <x:v>134513</x:v>
      </x:c>
      <x:c r="L320" s="186" t="n">
        <x:f>J320-K320</x:f>
        <x:v>-32034</x:v>
      </x:c>
      <x:c r="M320" s="186" t="n">
        <x:v>105295</x:v>
      </x:c>
      <x:c r="N320" s="186" t="n">
        <x:v>89085</x:v>
      </x:c>
      <x:c r="O320" s="186" t="n">
        <x:f>M320-N320</x:f>
        <x:v>16210</x:v>
      </x:c>
      <x:c r="P320" s="186" t="n">
        <x:v>81215</x:v>
      </x:c>
      <x:c r="Q320" s="186" t="n">
        <x:v>22921</x:v>
      </x:c>
      <x:c r="R320" s="186" t="n">
        <x:f>P320-Q320</x:f>
        <x:v>58294</x:v>
      </x:c>
      <x:c r="S320" s="186" t="n">
        <x:v>48740</x:v>
      </x:c>
      <x:c r="T320" s="186" t="n">
        <x:v>31167</x:v>
      </x:c>
      <x:c r="U320" s="186" t="n">
        <x:f>S320-T320</x:f>
        <x:v>17573</x:v>
      </x:c>
      <x:c r="V320" s="196" t="n">
        <x:f>IFERROR(O320/F320,"")</x:f>
        <x:v>0.03156711956362985</x:v>
      </x:c>
      <x:c r="W320" s="196" t="n">
        <x:f>IFERROR(I320/F320,"")</x:f>
        <x:v>-0.11692686983090851</x:v>
      </x:c>
    </x:row>
    <x:row r="321">
      <x:c r="A321" s="186" t="str">
        <x:v>Silver</x:v>
      </x:c>
      <x:c r="B321" s="187" t="n">
        <x:v>43487</x:v>
      </x:c>
      <x:c r="C321" s="187" t="n">
        <x:v>43490</x:v>
      </x:c>
      <x:c r="D321" s="186" t="str">
        <x:v>084691-SILVER</x:v>
      </x:c>
      <x:c r="E321" s="186" t="str">
        <x:v>SILVER - COMMODITY EXCHANGE INC.</x:v>
      </x:c>
      <x:c r="F321" s="186" t="n">
        <x:v>188674</x:v>
      </x:c>
      <x:c r="G321" s="186" t="n">
        <x:v>7135</x:v>
      </x:c>
      <x:c r="H321" s="186" t="n">
        <x:v>48788</x:v>
      </x:c>
      <x:c r="I321" s="186" t="n">
        <x:f>G321-H321</x:f>
        <x:v>-41653</x:v>
      </x:c>
      <x:c r="J321" s="186" t="n">
        <x:v>51729</x:v>
      </x:c>
      <x:c r="K321" s="186" t="n">
        <x:v>75008</x:v>
      </x:c>
      <x:c r="L321" s="186" t="n">
        <x:f>J321-K321</x:f>
        <x:v>-23279</x:v>
      </x:c>
      <x:c r="M321" s="186" t="n">
        <x:v>62848</x:v>
      </x:c>
      <x:c r="N321" s="186" t="n">
        <x:v>27675</x:v>
      </x:c>
      <x:c r="O321" s="186" t="n">
        <x:f>M321-N321</x:f>
        <x:v>35173</x:v>
      </x:c>
      <x:c r="P321" s="186" t="n">
        <x:v>20455</x:v>
      </x:c>
      <x:c r="Q321" s="186" t="n">
        <x:v>7472</x:v>
      </x:c>
      <x:c r="R321" s="186" t="n">
        <x:f>P321-Q321</x:f>
        <x:v>12983</x:v>
      </x:c>
      <x:c r="S321" s="186" t="n">
        <x:v>29997</x:v>
      </x:c>
      <x:c r="T321" s="186" t="n">
        <x:v>13221</x:v>
      </x:c>
      <x:c r="U321" s="186" t="n">
        <x:f>S321-T321</x:f>
        <x:v>16776</x:v>
      </x:c>
      <x:c r="V321" s="196" t="n">
        <x:f>IFERROR(O321/F321,"")</x:f>
        <x:v>0.18642208253389445</x:v>
      </x:c>
      <x:c r="W321" s="196" t="n">
        <x:f>IFERROR(I321/F321,"")</x:f>
        <x:v>-0.2207670373236376</x:v>
      </x:c>
    </x:row>
    <x:row r="322">
      <x:c r="A322" s="186" t="str">
        <x:v>Gold</x:v>
      </x:c>
      <x:c r="B322" s="187" t="n">
        <x:v>43494</x:v>
      </x:c>
      <x:c r="C322" s="187" t="n">
        <x:v>43497</x:v>
      </x:c>
      <x:c r="D322" s="186" t="str">
        <x:v>088691-GOLD</x:v>
      </x:c>
      <x:c r="E322" s="186" t="str">
        <x:v>GOLD - COMMODITY EXCHANGE INC.</x:v>
      </x:c>
      <x:c r="F322" s="186" t="n">
        <x:v>483390</x:v>
      </x:c>
      <x:c r="G322" s="186" t="n">
        <x:v>14289</x:v>
      </x:c>
      <x:c r="H322" s="186" t="n">
        <x:v>84947</x:v>
      </x:c>
      <x:c r="I322" s="186" t="n">
        <x:f>G322-H322</x:f>
        <x:v>-70658</x:v>
      </x:c>
      <x:c r="J322" s="186" t="n">
        <x:v>102371</x:v>
      </x:c>
      <x:c r="K322" s="186" t="n">
        <x:v>150322</x:v>
      </x:c>
      <x:c r="L322" s="186" t="n">
        <x:f>J322-K322</x:f>
        <x:v>-47951</x:v>
      </x:c>
      <x:c r="M322" s="186" t="n">
        <x:v>126404</x:v>
      </x:c>
      <x:c r="N322" s="186" t="n">
        <x:v>94007</x:v>
      </x:c>
      <x:c r="O322" s="186" t="n">
        <x:f>M322-N322</x:f>
        <x:v>32397</x:v>
      </x:c>
      <x:c r="P322" s="186" t="n">
        <x:v>85914</x:v>
      </x:c>
      <x:c r="Q322" s="186" t="n">
        <x:v>18718</x:v>
      </x:c>
      <x:c r="R322" s="186" t="n">
        <x:f>P322-Q322</x:f>
        <x:v>67196</x:v>
      </x:c>
      <x:c r="S322" s="186" t="n">
        <x:v>49142</x:v>
      </x:c>
      <x:c r="T322" s="186" t="n">
        <x:v>30126</x:v>
      </x:c>
      <x:c r="U322" s="186" t="n">
        <x:f>S322-T322</x:f>
        <x:v>19016</x:v>
      </x:c>
      <x:c r="V322" s="196" t="n">
        <x:f>IFERROR(O322/F322,"")</x:f>
        <x:v>0.067020418295786</x:v>
      </x:c>
      <x:c r="W322" s="196" t="n">
        <x:f>IFERROR(I322/F322,"")</x:f>
        <x:v>-0.14617182813049504</x:v>
      </x:c>
    </x:row>
    <x:row r="323">
      <x:c r="A323" s="186" t="str">
        <x:v>Silver</x:v>
      </x:c>
      <x:c r="B323" s="187" t="n">
        <x:v>43494</x:v>
      </x:c>
      <x:c r="C323" s="187" t="n">
        <x:v>43497</x:v>
      </x:c>
      <x:c r="D323" s="186" t="str">
        <x:v>084691-SILVER</x:v>
      </x:c>
      <x:c r="E323" s="186" t="str">
        <x:v>SILVER - COMMODITY EXCHANGE INC.</x:v>
      </x:c>
      <x:c r="F323" s="186" t="n">
        <x:v>194895</x:v>
      </x:c>
      <x:c r="G323" s="186" t="n">
        <x:v>7438</x:v>
      </x:c>
      <x:c r="H323" s="186" t="n">
        <x:v>52321</x:v>
      </x:c>
      <x:c r="I323" s="186" t="n">
        <x:f>G323-H323</x:f>
        <x:v>-44883</x:v>
      </x:c>
      <x:c r="J323" s="186" t="n">
        <x:v>51482</x:v>
      </x:c>
      <x:c r="K323" s="186" t="n">
        <x:v>79061</x:v>
      </x:c>
      <x:c r="L323" s="186" t="n">
        <x:f>J323-K323</x:f>
        <x:v>-27579</x:v>
      </x:c>
      <x:c r="M323" s="186" t="n">
        <x:v>66078</x:v>
      </x:c>
      <x:c r="N323" s="186" t="n">
        <x:v>26159</x:v>
      </x:c>
      <x:c r="O323" s="186" t="n">
        <x:f>M323-N323</x:f>
        <x:v>39919</x:v>
      </x:c>
      <x:c r="P323" s="186" t="n">
        <x:v>19996</x:v>
      </x:c>
      <x:c r="Q323" s="186" t="n">
        <x:v>5632</x:v>
      </x:c>
      <x:c r="R323" s="186" t="n">
        <x:f>P323-Q323</x:f>
        <x:v>14364</x:v>
      </x:c>
      <x:c r="S323" s="186" t="n">
        <x:v>30665</x:v>
      </x:c>
      <x:c r="T323" s="186" t="n">
        <x:v>12486</x:v>
      </x:c>
      <x:c r="U323" s="186" t="n">
        <x:f>S323-T323</x:f>
        <x:v>18179</x:v>
      </x:c>
      <x:c r="V323" s="196" t="n">
        <x:f>IFERROR(O323/F323,"")</x:f>
        <x:v>0.2048231098796788</x:v>
      </x:c>
      <x:c r="W323" s="196" t="n">
        <x:f>IFERROR(I323/F323,"")</x:f>
        <x:v>-0.23029323481874855</x:v>
      </x:c>
    </x:row>
    <x:row r="324">
      <x:c r="A324" s="186" t="str">
        <x:v>Gold</x:v>
      </x:c>
      <x:c r="B324" s="187" t="n">
        <x:v>43501</x:v>
      </x:c>
      <x:c r="C324" s="187" t="n">
        <x:v>43504</x:v>
      </x:c>
      <x:c r="D324" s="186" t="str">
        <x:v>088691-GOLD</x:v>
      </x:c>
      <x:c r="E324" s="186" t="str">
        <x:v>GOLD - COMMODITY EXCHANGE INC.</x:v>
      </x:c>
      <x:c r="F324" s="186" t="n">
        <x:v>479736</x:v>
      </x:c>
      <x:c r="G324" s="186" t="n">
        <x:v>15593</x:v>
      </x:c>
      <x:c r="H324" s="186" t="n">
        <x:v>89160</x:v>
      </x:c>
      <x:c r="I324" s="186" t="n">
        <x:f>G324-H324</x:f>
        <x:v>-73567</x:v>
      </x:c>
      <x:c r="J324" s="186" t="n">
        <x:v>111952</x:v>
      </x:c>
      <x:c r="K324" s="186" t="n">
        <x:v>169627</x:v>
      </x:c>
      <x:c r="L324" s="186" t="n">
        <x:f>J324-K324</x:f>
        <x:v>-57675</x:v>
      </x:c>
      <x:c r="M324" s="186" t="n">
        <x:v>134954</x:v>
      </x:c>
      <x:c r="N324" s="186" t="n">
        <x:v>90079</x:v>
      </x:c>
      <x:c r="O324" s="186" t="n">
        <x:f>M324-N324</x:f>
        <x:v>44875</x:v>
      </x:c>
      <x:c r="P324" s="186" t="n">
        <x:v>83246</x:v>
      </x:c>
      <x:c r="Q324" s="186" t="n">
        <x:v>19026</x:v>
      </x:c>
      <x:c r="R324" s="186" t="n">
        <x:f>P324-Q324</x:f>
        <x:v>64220</x:v>
      </x:c>
      <x:c r="S324" s="186" t="n">
        <x:v>50355</x:v>
      </x:c>
      <x:c r="T324" s="186" t="n">
        <x:v>28208</x:v>
      </x:c>
      <x:c r="U324" s="186" t="n">
        <x:f>S324-T324</x:f>
        <x:v>22147</x:v>
      </x:c>
      <x:c r="V324" s="196" t="n">
        <x:f>IFERROR(O324/F324,"")</x:f>
        <x:v>0.09354103090032852</x:v>
      </x:c>
      <x:c r="W324" s="196" t="n">
        <x:f>IFERROR(I324/F324,"")</x:f>
        <x:v>-0.15334892524221655</x:v>
      </x:c>
    </x:row>
    <x:row r="325">
      <x:c r="A325" s="186" t="str">
        <x:v>Silver</x:v>
      </x:c>
      <x:c r="B325" s="187" t="n">
        <x:v>43501</x:v>
      </x:c>
      <x:c r="C325" s="187" t="n">
        <x:v>43504</x:v>
      </x:c>
      <x:c r="D325" s="186" t="str">
        <x:v>084691-SILVER</x:v>
      </x:c>
      <x:c r="E325" s="186" t="str">
        <x:v>SILVER - COMMODITY EXCHANGE INC.</x:v>
      </x:c>
      <x:c r="F325" s="186" t="n">
        <x:v>207101</x:v>
      </x:c>
      <x:c r="G325" s="186" t="n">
        <x:v>9256</x:v>
      </x:c>
      <x:c r="H325" s="186" t="n">
        <x:v>56065</x:v>
      </x:c>
      <x:c r="I325" s="186" t="n">
        <x:f>G325-H325</x:f>
        <x:v>-46809</x:v>
      </x:c>
      <x:c r="J325" s="186" t="n">
        <x:v>52087</x:v>
      </x:c>
      <x:c r="K325" s="186" t="n">
        <x:v>83482</x:v>
      </x:c>
      <x:c r="L325" s="186" t="n">
        <x:f>J325-K325</x:f>
        <x:v>-31395</x:v>
      </x:c>
      <x:c r="M325" s="186" t="n">
        <x:v>73738</x:v>
      </x:c>
      <x:c r="N325" s="186" t="n">
        <x:v>26009</x:v>
      </x:c>
      <x:c r="O325" s="186" t="n">
        <x:f>M325-N325</x:f>
        <x:v>47729</x:v>
      </x:c>
      <x:c r="P325" s="186" t="n">
        <x:v>16130</x:v>
      </x:c>
      <x:c r="Q325" s="186" t="n">
        <x:v>6764</x:v>
      </x:c>
      <x:c r="R325" s="186" t="n">
        <x:f>P325-Q325</x:f>
        <x:v>9366</x:v>
      </x:c>
      <x:c r="S325" s="186" t="n">
        <x:v>33626</x:v>
      </x:c>
      <x:c r="T325" s="186" t="n">
        <x:v>12517</x:v>
      </x:c>
      <x:c r="U325" s="186" t="n">
        <x:f>S325-T325</x:f>
        <x:v>21109</x:v>
      </x:c>
      <x:c r="V325" s="196" t="n">
        <x:f>IFERROR(O325/F325,"")</x:f>
        <x:v>0.23046243137406386</x:v>
      </x:c>
      <x:c r="W325" s="196" t="n">
        <x:f>IFERROR(I325/F325,"")</x:f>
        <x:v>-0.22602015441740986</x:v>
      </x:c>
    </x:row>
    <x:row r="326">
      <x:c r="A326" s="186" t="str">
        <x:v>Gold</x:v>
      </x:c>
      <x:c r="B326" s="187" t="n">
        <x:v>43508</x:v>
      </x:c>
      <x:c r="C326" s="187" t="n">
        <x:v>43511</x:v>
      </x:c>
      <x:c r="D326" s="186" t="str">
        <x:v>088691-GOLD</x:v>
      </x:c>
      <x:c r="E326" s="186" t="str">
        <x:v>GOLD - COMMODITY EXCHANGE INC.</x:v>
      </x:c>
      <x:c r="F326" s="186" t="n">
        <x:v>476083</x:v>
      </x:c>
      <x:c r="G326" s="186" t="n">
        <x:v>16566</x:v>
      </x:c>
      <x:c r="H326" s="186" t="n">
        <x:v>90733</x:v>
      </x:c>
      <x:c r="I326" s="186" t="n">
        <x:f>G326-H326</x:f>
        <x:v>-74167</x:v>
      </x:c>
      <x:c r="J326" s="186" t="n">
        <x:v>113352</x:v>
      </x:c>
      <x:c r="K326" s="186" t="n">
        <x:v>165296</x:v>
      </x:c>
      <x:c r="L326" s="186" t="n">
        <x:f>J326-K326</x:f>
        <x:v>-51944</x:v>
      </x:c>
      <x:c r="M326" s="186" t="n">
        <x:v>132365</x:v>
      </x:c>
      <x:c r="N326" s="186" t="n">
        <x:v>89746</x:v>
      </x:c>
      <x:c r="O326" s="186" t="n">
        <x:f>M326-N326</x:f>
        <x:v>42619</x:v>
      </x:c>
      <x:c r="P326" s="186" t="n">
        <x:v>81805</x:v>
      </x:c>
      <x:c r="Q326" s="186" t="n">
        <x:v>19550</x:v>
      </x:c>
      <x:c r="R326" s="186" t="n">
        <x:f>P326-Q326</x:f>
        <x:v>62255</x:v>
      </x:c>
      <x:c r="S326" s="186" t="n">
        <x:v>48849</x:v>
      </x:c>
      <x:c r="T326" s="186" t="n">
        <x:v>27612</x:v>
      </x:c>
      <x:c r="U326" s="186" t="n">
        <x:f>S326-T326</x:f>
        <x:v>21237</x:v>
      </x:c>
      <x:c r="V326" s="196" t="n">
        <x:f>IFERROR(O326/F326,"")</x:f>
        <x:v>0.089520104687628</x:v>
      </x:c>
      <x:c r="W326" s="196" t="n">
        <x:f>IFERROR(I326/F326,"")</x:f>
        <x:v>-0.1557858608687981</x:v>
      </x:c>
    </x:row>
    <x:row r="327">
      <x:c r="A327" s="186" t="str">
        <x:v>Silver</x:v>
      </x:c>
      <x:c r="B327" s="187" t="n">
        <x:v>43508</x:v>
      </x:c>
      <x:c r="C327" s="187" t="n">
        <x:v>43511</x:v>
      </x:c>
      <x:c r="D327" s="186" t="str">
        <x:v>084691-SILVER</x:v>
      </x:c>
      <x:c r="E327" s="186" t="str">
        <x:v>SILVER - COMMODITY EXCHANGE INC.</x:v>
      </x:c>
      <x:c r="F327" s="186" t="n">
        <x:v>217925</x:v>
      </x:c>
      <x:c r="G327" s="186" t="n">
        <x:v>14383</x:v>
      </x:c>
      <x:c r="H327" s="186" t="n">
        <x:v>60888</x:v>
      </x:c>
      <x:c r="I327" s="186" t="n">
        <x:f>G327-H327</x:f>
        <x:v>-46505</x:v>
      </x:c>
      <x:c r="J327" s="186" t="n">
        <x:v>52415</x:v>
      </x:c>
      <x:c r="K327" s="186" t="n">
        <x:v>81404</x:v>
      </x:c>
      <x:c r="L327" s="186" t="n">
        <x:f>J327-K327</x:f>
        <x:v>-28989</x:v>
      </x:c>
      <x:c r="M327" s="186" t="n">
        <x:v>71924</x:v>
      </x:c>
      <x:c r="N327" s="186" t="n">
        <x:v>30023</x:v>
      </x:c>
      <x:c r="O327" s="186" t="n">
        <x:f>M327-N327</x:f>
        <x:v>41901</x:v>
      </x:c>
      <x:c r="P327" s="186" t="n">
        <x:v>17798</x:v>
      </x:c>
      <x:c r="Q327" s="186" t="n">
        <x:v>6496</x:v>
      </x:c>
      <x:c r="R327" s="186" t="n">
        <x:f>P327-Q327</x:f>
        <x:v>11302</x:v>
      </x:c>
      <x:c r="S327" s="186" t="n">
        <x:v>35039</x:v>
      </x:c>
      <x:c r="T327" s="186" t="n">
        <x:v>12748</x:v>
      </x:c>
      <x:c r="U327" s="186" t="n">
        <x:f>S327-T327</x:f>
        <x:v>22291</x:v>
      </x:c>
      <x:c r="V327" s="196" t="n">
        <x:f>IFERROR(O327/F327,"")</x:f>
        <x:v>0.19227257083859126</x:v>
      </x:c>
      <x:c r="W327" s="196" t="n">
        <x:f>IFERROR(I327/F327,"")</x:f>
        <x:v>-0.213399105196742</x:v>
      </x:c>
    </x:row>
    <x:row r="328">
      <x:c r="A328" s="186" t="str">
        <x:v>Gold</x:v>
      </x:c>
      <x:c r="B328" s="187" t="n">
        <x:v>43515</x:v>
      </x:c>
      <x:c r="C328" s="187" t="n">
        <x:v>43518</x:v>
      </x:c>
      <x:c r="D328" s="186" t="str">
        <x:v>088691-GOLD</x:v>
      </x:c>
      <x:c r="E328" s="186" t="str">
        <x:v>GOLD - COMMODITY EXCHANGE INC.</x:v>
      </x:c>
      <x:c r="F328" s="186" t="n">
        <x:v>504639</x:v>
      </x:c>
      <x:c r="G328" s="186" t="n">
        <x:v>15236</x:v>
      </x:c>
      <x:c r="H328" s="186" t="n">
        <x:v>103673</x:v>
      </x:c>
      <x:c r="I328" s="186" t="n">
        <x:f>G328-H328</x:f>
        <x:v>-88437</x:v>
      </x:c>
      <x:c r="J328" s="186" t="n">
        <x:v>102849</x:v>
      </x:c>
      <x:c r="K328" s="186" t="n">
        <x:v>180889</x:v>
      </x:c>
      <x:c r="L328" s="186" t="n">
        <x:f>J328-K328</x:f>
        <x:v>-78040</x:v>
      </x:c>
      <x:c r="M328" s="186" t="n">
        <x:v>166411</x:v>
      </x:c>
      <x:c r="N328" s="186" t="n">
        <x:v>84034</x:v>
      </x:c>
      <x:c r="O328" s="186" t="n">
        <x:f>M328-N328</x:f>
        <x:v>82377</x:v>
      </x:c>
      <x:c r="P328" s="186" t="n">
        <x:v>87675</x:v>
      </x:c>
      <x:c r="Q328" s="186" t="n">
        <x:v>24405</x:v>
      </x:c>
      <x:c r="R328" s="186" t="n">
        <x:f>P328-Q328</x:f>
        <x:v>63270</x:v>
      </x:c>
      <x:c r="S328" s="186" t="n">
        <x:v>50871</x:v>
      </x:c>
      <x:c r="T328" s="186" t="n">
        <x:v>30041</x:v>
      </x:c>
      <x:c r="U328" s="186" t="n">
        <x:f>S328-T328</x:f>
        <x:v>20830</x:v>
      </x:c>
      <x:c r="V328" s="196" t="n">
        <x:f>IFERROR(O328/F328,"")</x:f>
        <x:v>0.16323946425068217</x:v>
      </x:c>
      <x:c r="W328" s="196" t="n">
        <x:f>IFERROR(I328/F328,"")</x:f>
        <x:v>-0.17524804860504242</x:v>
      </x:c>
    </x:row>
    <x:row r="329">
      <x:c r="A329" s="186" t="str">
        <x:v>Silver</x:v>
      </x:c>
      <x:c r="B329" s="187" t="n">
        <x:v>43515</x:v>
      </x:c>
      <x:c r="C329" s="187" t="n">
        <x:v>43518</x:v>
      </x:c>
      <x:c r="D329" s="186" t="str">
        <x:v>084691-SILVER</x:v>
      </x:c>
      <x:c r="E329" s="186" t="str">
        <x:v>SILVER - COMMODITY EXCHANGE INC.</x:v>
      </x:c>
      <x:c r="F329" s="186" t="n">
        <x:v>220822</x:v>
      </x:c>
      <x:c r="G329" s="186" t="n">
        <x:v>16726</x:v>
      </x:c>
      <x:c r="H329" s="186" t="n">
        <x:v>62123</x:v>
      </x:c>
      <x:c r="I329" s="186" t="n">
        <x:f>G329-H329</x:f>
        <x:v>-45397</x:v>
      </x:c>
      <x:c r="J329" s="186" t="n">
        <x:v>48085</x:v>
      </x:c>
      <x:c r="K329" s="186" t="n">
        <x:v>76562</x:v>
      </x:c>
      <x:c r="L329" s="186" t="n">
        <x:f>J329-K329</x:f>
        <x:v>-28477</x:v>
      </x:c>
      <x:c r="M329" s="186" t="n">
        <x:v>70067</x:v>
      </x:c>
      <x:c r="N329" s="186" t="n">
        <x:v>31267</x:v>
      </x:c>
      <x:c r="O329" s="186" t="n">
        <x:f>M329-N329</x:f>
        <x:v>38800</x:v>
      </x:c>
      <x:c r="P329" s="186" t="n">
        <x:v>19068</x:v>
      </x:c>
      <x:c r="Q329" s="186" t="n">
        <x:v>7599</x:v>
      </x:c>
      <x:c r="R329" s="186" t="n">
        <x:f>P329-Q329</x:f>
        <x:v>11469</x:v>
      </x:c>
      <x:c r="S329" s="186" t="n">
        <x:v>36108</x:v>
      </x:c>
      <x:c r="T329" s="186" t="n">
        <x:v>12503</x:v>
      </x:c>
      <x:c r="U329" s="186" t="n">
        <x:f>S329-T329</x:f>
        <x:v>23605</x:v>
      </x:c>
      <x:c r="V329" s="196" t="n">
        <x:f>IFERROR(O329/F329,"")</x:f>
        <x:v>0.17570713063010027</x:v>
      </x:c>
      <x:c r="W329" s="196" t="n">
        <x:f>IFERROR(I329/F329,"")</x:f>
        <x:v>-0.2055818713715119</x:v>
      </x:c>
    </x:row>
    <x:row r="330">
      <x:c r="A330" s="186" t="str">
        <x:v>Gold</x:v>
      </x:c>
      <x:c r="B330" s="187" t="n">
        <x:v>43522</x:v>
      </x:c>
      <x:c r="C330" s="187" t="n">
        <x:v>43525</x:v>
      </x:c>
      <x:c r="D330" s="186" t="str">
        <x:v>088691-GOLD</x:v>
      </x:c>
      <x:c r="E330" s="186" t="str">
        <x:v>GOLD - COMMODITY EXCHANGE INC.</x:v>
      </x:c>
      <x:c r="F330" s="186" t="n">
        <x:v>501268</x:v>
      </x:c>
      <x:c r="G330" s="186" t="n">
        <x:v>15312</x:v>
      </x:c>
      <x:c r="H330" s="186" t="n">
        <x:v>101061</x:v>
      </x:c>
      <x:c r="I330" s="186" t="n">
        <x:f>G330-H330</x:f>
        <x:v>-85749</x:v>
      </x:c>
      <x:c r="J330" s="186" t="n">
        <x:v>102816</x:v>
      </x:c>
      <x:c r="K330" s="186" t="n">
        <x:v>176912</x:v>
      </x:c>
      <x:c r="L330" s="186" t="n">
        <x:f>J330-K330</x:f>
        <x:v>-74096</x:v>
      </x:c>
      <x:c r="M330" s="186" t="n">
        <x:v>154217</x:v>
      </x:c>
      <x:c r="N330" s="186" t="n">
        <x:v>75658</x:v>
      </x:c>
      <x:c r="O330" s="186" t="n">
        <x:f>M330-N330</x:f>
        <x:v>78559</x:v>
      </x:c>
      <x:c r="P330" s="186" t="n">
        <x:v>82618</x:v>
      </x:c>
      <x:c r="Q330" s="186" t="n">
        <x:v>25481</x:v>
      </x:c>
      <x:c r="R330" s="186" t="n">
        <x:f>P330-Q330</x:f>
        <x:v>57137</x:v>
      </x:c>
      <x:c r="S330" s="186" t="n">
        <x:v>52989</x:v>
      </x:c>
      <x:c r="T330" s="186" t="n">
        <x:v>28840</x:v>
      </x:c>
      <x:c r="U330" s="186" t="n">
        <x:f>S330-T330</x:f>
        <x:v>24149</x:v>
      </x:c>
      <x:c r="V330" s="196" t="n">
        <x:f>IFERROR(O330/F330,"")</x:f>
        <x:v>0.1567205566682892</x:v>
      </x:c>
      <x:c r="W330" s="196" t="n">
        <x:f>IFERROR(I330/F330,"")</x:f>
        <x:v>-0.17106418123638453</x:v>
      </x:c>
    </x:row>
    <x:row r="331">
      <x:c r="A331" s="186" t="str">
        <x:v>Silver</x:v>
      </x:c>
      <x:c r="B331" s="187" t="n">
        <x:v>43522</x:v>
      </x:c>
      <x:c r="C331" s="187" t="n">
        <x:v>43525</x:v>
      </x:c>
      <x:c r="D331" s="186" t="str">
        <x:v>084691-SILVER</x:v>
      </x:c>
      <x:c r="E331" s="186" t="str">
        <x:v>SILVER - COMMODITY EXCHANGE INC.</x:v>
      </x:c>
      <x:c r="F331" s="186" t="n">
        <x:v>206447</x:v>
      </x:c>
      <x:c r="G331" s="186" t="n">
        <x:v>11887</x:v>
      </x:c>
      <x:c r="H331" s="186" t="n">
        <x:v>59657</x:v>
      </x:c>
      <x:c r="I331" s="186" t="n">
        <x:f>G331-H331</x:f>
        <x:v>-47770</x:v>
      </x:c>
      <x:c r="J331" s="186" t="n">
        <x:v>48200</x:v>
      </x:c>
      <x:c r="K331" s="186" t="n">
        <x:v>78599</x:v>
      </x:c>
      <x:c r="L331" s="186" t="n">
        <x:f>J331-K331</x:f>
        <x:v>-30399</x:v>
      </x:c>
      <x:c r="M331" s="186" t="n">
        <x:v>72677</x:v>
      </x:c>
      <x:c r="N331" s="186" t="n">
        <x:v>24915</x:v>
      </x:c>
      <x:c r="O331" s="186" t="n">
        <x:f>M331-N331</x:f>
        <x:v>47762</x:v>
      </x:c>
      <x:c r="P331" s="186" t="n">
        <x:v>18294</x:v>
      </x:c>
      <x:c r="Q331" s="186" t="n">
        <x:v>7743</x:v>
      </x:c>
      <x:c r="R331" s="186" t="n">
        <x:f>P331-Q331</x:f>
        <x:v>10551</x:v>
      </x:c>
      <x:c r="S331" s="186" t="n">
        <x:v>30965</x:v>
      </x:c>
      <x:c r="T331" s="186" t="n">
        <x:v>11109</x:v>
      </x:c>
      <x:c r="U331" s="186" t="n">
        <x:f>S331-T331</x:f>
        <x:v>19856</x:v>
      </x:c>
      <x:c r="V331" s="196" t="n">
        <x:f>IFERROR(O331/F331,"")</x:f>
        <x:v>0.23135235677922178</x:v>
      </x:c>
      <x:c r="W331" s="196" t="n">
        <x:f>IFERROR(I331/F331,"")</x:f>
        <x:v>-0.23139110764506143</x:v>
      </x:c>
    </x:row>
    <x:row r="332">
      <x:c r="A332" s="186" t="str">
        <x:v>Gold</x:v>
      </x:c>
      <x:c r="B332" s="187" t="n">
        <x:v>43529</x:v>
      </x:c>
      <x:c r="C332" s="187" t="n">
        <x:v>43532</x:v>
      </x:c>
      <x:c r="D332" s="186" t="str">
        <x:v>088691-GOLD</x:v>
      </x:c>
      <x:c r="E332" s="186" t="str">
        <x:v>GOLD - COMMODITY EXCHANGE INC.</x:v>
      </x:c>
      <x:c r="F332" s="186" t="n">
        <x:v>471311</x:v>
      </x:c>
      <x:c r="G332" s="186" t="n">
        <x:v>13920</x:v>
      </x:c>
      <x:c r="H332" s="186" t="n">
        <x:v>86101</x:v>
      </x:c>
      <x:c r="I332" s="186" t="n">
        <x:f>G332-H332</x:f>
        <x:v>-72181</x:v>
      </x:c>
      <x:c r="J332" s="186" t="n">
        <x:v>105762</x:v>
      </x:c>
      <x:c r="K332" s="186" t="n">
        <x:v>147578</x:v>
      </x:c>
      <x:c r="L332" s="186" t="n">
        <x:f>J332-K332</x:f>
        <x:v>-41816</x:v>
      </x:c>
      <x:c r="M332" s="186" t="n">
        <x:v>125903</x:v>
      </x:c>
      <x:c r="N332" s="186" t="n">
        <x:v>94656</x:v>
      </x:c>
      <x:c r="O332" s="186" t="n">
        <x:f>M332-N332</x:f>
        <x:v>31247</x:v>
      </x:c>
      <x:c r="P332" s="186" t="n">
        <x:v>76725</x:v>
      </x:c>
      <x:c r="Q332" s="186" t="n">
        <x:v>19954</x:v>
      </x:c>
      <x:c r="R332" s="186" t="n">
        <x:f>P332-Q332</x:f>
        <x:v>56771</x:v>
      </x:c>
      <x:c r="S332" s="186" t="n">
        <x:v>53221</x:v>
      </x:c>
      <x:c r="T332" s="186" t="n">
        <x:v>27242</x:v>
      </x:c>
      <x:c r="U332" s="186" t="n">
        <x:f>S332-T332</x:f>
        <x:v>25979</x:v>
      </x:c>
      <x:c r="V332" s="196" t="n">
        <x:f>IFERROR(O332/F332,"")</x:f>
        <x:v>0.06629804948324991</x:v>
      </x:c>
      <x:c r="W332" s="196" t="n">
        <x:f>IFERROR(I332/F332,"")</x:f>
        <x:v>-0.15314940665505367</x:v>
      </x:c>
    </x:row>
    <x:row r="333">
      <x:c r="A333" s="186" t="str">
        <x:v>Silver</x:v>
      </x:c>
      <x:c r="B333" s="187" t="n">
        <x:v>43529</x:v>
      </x:c>
      <x:c r="C333" s="187" t="n">
        <x:v>43532</x:v>
      </x:c>
      <x:c r="D333" s="186" t="str">
        <x:v>084691-SILVER</x:v>
      </x:c>
      <x:c r="E333" s="186" t="str">
        <x:v>SILVER - COMMODITY EXCHANGE INC.</x:v>
      </x:c>
      <x:c r="F333" s="186" t="n">
        <x:v>190024</x:v>
      </x:c>
      <x:c r="G333" s="186" t="n">
        <x:v>11916</x:v>
      </x:c>
      <x:c r="H333" s="186" t="n">
        <x:v>51898</x:v>
      </x:c>
      <x:c r="I333" s="186" t="n">
        <x:f>G333-H333</x:f>
        <x:v>-39982</x:v>
      </x:c>
      <x:c r="J333" s="186" t="n">
        <x:v>48128</x:v>
      </x:c>
      <x:c r="K333" s="186" t="n">
        <x:v>60387</x:v>
      </x:c>
      <x:c r="L333" s="186" t="n">
        <x:f>J333-K333</x:f>
        <x:v>-12259</x:v>
      </x:c>
      <x:c r="M333" s="186" t="n">
        <x:v>54915</x:v>
      </x:c>
      <x:c r="N333" s="186" t="n">
        <x:v>37059</x:v>
      </x:c>
      <x:c r="O333" s="186" t="n">
        <x:f>M333-N333</x:f>
        <x:v>17856</x:v>
      </x:c>
      <x:c r="P333" s="186" t="n">
        <x:v>22039</x:v>
      </x:c>
      <x:c r="Q333" s="186" t="n">
        <x:v>7374</x:v>
      </x:c>
      <x:c r="R333" s="186" t="n">
        <x:f>P333-Q333</x:f>
        <x:v>14665</x:v>
      </x:c>
      <x:c r="S333" s="186" t="n">
        <x:v>30389</x:v>
      </x:c>
      <x:c r="T333" s="186" t="n">
        <x:v>10669</x:v>
      </x:c>
      <x:c r="U333" s="186" t="n">
        <x:f>S333-T333</x:f>
        <x:v>19720</x:v>
      </x:c>
      <x:c r="V333" s="196" t="n">
        <x:f>IFERROR(O333/F333,"")</x:f>
        <x:v>0.0939670778427988</x:v>
      </x:c>
      <x:c r="W333" s="196" t="n">
        <x:f>IFERROR(I333/F333,"")</x:f>
        <x:v>-0.21040500147349808</x:v>
      </x:c>
    </x:row>
    <x:row r="334">
      <x:c r="A334" s="186" t="str">
        <x:v>Gold</x:v>
      </x:c>
      <x:c r="B334" s="187" t="n">
        <x:v>43536</x:v>
      </x:c>
      <x:c r="C334" s="187" t="n">
        <x:v>43539</x:v>
      </x:c>
      <x:c r="D334" s="186" t="str">
        <x:v>088691-GOLD</x:v>
      </x:c>
      <x:c r="E334" s="186" t="str">
        <x:v>GOLD - COMMODITY EXCHANGE INC.</x:v>
      </x:c>
      <x:c r="F334" s="186" t="n">
        <x:v>530030</x:v>
      </x:c>
      <x:c r="G334" s="186" t="n">
        <x:v>27128</x:v>
      </x:c>
      <x:c r="H334" s="186" t="n">
        <x:v>87449</x:v>
      </x:c>
      <x:c r="I334" s="186" t="n">
        <x:f>G334-H334</x:f>
        <x:v>-60321</x:v>
      </x:c>
      <x:c r="J334" s="186" t="n">
        <x:v>104043</x:v>
      </x:c>
      <x:c r="K334" s="186" t="n">
        <x:v>152196</x:v>
      </x:c>
      <x:c r="L334" s="186" t="n">
        <x:f>J334-K334</x:f>
        <x:v>-48153</x:v>
      </x:c>
      <x:c r="M334" s="186" t="n">
        <x:v>123293</x:v>
      </x:c>
      <x:c r="N334" s="186" t="n">
        <x:v>105886</x:v>
      </x:c>
      <x:c r="O334" s="186" t="n">
        <x:f>M334-N334</x:f>
        <x:v>17407</x:v>
      </x:c>
      <x:c r="P334" s="186" t="n">
        <x:v>81957</x:v>
      </x:c>
      <x:c r="Q334" s="186" t="n">
        <x:v>20545</x:v>
      </x:c>
      <x:c r="R334" s="186" t="n">
        <x:f>P334-Q334</x:f>
        <x:v>61412</x:v>
      </x:c>
      <x:c r="S334" s="186" t="n">
        <x:v>57540</x:v>
      </x:c>
      <x:c r="T334" s="186" t="n">
        <x:v>27885</x:v>
      </x:c>
      <x:c r="U334" s="186" t="n">
        <x:f>S334-T334</x:f>
        <x:v>29655</x:v>
      </x:c>
      <x:c r="V334" s="196" t="n">
        <x:f>IFERROR(O334/F334,"")</x:f>
        <x:v>0.0328415372714752</x:v>
      </x:c>
      <x:c r="W334" s="196" t="n">
        <x:f>IFERROR(I334/F334,"")</x:f>
        <x:v>-0.11380676565477425</x:v>
      </x:c>
    </x:row>
    <x:row r="335">
      <x:c r="A335" s="186" t="str">
        <x:v>Silver</x:v>
      </x:c>
      <x:c r="B335" s="187" t="n">
        <x:v>43536</x:v>
      </x:c>
      <x:c r="C335" s="187" t="n">
        <x:v>43539</x:v>
      </x:c>
      <x:c r="D335" s="186" t="str">
        <x:v>084691-SILVER</x:v>
      </x:c>
      <x:c r="E335" s="186" t="str">
        <x:v>SILVER - COMMODITY EXCHANGE INC.</x:v>
      </x:c>
      <x:c r="F335" s="186" t="n">
        <x:v>189768</x:v>
      </x:c>
      <x:c r="G335" s="186" t="n">
        <x:v>13648</x:v>
      </x:c>
      <x:c r="H335" s="186" t="n">
        <x:v>49087</x:v>
      </x:c>
      <x:c r="I335" s="186" t="n">
        <x:f>G335-H335</x:f>
        <x:v>-35439</x:v>
      </x:c>
      <x:c r="J335" s="186" t="n">
        <x:v>47787</x:v>
      </x:c>
      <x:c r="K335" s="186" t="n">
        <x:v>58609</x:v>
      </x:c>
      <x:c r="L335" s="186" t="n">
        <x:f>J335-K335</x:f>
        <x:v>-10822</x:v>
      </x:c>
      <x:c r="M335" s="186" t="n">
        <x:v>51261</x:v>
      </x:c>
      <x:c r="N335" s="186" t="n">
        <x:v>41774</x:v>
      </x:c>
      <x:c r="O335" s="186" t="n">
        <x:f>M335-N335</x:f>
        <x:v>9487</x:v>
      </x:c>
      <x:c r="P335" s="186" t="n">
        <x:v>24922</x:v>
      </x:c>
      <x:c r="Q335" s="186" t="n">
        <x:v>7327</x:v>
      </x:c>
      <x:c r="R335" s="186" t="n">
        <x:f>P335-Q335</x:f>
        <x:v>17595</x:v>
      </x:c>
      <x:c r="S335" s="186" t="n">
        <x:v>30709</x:v>
      </x:c>
      <x:c r="T335" s="186" t="n">
        <x:v>11530</x:v>
      </x:c>
      <x:c r="U335" s="186" t="n">
        <x:f>S335-T335</x:f>
        <x:v>19179</x:v>
      </x:c>
      <x:c r="V335" s="196" t="n">
        <x:f>IFERROR(O335/F335,"")</x:f>
        <x:v>0.04999262257071793</x:v>
      </x:c>
      <x:c r="W335" s="196" t="n">
        <x:f>IFERROR(I335/F335,"")</x:f>
        <x:v>-0.18674908309093208</x:v>
      </x:c>
    </x:row>
    <x:row r="336">
      <x:c r="A336" s="186" t="str">
        <x:v>Gold</x:v>
      </x:c>
      <x:c r="B336" s="187" t="n">
        <x:v>43543</x:v>
      </x:c>
      <x:c r="C336" s="187" t="n">
        <x:v>43546</x:v>
      </x:c>
      <x:c r="D336" s="186" t="str">
        <x:v>088691-GOLD</x:v>
      </x:c>
      <x:c r="E336" s="186" t="str">
        <x:v>GOLD - COMMODITY EXCHANGE INC.</x:v>
      </x:c>
      <x:c r="F336" s="186" t="n">
        <x:v>514163</x:v>
      </x:c>
      <x:c r="G336" s="186" t="n">
        <x:v>33592</x:v>
      </x:c>
      <x:c r="H336" s="186" t="n">
        <x:v>97589</x:v>
      </x:c>
      <x:c r="I336" s="186" t="n">
        <x:f>G336-H336</x:f>
        <x:v>-63997</x:v>
      </x:c>
      <x:c r="J336" s="186" t="n">
        <x:v>99696</x:v>
      </x:c>
      <x:c r="K336" s="186" t="n">
        <x:v>151358</x:v>
      </x:c>
      <x:c r="L336" s="186" t="n">
        <x:f>J336-K336</x:f>
        <x:v>-51662</x:v>
      </x:c>
      <x:c r="M336" s="186" t="n">
        <x:v>123909</x:v>
      </x:c>
      <x:c r="N336" s="186" t="n">
        <x:v>93434</x:v>
      </x:c>
      <x:c r="O336" s="186" t="n">
        <x:f>M336-N336</x:f>
        <x:v>30475</x:v>
      </x:c>
      <x:c r="P336" s="186" t="n">
        <x:v>80416</x:v>
      </x:c>
      <x:c r="Q336" s="186" t="n">
        <x:v>22495</x:v>
      </x:c>
      <x:c r="R336" s="186" t="n">
        <x:f>P336-Q336</x:f>
        <x:v>57921</x:v>
      </x:c>
      <x:c r="S336" s="186" t="n">
        <x:v>54443</x:v>
      </x:c>
      <x:c r="T336" s="186" t="n">
        <x:v>27180</x:v>
      </x:c>
      <x:c r="U336" s="186" t="n">
        <x:f>S336-T336</x:f>
        <x:v>27263</x:v>
      </x:c>
      <x:c r="V336" s="196" t="n">
        <x:f>IFERROR(O336/F336,"")</x:f>
        <x:v>0.05927108718441428</x:v>
      </x:c>
      <x:c r="W336" s="196" t="n">
        <x:f>IFERROR(I336/F336,"")</x:f>
        <x:v>-0.12446831063300938</x:v>
      </x:c>
    </x:row>
    <x:row r="337">
      <x:c r="A337" s="186" t="str">
        <x:v>Silver</x:v>
      </x:c>
      <x:c r="B337" s="187" t="n">
        <x:v>43543</x:v>
      </x:c>
      <x:c r="C337" s="187" t="n">
        <x:v>43546</x:v>
      </x:c>
      <x:c r="D337" s="186" t="str">
        <x:v>084691-SILVER</x:v>
      </x:c>
      <x:c r="E337" s="186" t="str">
        <x:v>SILVER - COMMODITY EXCHANGE INC.</x:v>
      </x:c>
      <x:c r="F337" s="186" t="n">
        <x:v>189124</x:v>
      </x:c>
      <x:c r="G337" s="186" t="n">
        <x:v>15599</x:v>
      </x:c>
      <x:c r="H337" s="186" t="n">
        <x:v>48431</x:v>
      </x:c>
      <x:c r="I337" s="186" t="n">
        <x:f>G337-H337</x:f>
        <x:v>-32832</x:v>
      </x:c>
      <x:c r="J337" s="186" t="n">
        <x:v>48862</x:v>
      </x:c>
      <x:c r="K337" s="186" t="n">
        <x:v>59730</x:v>
      </x:c>
      <x:c r="L337" s="186" t="n">
        <x:f>J337-K337</x:f>
        <x:v>-10868</x:v>
      </x:c>
      <x:c r="M337" s="186" t="n">
        <x:v>52075</x:v>
      </x:c>
      <x:c r="N337" s="186" t="n">
        <x:v>42359</x:v>
      </x:c>
      <x:c r="O337" s="186" t="n">
        <x:f>M337-N337</x:f>
        <x:v>9716</x:v>
      </x:c>
      <x:c r="P337" s="186" t="n">
        <x:v>23121</x:v>
      </x:c>
      <x:c r="Q337" s="186" t="n">
        <x:v>9527</x:v>
      </x:c>
      <x:c r="R337" s="186" t="n">
        <x:f>P337-Q337</x:f>
        <x:v>13594</x:v>
      </x:c>
      <x:c r="S337" s="186" t="n">
        <x:v>30247</x:v>
      </x:c>
      <x:c r="T337" s="186" t="n">
        <x:v>9857</x:v>
      </x:c>
      <x:c r="U337" s="186" t="n">
        <x:f>S337-T337</x:f>
        <x:v>20390</x:v>
      </x:c>
      <x:c r="V337" s="196" t="n">
        <x:f>IFERROR(O337/F337,"")</x:f>
        <x:v>0.051373701909858085</x:v>
      </x:c>
      <x:c r="W337" s="196" t="n">
        <x:f>IFERROR(I337/F337,"")</x:f>
        <x:v>-0.17360038916266576</x:v>
      </x:c>
    </x:row>
    <x:row r="338">
      <x:c r="A338" s="186" t="str">
        <x:v>Gold</x:v>
      </x:c>
      <x:c r="B338" s="187" t="n">
        <x:v>43550</x:v>
      </x:c>
      <x:c r="C338" s="187" t="n">
        <x:v>43553</x:v>
      </x:c>
      <x:c r="D338" s="186" t="str">
        <x:v>088691-GOLD</x:v>
      </x:c>
      <x:c r="E338" s="186" t="str">
        <x:v>GOLD - COMMODITY EXCHANGE INC.</x:v>
      </x:c>
      <x:c r="F338" s="186" t="n">
        <x:v>509575</x:v>
      </x:c>
      <x:c r="G338" s="186" t="n">
        <x:v>14704</x:v>
      </x:c>
      <x:c r="H338" s="186" t="n">
        <x:v>84053</x:v>
      </x:c>
      <x:c r="I338" s="186" t="n">
        <x:f>G338-H338</x:f>
        <x:v>-69349</x:v>
      </x:c>
      <x:c r="J338" s="186" t="n">
        <x:v>96748</x:v>
      </x:c>
      <x:c r="K338" s="186" t="n">
        <x:v>178833</x:v>
      </x:c>
      <x:c r="L338" s="186" t="n">
        <x:f>J338-K338</x:f>
        <x:v>-82085</x:v>
      </x:c>
      <x:c r="M338" s="186" t="n">
        <x:v>135373</x:v>
      </x:c>
      <x:c r="N338" s="186" t="n">
        <x:v>77386</x:v>
      </x:c>
      <x:c r="O338" s="186" t="n">
        <x:f>M338-N338</x:f>
        <x:v>57987</x:v>
      </x:c>
      <x:c r="P338" s="186" t="n">
        <x:v>79524</x:v>
      </x:c>
      <x:c r="Q338" s="186" t="n">
        <x:v>17573</x:v>
      </x:c>
      <x:c r="R338" s="186" t="n">
        <x:f>P338-Q338</x:f>
        <x:v>61951</x:v>
      </x:c>
      <x:c r="S338" s="186" t="n">
        <x:v>64270</x:v>
      </x:c>
      <x:c r="T338" s="186" t="n">
        <x:v>32774</x:v>
      </x:c>
      <x:c r="U338" s="186" t="n">
        <x:f>S338-T338</x:f>
        <x:v>31496</x:v>
      </x:c>
      <x:c r="V338" s="196" t="n">
        <x:f>IFERROR(O338/F338,"")</x:f>
        <x:v>0.11379482902418682</x:v>
      </x:c>
      <x:c r="W338" s="196" t="n">
        <x:f>IFERROR(I338/F338,"")</x:f>
        <x:v>-0.13609184124024923</x:v>
      </x:c>
    </x:row>
    <x:row r="339">
      <x:c r="A339" s="186" t="str">
        <x:v>Silver</x:v>
      </x:c>
      <x:c r="B339" s="187" t="n">
        <x:v>43550</x:v>
      </x:c>
      <x:c r="C339" s="187" t="n">
        <x:v>43553</x:v>
      </x:c>
      <x:c r="D339" s="186" t="str">
        <x:v>084691-SILVER</x:v>
      </x:c>
      <x:c r="E339" s="186" t="str">
        <x:v>SILVER - COMMODITY EXCHANGE INC.</x:v>
      </x:c>
      <x:c r="F339" s="186" t="n">
        <x:v>192676</x:v>
      </x:c>
      <x:c r="G339" s="186" t="n">
        <x:v>15846</x:v>
      </x:c>
      <x:c r="H339" s="186" t="n">
        <x:v>50208</x:v>
      </x:c>
      <x:c r="I339" s="186" t="n">
        <x:f>G339-H339</x:f>
        <x:v>-34362</x:v>
      </x:c>
      <x:c r="J339" s="186" t="n">
        <x:v>49458</x:v>
      </x:c>
      <x:c r="K339" s="186" t="n">
        <x:v>61812</x:v>
      </x:c>
      <x:c r="L339" s="186" t="n">
        <x:f>J339-K339</x:f>
        <x:v>-12354</x:v>
      </x:c>
      <x:c r="M339" s="186" t="n">
        <x:v>52510</x:v>
      </x:c>
      <x:c r="N339" s="186" t="n">
        <x:v>40204</x:v>
      </x:c>
      <x:c r="O339" s="186" t="n">
        <x:f>M339-N339</x:f>
        <x:v>12306</x:v>
      </x:c>
      <x:c r="P339" s="186" t="n">
        <x:v>24031</x:v>
      </x:c>
      <x:c r="Q339" s="186" t="n">
        <x:v>9660</x:v>
      </x:c>
      <x:c r="R339" s="186" t="n">
        <x:f>P339-Q339</x:f>
        <x:v>14371</x:v>
      </x:c>
      <x:c r="S339" s="186" t="n">
        <x:v>30471</x:v>
      </x:c>
      <x:c r="T339" s="186" t="n">
        <x:v>10432</x:v>
      </x:c>
      <x:c r="U339" s="186" t="n">
        <x:f>S339-T339</x:f>
        <x:v>20039</x:v>
      </x:c>
      <x:c r="V339" s="196" t="n">
        <x:f>IFERROR(O339/F339,"")</x:f>
        <x:v>0.06386887832423342</x:v>
      </x:c>
      <x:c r="W339" s="196" t="n">
        <x:f>IFERROR(I339/F339,"")</x:f>
        <x:v>-0.17834084162012914</x:v>
      </x:c>
    </x:row>
    <x:row r="340">
      <x:c r="A340" s="186" t="str">
        <x:v>Gold</x:v>
      </x:c>
      <x:c r="B340" s="187" t="n">
        <x:v>43557</x:v>
      </x:c>
      <x:c r="C340" s="187" t="n">
        <x:v>43560</x:v>
      </x:c>
      <x:c r="D340" s="186" t="str">
        <x:v>088691-GOLD</x:v>
      </x:c>
      <x:c r="E340" s="186" t="str">
        <x:v>GOLD - COMMODITY EXCHANGE INC.</x:v>
      </x:c>
      <x:c r="F340" s="186" t="n">
        <x:v>440170</x:v>
      </x:c>
      <x:c r="G340" s="186" t="n">
        <x:v>16339</x:v>
      </x:c>
      <x:c r="H340" s="186" t="n">
        <x:v>74574</x:v>
      </x:c>
      <x:c r="I340" s="186" t="n">
        <x:f>G340-H340</x:f>
        <x:v>-58235</x:v>
      </x:c>
      <x:c r="J340" s="186" t="n">
        <x:v>98592</x:v>
      </x:c>
      <x:c r="K340" s="186" t="n">
        <x:v>158587</x:v>
      </x:c>
      <x:c r="L340" s="186" t="n">
        <x:f>J340-K340</x:f>
        <x:v>-59995</x:v>
      </x:c>
      <x:c r="M340" s="186" t="n">
        <x:v>110816</x:v>
      </x:c>
      <x:c r="N340" s="186" t="n">
        <x:v>86198</x:v>
      </x:c>
      <x:c r="O340" s="186" t="n">
        <x:f>M340-N340</x:f>
        <x:v>24618</x:v>
      </x:c>
      <x:c r="P340" s="186" t="n">
        <x:v>82968</x:v>
      </x:c>
      <x:c r="Q340" s="186" t="n">
        <x:v>13030</x:v>
      </x:c>
      <x:c r="R340" s="186" t="n">
        <x:f>P340-Q340</x:f>
        <x:v>69938</x:v>
      </x:c>
      <x:c r="S340" s="186" t="n">
        <x:v>50046</x:v>
      </x:c>
      <x:c r="T340" s="186" t="n">
        <x:v>26372</x:v>
      </x:c>
      <x:c r="U340" s="186" t="n">
        <x:f>S340-T340</x:f>
        <x:v>23674</x:v>
      </x:c>
      <x:c r="V340" s="196" t="n">
        <x:f>IFERROR(O340/F340,"")</x:f>
        <x:v>0.05592839130336007</x:v>
      </x:c>
      <x:c r="W340" s="196" t="n">
        <x:f>IFERROR(I340/F340,"")</x:f>
        <x:v>-0.13230115637140197</x:v>
      </x:c>
    </x:row>
    <x:row r="341">
      <x:c r="A341" s="186" t="str">
        <x:v>Silver</x:v>
      </x:c>
      <x:c r="B341" s="187" t="n">
        <x:v>43557</x:v>
      </x:c>
      <x:c r="C341" s="187" t="n">
        <x:v>43560</x:v>
      </x:c>
      <x:c r="D341" s="186" t="str">
        <x:v>084691-SILVER</x:v>
      </x:c>
      <x:c r="E341" s="186" t="str">
        <x:v>SILVER - COMMODITY EXCHANGE INC.</x:v>
      </x:c>
      <x:c r="F341" s="186" t="n">
        <x:v>199592</x:v>
      </x:c>
      <x:c r="G341" s="186" t="n">
        <x:v>16840</x:v>
      </x:c>
      <x:c r="H341" s="186" t="n">
        <x:v>46515</x:v>
      </x:c>
      <x:c r="I341" s="186" t="n">
        <x:f>G341-H341</x:f>
        <x:v>-29675</x:v>
      </x:c>
      <x:c r="J341" s="186" t="n">
        <x:v>48910</x:v>
      </x:c>
      <x:c r="K341" s="186" t="n">
        <x:v>53593</x:v>
      </x:c>
      <x:c r="L341" s="186" t="n">
        <x:f>J341-K341</x:f>
        <x:v>-4683</x:v>
      </x:c>
      <x:c r="M341" s="186" t="n">
        <x:v>52136</x:v>
      </x:c>
      <x:c r="N341" s="186" t="n">
        <x:v>53860</x:v>
      </x:c>
      <x:c r="O341" s="186" t="n">
        <x:f>M341-N341</x:f>
        <x:v>-1724</x:v>
      </x:c>
      <x:c r="P341" s="186" t="n">
        <x:v>26857</x:v>
      </x:c>
      <x:c r="Q341" s="186" t="n">
        <x:v>8350</x:v>
      </x:c>
      <x:c r="R341" s="186" t="n">
        <x:f>P341-Q341</x:f>
        <x:v>18507</x:v>
      </x:c>
      <x:c r="S341" s="186" t="n">
        <x:v>30480</x:v>
      </x:c>
      <x:c r="T341" s="186" t="n">
        <x:v>12905</x:v>
      </x:c>
      <x:c r="U341" s="186" t="n">
        <x:f>S341-T341</x:f>
        <x:v>17575</x:v>
      </x:c>
      <x:c r="V341" s="196" t="n">
        <x:f>IFERROR(O341/F341,"")</x:f>
        <x:v>-0.008637620746322497</x:v>
      </x:c>
      <x:c r="W341" s="196" t="n">
        <x:f>IFERROR(I341/F341,"")</x:f>
        <x:v>-0.14867830373962884</x:v>
      </x:c>
    </x:row>
    <x:row r="342">
      <x:c r="A342" s="186" t="str">
        <x:v>Gold</x:v>
      </x:c>
      <x:c r="B342" s="187" t="n">
        <x:v>43564</x:v>
      </x:c>
      <x:c r="C342" s="187" t="n">
        <x:v>43567</x:v>
      </x:c>
      <x:c r="D342" s="186" t="str">
        <x:v>088691-GOLD</x:v>
      </x:c>
      <x:c r="E342" s="186" t="str">
        <x:v>GOLD - COMMODITY EXCHANGE INC.</x:v>
      </x:c>
      <x:c r="F342" s="186" t="n">
        <x:v>447539</x:v>
      </x:c>
      <x:c r="G342" s="186" t="n">
        <x:v>16242</x:v>
      </x:c>
      <x:c r="H342" s="186" t="n">
        <x:v>75839</x:v>
      </x:c>
      <x:c r="I342" s="186" t="n">
        <x:f>G342-H342</x:f>
        <x:v>-59597</x:v>
      </x:c>
      <x:c r="J342" s="186" t="n">
        <x:v>89285</x:v>
      </x:c>
      <x:c r="K342" s="186" t="n">
        <x:v>162497</x:v>
      </x:c>
      <x:c r="L342" s="186" t="n">
        <x:f>J342-K342</x:f>
        <x:v>-73212</x:v>
      </x:c>
      <x:c r="M342" s="186" t="n">
        <x:v>117917</x:v>
      </x:c>
      <x:c r="N342" s="186" t="n">
        <x:v>80880</x:v>
      </x:c>
      <x:c r="O342" s="186" t="n">
        <x:f>M342-N342</x:f>
        <x:v>37037</x:v>
      </x:c>
      <x:c r="P342" s="186" t="n">
        <x:v>81590</x:v>
      </x:c>
      <x:c r="Q342" s="186" t="n">
        <x:v>13263</x:v>
      </x:c>
      <x:c r="R342" s="186" t="n">
        <x:f>P342-Q342</x:f>
        <x:v>68327</x:v>
      </x:c>
      <x:c r="S342" s="186" t="n">
        <x:v>54449</x:v>
      </x:c>
      <x:c r="T342" s="186" t="n">
        <x:v>27004</x:v>
      </x:c>
      <x:c r="U342" s="186" t="n">
        <x:f>S342-T342</x:f>
        <x:v>27445</x:v>
      </x:c>
      <x:c r="V342" s="196" t="n">
        <x:f>IFERROR(O342/F342,"")</x:f>
        <x:v>0.0827570334652399</x:v>
      </x:c>
      <x:c r="W342" s="196" t="n">
        <x:f>IFERROR(I342/F342,"")</x:f>
        <x:v>-0.13316604809860147</x:v>
      </x:c>
    </x:row>
    <x:row r="343">
      <x:c r="A343" s="186" t="str">
        <x:v>Silver</x:v>
      </x:c>
      <x:c r="B343" s="187" t="n">
        <x:v>43564</x:v>
      </x:c>
      <x:c r="C343" s="187" t="n">
        <x:v>43567</x:v>
      </x:c>
      <x:c r="D343" s="186" t="str">
        <x:v>084691-SILVER</x:v>
      </x:c>
      <x:c r="E343" s="186" t="str">
        <x:v>SILVER - COMMODITY EXCHANGE INC.</x:v>
      </x:c>
      <x:c r="F343" s="186" t="n">
        <x:v>208784</x:v>
      </x:c>
      <x:c r="G343" s="186" t="n">
        <x:v>19730</x:v>
      </x:c>
      <x:c r="H343" s="186" t="n">
        <x:v>51920</x:v>
      </x:c>
      <x:c r="I343" s="186" t="n">
        <x:f>G343-H343</x:f>
        <x:v>-32190</x:v>
      </x:c>
      <x:c r="J343" s="186" t="n">
        <x:v>49028</x:v>
      </x:c>
      <x:c r="K343" s="186" t="n">
        <x:v>54600</x:v>
      </x:c>
      <x:c r="L343" s="186" t="n">
        <x:f>J343-K343</x:f>
        <x:v>-5572</x:v>
      </x:c>
      <x:c r="M343" s="186" t="n">
        <x:v>49563</x:v>
      </x:c>
      <x:c r="N343" s="186" t="n">
        <x:v>52095</x:v>
      </x:c>
      <x:c r="O343" s="186" t="n">
        <x:f>M343-N343</x:f>
        <x:v>-2532</x:v>
      </x:c>
      <x:c r="P343" s="186" t="n">
        <x:v>26847</x:v>
      </x:c>
      <x:c r="Q343" s="186" t="n">
        <x:v>7897</x:v>
      </x:c>
      <x:c r="R343" s="186" t="n">
        <x:f>P343-Q343</x:f>
        <x:v>18950</x:v>
      </x:c>
      <x:c r="S343" s="186" t="n">
        <x:v>34545</x:v>
      </x:c>
      <x:c r="T343" s="186" t="n">
        <x:v>13201</x:v>
      </x:c>
      <x:c r="U343" s="186" t="n">
        <x:f>S343-T343</x:f>
        <x:v>21344</x:v>
      </x:c>
      <x:c r="V343" s="196" t="n">
        <x:f>IFERROR(O343/F343,"")</x:f>
        <x:v>-0.012127366081692084</x:v>
      </x:c>
      <x:c r="W343" s="196" t="n">
        <x:f>IFERROR(I343/F343,"")</x:f>
        <x:v>-0.15417848110966356</x:v>
      </x:c>
    </x:row>
    <x:row r="344">
      <x:c r="A344" s="186" t="str">
        <x:v>Gold</x:v>
      </x:c>
      <x:c r="B344" s="187" t="n">
        <x:v>43571</x:v>
      </x:c>
      <x:c r="C344" s="187" t="n">
        <x:v>43574</x:v>
      </x:c>
      <x:c r="D344" s="186" t="str">
        <x:v>088691-GOLD</x:v>
      </x:c>
      <x:c r="E344" s="186" t="str">
        <x:v>GOLD - COMMODITY EXCHANGE INC.</x:v>
      </x:c>
      <x:c r="F344" s="186" t="n">
        <x:v>440581</x:v>
      </x:c>
      <x:c r="G344" s="186" t="n">
        <x:v>18586</x:v>
      </x:c>
      <x:c r="H344" s="186" t="n">
        <x:v>61796</x:v>
      </x:c>
      <x:c r="I344" s="186" t="n">
        <x:f>G344-H344</x:f>
        <x:v>-43210</x:v>
      </x:c>
      <x:c r="J344" s="186" t="n">
        <x:v>102113</x:v>
      </x:c>
      <x:c r="K344" s="186" t="n">
        <x:v>137333</x:v>
      </x:c>
      <x:c r="L344" s="186" t="n">
        <x:f>J344-K344</x:f>
        <x:v>-35220</x:v>
      </x:c>
      <x:c r="M344" s="186" t="n">
        <x:v>96196</x:v>
      </x:c>
      <x:c r="N344" s="186" t="n">
        <x:v>111583</x:v>
      </x:c>
      <x:c r="O344" s="186" t="n">
        <x:f>M344-N344</x:f>
        <x:v>-15387</x:v>
      </x:c>
      <x:c r="P344" s="186" t="n">
        <x:v>87017</x:v>
      </x:c>
      <x:c r="Q344" s="186" t="n">
        <x:v>15357</x:v>
      </x:c>
      <x:c r="R344" s="186" t="n">
        <x:f>P344-Q344</x:f>
        <x:v>71660</x:v>
      </x:c>
      <x:c r="S344" s="186" t="n">
        <x:v>53222</x:v>
      </x:c>
      <x:c r="T344" s="186" t="n">
        <x:v>31065</x:v>
      </x:c>
      <x:c r="U344" s="186" t="n">
        <x:f>S344-T344</x:f>
        <x:v>22157</x:v>
      </x:c>
      <x:c r="V344" s="196" t="n">
        <x:f>IFERROR(O344/F344,"")</x:f>
        <x:v>-0.03492433854387729</x:v>
      </x:c>
      <x:c r="W344" s="196" t="n">
        <x:f>IFERROR(I344/F344,"")</x:f>
        <x:v>-0.09807504181977889</x:v>
      </x:c>
    </x:row>
    <x:row r="345">
      <x:c r="A345" s="186" t="str">
        <x:v>Silver</x:v>
      </x:c>
      <x:c r="B345" s="187" t="n">
        <x:v>43571</x:v>
      </x:c>
      <x:c r="C345" s="187" t="n">
        <x:v>43574</x:v>
      </x:c>
      <x:c r="D345" s="186" t="str">
        <x:v>084691-SILVER</x:v>
      </x:c>
      <x:c r="E345" s="186" t="str">
        <x:v>SILVER - COMMODITY EXCHANGE INC.</x:v>
      </x:c>
      <x:c r="F345" s="186" t="n">
        <x:v>224783</x:v>
      </x:c>
      <x:c r="G345" s="186" t="n">
        <x:v>26261</x:v>
      </x:c>
      <x:c r="H345" s="186" t="n">
        <x:v>53830</x:v>
      </x:c>
      <x:c r="I345" s="186" t="n">
        <x:f>G345-H345</x:f>
        <x:v>-27569</x:v>
      </x:c>
      <x:c r="J345" s="186" t="n">
        <x:v>48916</x:v>
      </x:c>
      <x:c r="K345" s="186" t="n">
        <x:v>45019</x:v>
      </x:c>
      <x:c r="L345" s="186" t="n">
        <x:f>J345-K345</x:f>
        <x:v>3897</x:v>
      </x:c>
      <x:c r="M345" s="186" t="n">
        <x:v>49990</x:v>
      </x:c>
      <x:c r="N345" s="186" t="n">
        <x:v>60918</x:v>
      </x:c>
      <x:c r="O345" s="186" t="n">
        <x:f>M345-N345</x:f>
        <x:v>-10928</x:v>
      </x:c>
      <x:c r="P345" s="186" t="n">
        <x:v>26043</x:v>
      </x:c>
      <x:c r="Q345" s="186" t="n">
        <x:v>9230</x:v>
      </x:c>
      <x:c r="R345" s="186" t="n">
        <x:f>P345-Q345</x:f>
        <x:v>16813</x:v>
      </x:c>
      <x:c r="S345" s="186" t="n">
        <x:v>33642</x:v>
      </x:c>
      <x:c r="T345" s="186" t="n">
        <x:v>15855</x:v>
      </x:c>
      <x:c r="U345" s="186" t="n">
        <x:f>S345-T345</x:f>
        <x:v>17787</x:v>
      </x:c>
      <x:c r="V345" s="196" t="n">
        <x:f>IFERROR(O345/F345,"")</x:f>
        <x:v>-0.04861577610406481</x:v>
      </x:c>
      <x:c r="W345" s="196" t="n">
        <x:f>IFERROR(I345/F345,"")</x:f>
        <x:v>-0.12264717527571035</x:v>
      </x:c>
    </x:row>
    <x:row r="346">
      <x:c r="A346" s="186" t="str">
        <x:v>Gold</x:v>
      </x:c>
      <x:c r="B346" s="187" t="n">
        <x:v>43578</x:v>
      </x:c>
      <x:c r="C346" s="187" t="n">
        <x:v>43581</x:v>
      </x:c>
      <x:c r="D346" s="186" t="str">
        <x:v>088691-GOLD</x:v>
      </x:c>
      <x:c r="E346" s="186" t="str">
        <x:v>GOLD - COMMODITY EXCHANGE INC.</x:v>
      </x:c>
      <x:c r="F346" s="186" t="n">
        <x:v>440048</x:v>
      </x:c>
      <x:c r="G346" s="186" t="n">
        <x:v>17090</x:v>
      </x:c>
      <x:c r="H346" s="186" t="n">
        <x:v>53073</x:v>
      </x:c>
      <x:c r="I346" s="186" t="n">
        <x:f>G346-H346</x:f>
        <x:v>-35983</x:v>
      </x:c>
      <x:c r="J346" s="186" t="n">
        <x:v>111538</x:v>
      </x:c>
      <x:c r="K346" s="186" t="n">
        <x:v>132951</x:v>
      </x:c>
      <x:c r="L346" s="186" t="n">
        <x:f>J346-K346</x:f>
        <x:v>-21413</x:v>
      </x:c>
      <x:c r="M346" s="186" t="n">
        <x:v>88989</x:v>
      </x:c>
      <x:c r="N346" s="186" t="n">
        <x:v>122818</x:v>
      </x:c>
      <x:c r="O346" s="186" t="n">
        <x:f>M346-N346</x:f>
        <x:v>-33829</x:v>
      </x:c>
      <x:c r="P346" s="186" t="n">
        <x:v>87702</x:v>
      </x:c>
      <x:c r="Q346" s="186" t="n">
        <x:v>16478</x:v>
      </x:c>
      <x:c r="R346" s="186" t="n">
        <x:f>P346-Q346</x:f>
        <x:v>71224</x:v>
      </x:c>
      <x:c r="S346" s="186" t="n">
        <x:v>49655</x:v>
      </x:c>
      <x:c r="T346" s="186" t="n">
        <x:v>29654</x:v>
      </x:c>
      <x:c r="U346" s="186" t="n">
        <x:f>S346-T346</x:f>
        <x:v>20001</x:v>
      </x:c>
      <x:c r="V346" s="196" t="n">
        <x:f>IFERROR(O346/F346,"")</x:f>
        <x:v>-0.07687570446860342</x:v>
      </x:c>
      <x:c r="W346" s="196" t="n">
        <x:f>IFERROR(I346/F346,"")</x:f>
        <x:v>-0.0817706250227248</x:v>
      </x:c>
    </x:row>
    <x:row r="347">
      <x:c r="A347" s="186" t="str">
        <x:v>Silver</x:v>
      </x:c>
      <x:c r="B347" s="187" t="n">
        <x:v>43578</x:v>
      </x:c>
      <x:c r="C347" s="187" t="n">
        <x:v>43581</x:v>
      </x:c>
      <x:c r="D347" s="186" t="str">
        <x:v>084691-SILVER</x:v>
      </x:c>
      <x:c r="E347" s="186" t="str">
        <x:v>SILVER - COMMODITY EXCHANGE INC.</x:v>
      </x:c>
      <x:c r="F347" s="186" t="n">
        <x:v>219113</x:v>
      </x:c>
      <x:c r="G347" s="186" t="n">
        <x:v>27520</x:v>
      </x:c>
      <x:c r="H347" s="186" t="n">
        <x:v>54414</x:v>
      </x:c>
      <x:c r="I347" s="186" t="n">
        <x:f>G347-H347</x:f>
        <x:v>-26894</x:v>
      </x:c>
      <x:c r="J347" s="186" t="n">
        <x:v>50872</x:v>
      </x:c>
      <x:c r="K347" s="186" t="n">
        <x:v>43970</x:v>
      </x:c>
      <x:c r="L347" s="186" t="n">
        <x:f>J347-K347</x:f>
        <x:v>6902</x:v>
      </x:c>
      <x:c r="M347" s="186" t="n">
        <x:v>49667</x:v>
      </x:c>
      <x:c r="N347" s="186" t="n">
        <x:v>67206</x:v>
      </x:c>
      <x:c r="O347" s="186" t="n">
        <x:f>M347-N347</x:f>
        <x:v>-17539</x:v>
      </x:c>
      <x:c r="P347" s="186" t="n">
        <x:v>26222</x:v>
      </x:c>
      <x:c r="Q347" s="186" t="n">
        <x:v>8793</x:v>
      </x:c>
      <x:c r="R347" s="186" t="n">
        <x:f>P347-Q347</x:f>
        <x:v>17429</x:v>
      </x:c>
      <x:c r="S347" s="186" t="n">
        <x:v>34709</x:v>
      </x:c>
      <x:c r="T347" s="186" t="n">
        <x:v>14607</x:v>
      </x:c>
      <x:c r="U347" s="186" t="n">
        <x:f>S347-T347</x:f>
        <x:v>20102</x:v>
      </x:c>
      <x:c r="V347" s="196" t="n">
        <x:f>IFERROR(O347/F347,"")</x:f>
        <x:v>-0.08004545599759029</x:v>
      </x:c>
      <x:c r="W347" s="196" t="n">
        <x:f>IFERROR(I347/F347,"")</x:f>
        <x:v>-0.12274032120412755</x:v>
      </x:c>
    </x:row>
    <x:row r="348">
      <x:c r="A348" s="186" t="str">
        <x:v>Gold</x:v>
      </x:c>
      <x:c r="B348" s="187" t="n">
        <x:v>43585</x:v>
      </x:c>
      <x:c r="C348" s="187" t="n">
        <x:v>43588</x:v>
      </x:c>
      <x:c r="D348" s="186" t="str">
        <x:v>088691-GOLD</x:v>
      </x:c>
      <x:c r="E348" s="186" t="str">
        <x:v>GOLD - COMMODITY EXCHANGE INC.</x:v>
      </x:c>
      <x:c r="F348" s="186" t="n">
        <x:v>430011</x:v>
      </x:c>
      <x:c r="G348" s="186" t="n">
        <x:v>16898</x:v>
      </x:c>
      <x:c r="H348" s="186" t="n">
        <x:v>67873</x:v>
      </x:c>
      <x:c r="I348" s="186" t="n">
        <x:f>G348-H348</x:f>
        <x:v>-50975</x:v>
      </x:c>
      <x:c r="J348" s="186" t="n">
        <x:v>107267</x:v>
      </x:c>
      <x:c r="K348" s="186" t="n">
        <x:v>144604</x:v>
      </x:c>
      <x:c r="L348" s="186" t="n">
        <x:f>J348-K348</x:f>
        <x:v>-37337</x:v>
      </x:c>
      <x:c r="M348" s="186" t="n">
        <x:v>95159</x:v>
      </x:c>
      <x:c r="N348" s="186" t="n">
        <x:v>95083</x:v>
      </x:c>
      <x:c r="O348" s="186" t="n">
        <x:f>M348-N348</x:f>
        <x:v>76</x:v>
      </x:c>
      <x:c r="P348" s="186" t="n">
        <x:v>82116</x:v>
      </x:c>
      <x:c r="Q348" s="186" t="n">
        <x:v>15973</x:v>
      </x:c>
      <x:c r="R348" s="186" t="n">
        <x:f>P348-Q348</x:f>
        <x:v>66143</x:v>
      </x:c>
      <x:c r="S348" s="186" t="n">
        <x:v>49143</x:v>
      </x:c>
      <x:c r="T348" s="186" t="n">
        <x:v>27050</x:v>
      </x:c>
      <x:c r="U348" s="186" t="n">
        <x:f>S348-T348</x:f>
        <x:v>22093</x:v>
      </x:c>
      <x:c r="V348" s="196" t="n">
        <x:f>IFERROR(O348/F348,"")</x:f>
        <x:v>0.00017673966479927257</x:v>
      </x:c>
      <x:c r="W348" s="196" t="n">
        <x:f>IFERROR(I348/F348,"")</x:f>
        <x:v>-0.11854347912030157</x:v>
      </x:c>
    </x:row>
    <x:row r="349">
      <x:c r="A349" s="186" t="str">
        <x:v>Silver</x:v>
      </x:c>
      <x:c r="B349" s="187" t="n">
        <x:v>43585</x:v>
      </x:c>
      <x:c r="C349" s="187" t="n">
        <x:v>43588</x:v>
      </x:c>
      <x:c r="D349" s="186" t="str">
        <x:v>084691-SILVER</x:v>
      </x:c>
      <x:c r="E349" s="186" t="str">
        <x:v>SILVER - COMMODITY EXCHANGE INC.</x:v>
      </x:c>
      <x:c r="F349" s="186" t="n">
        <x:v>196610</x:v>
      </x:c>
      <x:c r="G349" s="186" t="n">
        <x:v>20345</x:v>
      </x:c>
      <x:c r="H349" s="186" t="n">
        <x:v>44472</x:v>
      </x:c>
      <x:c r="I349" s="186" t="n">
        <x:f>G349-H349</x:f>
        <x:v>-24127</x:v>
      </x:c>
      <x:c r="J349" s="186" t="n">
        <x:v>50733</x:v>
      </x:c>
      <x:c r="K349" s="186" t="n">
        <x:v>47966</x:v>
      </x:c>
      <x:c r="L349" s="186" t="n">
        <x:f>J349-K349</x:f>
        <x:v>2767</x:v>
      </x:c>
      <x:c r="M349" s="186" t="n">
        <x:v>52260</x:v>
      </x:c>
      <x:c r="N349" s="186" t="n">
        <x:v>65998</x:v>
      </x:c>
      <x:c r="O349" s="186" t="n">
        <x:f>M349-N349</x:f>
        <x:v>-13738</x:v>
      </x:c>
      <x:c r="P349" s="186" t="n">
        <x:v>24860</x:v>
      </x:c>
      <x:c r="Q349" s="186" t="n">
        <x:v>8986</x:v>
      </x:c>
      <x:c r="R349" s="186" t="n">
        <x:f>P349-Q349</x:f>
        <x:v>15874</x:v>
      </x:c>
      <x:c r="S349" s="186" t="n">
        <x:v>30050</x:v>
      </x:c>
      <x:c r="T349" s="186" t="n">
        <x:v>10826</x:v>
      </x:c>
      <x:c r="U349" s="186" t="n">
        <x:f>S349-T349</x:f>
        <x:v>19224</x:v>
      </x:c>
      <x:c r="V349" s="196" t="n">
        <x:f>IFERROR(O349/F349,"")</x:f>
        <x:v>-0.06987437058135396</x:v>
      </x:c>
      <x:c r="W349" s="196" t="n">
        <x:f>IFERROR(I349/F349,"")</x:f>
        <x:v>-0.12271501958191343</x:v>
      </x:c>
    </x:row>
    <x:row r="350">
      <x:c r="A350" s="186" t="str">
        <x:v>Gold</x:v>
      </x:c>
      <x:c r="B350" s="187" t="n">
        <x:v>43592</x:v>
      </x:c>
      <x:c r="C350" s="187" t="n">
        <x:v>43595</x:v>
      </x:c>
      <x:c r="D350" s="186" t="str">
        <x:v>088691-GOLD</x:v>
      </x:c>
      <x:c r="E350" s="186" t="str">
        <x:v>GOLD - COMMODITY EXCHANGE INC.</x:v>
      </x:c>
      <x:c r="F350" s="186" t="n">
        <x:v>450039</x:v>
      </x:c>
      <x:c r="G350" s="186" t="n">
        <x:v>19282</x:v>
      </x:c>
      <x:c r="H350" s="186" t="n">
        <x:v>67234</x:v>
      </x:c>
      <x:c r="I350" s="186" t="n">
        <x:f>G350-H350</x:f>
        <x:v>-47952</x:v>
      </x:c>
      <x:c r="J350" s="186" t="n">
        <x:v>97242</x:v>
      </x:c>
      <x:c r="K350" s="186" t="n">
        <x:v>145649</x:v>
      </x:c>
      <x:c r="L350" s="186" t="n">
        <x:f>J350-K350</x:f>
        <x:v>-48407</x:v>
      </x:c>
      <x:c r="M350" s="186" t="n">
        <x:v>102975</x:v>
      </x:c>
      <x:c r="N350" s="186" t="n">
        <x:v>93428</x:v>
      </x:c>
      <x:c r="O350" s="186" t="n">
        <x:f>M350-N350</x:f>
        <x:v>9547</x:v>
      </x:c>
      <x:c r="P350" s="186" t="n">
        <x:v>82826</x:v>
      </x:c>
      <x:c r="Q350" s="186" t="n">
        <x:v>16962</x:v>
      </x:c>
      <x:c r="R350" s="186" t="n">
        <x:f>P350-Q350</x:f>
        <x:v>65864</x:v>
      </x:c>
      <x:c r="S350" s="186" t="n">
        <x:v>49100</x:v>
      </x:c>
      <x:c r="T350" s="186" t="n">
        <x:v>28152</x:v>
      </x:c>
      <x:c r="U350" s="186" t="n">
        <x:f>S350-T350</x:f>
        <x:v>20948</x:v>
      </x:c>
      <x:c r="V350" s="196" t="n">
        <x:f>IFERROR(O350/F350,"")</x:f>
        <x:v>0.02121371703341266</x:v>
      </x:c>
      <x:c r="W350" s="196" t="n">
        <x:f>IFERROR(I350/F350,"")</x:f>
        <x:v>-0.10655076560031464</x:v>
      </x:c>
    </x:row>
    <x:row r="351">
      <x:c r="A351" s="186" t="str">
        <x:v>Silver</x:v>
      </x:c>
      <x:c r="B351" s="187" t="n">
        <x:v>43592</x:v>
      </x:c>
      <x:c r="C351" s="187" t="n">
        <x:v>43595</x:v>
      </x:c>
      <x:c r="D351" s="186" t="str">
        <x:v>084691-SILVER</x:v>
      </x:c>
      <x:c r="E351" s="186" t="str">
        <x:v>SILVER - COMMODITY EXCHANGE INC.</x:v>
      </x:c>
      <x:c r="F351" s="186" t="n">
        <x:v>199467</x:v>
      </x:c>
      <x:c r="G351" s="186" t="n">
        <x:v>23979</x:v>
      </x:c>
      <x:c r="H351" s="186" t="n">
        <x:v>42642</x:v>
      </x:c>
      <x:c r="I351" s="186" t="n">
        <x:f>G351-H351</x:f>
        <x:v>-18663</x:v>
      </x:c>
      <x:c r="J351" s="186" t="n">
        <x:v>49881</x:v>
      </x:c>
      <x:c r="K351" s="186" t="n">
        <x:v>47877</x:v>
      </x:c>
      <x:c r="L351" s="186" t="n">
        <x:f>J351-K351</x:f>
        <x:v>2004</x:v>
      </x:c>
      <x:c r="M351" s="186" t="n">
        <x:v>56211</x:v>
      </x:c>
      <x:c r="N351" s="186" t="n">
        <x:v>70350</x:v>
      </x:c>
      <x:c r="O351" s="186" t="n">
        <x:f>M351-N351</x:f>
        <x:v>-14139</x:v>
      </x:c>
      <x:c r="P351" s="186" t="n">
        <x:v>21135</x:v>
      </x:c>
      <x:c r="Q351" s="186" t="n">
        <x:v>7953</x:v>
      </x:c>
      <x:c r="R351" s="186" t="n">
        <x:f>P351-Q351</x:f>
        <x:v>13182</x:v>
      </x:c>
      <x:c r="S351" s="186" t="n">
        <x:v>29745</x:v>
      </x:c>
      <x:c r="T351" s="186" t="n">
        <x:v>12129</x:v>
      </x:c>
      <x:c r="U351" s="186" t="n">
        <x:f>S351-T351</x:f>
        <x:v>17616</x:v>
      </x:c>
      <x:c r="V351" s="196" t="n">
        <x:f>IFERROR(O351/F351,"")</x:f>
        <x:v>-0.07088390560844651</x:v>
      </x:c>
      <x:c r="W351" s="196" t="n">
        <x:f>IFERROR(I351/F351,"")</x:f>
        <x:v>-0.0935643489900585</x:v>
      </x:c>
    </x:row>
    <x:row r="352">
      <x:c r="A352" s="186" t="str">
        <x:v>Gold</x:v>
      </x:c>
      <x:c r="B352" s="187" t="n">
        <x:v>43599</x:v>
      </x:c>
      <x:c r="C352" s="187" t="n">
        <x:v>43602</x:v>
      </x:c>
      <x:c r="D352" s="186" t="str">
        <x:v>088691-GOLD</x:v>
      </x:c>
      <x:c r="E352" s="186" t="str">
        <x:v>GOLD - COMMODITY EXCHANGE INC.</x:v>
      </x:c>
      <x:c r="F352" s="186" t="n">
        <x:v>517995</x:v>
      </x:c>
      <x:c r="G352" s="186" t="n">
        <x:v>37635</x:v>
      </x:c>
      <x:c r="H352" s="186" t="n">
        <x:v>102517</x:v>
      </x:c>
      <x:c r="I352" s="186" t="n">
        <x:f>G352-H352</x:f>
        <x:v>-64882</x:v>
      </x:c>
      <x:c r="J352" s="186" t="n">
        <x:v>93005</x:v>
      </x:c>
      <x:c r="K352" s="186" t="n">
        <x:v>165306</x:v>
      </x:c>
      <x:c r="L352" s="186" t="n">
        <x:f>J352-K352</x:f>
        <x:v>-72301</x:v>
      </x:c>
      <x:c r="M352" s="186" t="n">
        <x:v>138467</x:v>
      </x:c>
      <x:c r="N352" s="186" t="n">
        <x:v>85921</x:v>
      </x:c>
      <x:c r="O352" s="186" t="n">
        <x:f>M352-N352</x:f>
        <x:v>52546</x:v>
      </x:c>
      <x:c r="P352" s="186" t="n">
        <x:v>87894</x:v>
      </x:c>
      <x:c r="Q352" s="186" t="n">
        <x:v>15904</x:v>
      </x:c>
      <x:c r="R352" s="186" t="n">
        <x:f>P352-Q352</x:f>
        <x:v>71990</x:v>
      </x:c>
      <x:c r="S352" s="186" t="n">
        <x:v>53431</x:v>
      </x:c>
      <x:c r="T352" s="186" t="n">
        <x:v>40784</x:v>
      </x:c>
      <x:c r="U352" s="186" t="n">
        <x:f>S352-T352</x:f>
        <x:v>12647</x:v>
      </x:c>
      <x:c r="V352" s="196" t="n">
        <x:f>IFERROR(O352/F352,"")</x:f>
        <x:v>0.1014411336016757</x:v>
      </x:c>
      <x:c r="W352" s="196" t="n">
        <x:f>IFERROR(I352/F352,"")</x:f>
        <x:v>-0.1252560352899159</x:v>
      </x:c>
    </x:row>
    <x:row r="353">
      <x:c r="A353" s="186" t="str">
        <x:v>Silver</x:v>
      </x:c>
      <x:c r="B353" s="187" t="n">
        <x:v>43599</x:v>
      </x:c>
      <x:c r="C353" s="187" t="n">
        <x:v>43602</x:v>
      </x:c>
      <x:c r="D353" s="186" t="str">
        <x:v>084691-SILVER</x:v>
      </x:c>
      <x:c r="E353" s="186" t="str">
        <x:v>SILVER - COMMODITY EXCHANGE INC.</x:v>
      </x:c>
      <x:c r="F353" s="186" t="n">
        <x:v>203788</x:v>
      </x:c>
      <x:c r="G353" s="186" t="n">
        <x:v>26120</x:v>
      </x:c>
      <x:c r="H353" s="186" t="n">
        <x:v>46745</x:v>
      </x:c>
      <x:c r="I353" s="186" t="n">
        <x:f>G353-H353</x:f>
        <x:v>-20625</x:v>
      </x:c>
      <x:c r="J353" s="186" t="n">
        <x:v>50220</x:v>
      </x:c>
      <x:c r="K353" s="186" t="n">
        <x:v>42373</x:v>
      </x:c>
      <x:c r="L353" s="186" t="n">
        <x:f>J353-K353</x:f>
        <x:v>7847</x:v>
      </x:c>
      <x:c r="M353" s="186" t="n">
        <x:v>57135</x:v>
      </x:c>
      <x:c r="N353" s="186" t="n">
        <x:v>71332</x:v>
      </x:c>
      <x:c r="O353" s="186" t="n">
        <x:f>M353-N353</x:f>
        <x:v>-14197</x:v>
      </x:c>
      <x:c r="P353" s="186" t="n">
        <x:v>20407</x:v>
      </x:c>
      <x:c r="Q353" s="186" t="n">
        <x:v>8419</x:v>
      </x:c>
      <x:c r="R353" s="186" t="n">
        <x:f>P353-Q353</x:f>
        <x:v>11988</x:v>
      </x:c>
      <x:c r="S353" s="186" t="n">
        <x:v>31077</x:v>
      </x:c>
      <x:c r="T353" s="186" t="n">
        <x:v>16090</x:v>
      </x:c>
      <x:c r="U353" s="186" t="n">
        <x:f>S353-T353</x:f>
        <x:v>14987</x:v>
      </x:c>
      <x:c r="V353" s="196" t="n">
        <x:f>IFERROR(O353/F353,"")</x:f>
        <x:v>-0.06966553477142913</x:v>
      </x:c>
      <x:c r="W353" s="196" t="n">
        <x:f>IFERROR(I353/F353,"")</x:f>
        <x:v>-0.10120811824052446</x:v>
      </x:c>
    </x:row>
    <x:row r="354">
      <x:c r="A354" s="186" t="str">
        <x:v>Gold</x:v>
      </x:c>
      <x:c r="B354" s="187" t="n">
        <x:v>43606</x:v>
      </x:c>
      <x:c r="C354" s="187" t="n">
        <x:v>43609</x:v>
      </x:c>
      <x:c r="D354" s="186" t="str">
        <x:v>088691-GOLD</x:v>
      </x:c>
      <x:c r="E354" s="186" t="str">
        <x:v>GOLD - COMMODITY EXCHANGE INC.</x:v>
      </x:c>
      <x:c r="F354" s="186" t="n">
        <x:v>508643</x:v>
      </x:c>
      <x:c r="G354" s="186" t="n">
        <x:v>42131</x:v>
      </x:c>
      <x:c r="H354" s="186" t="n">
        <x:v>104863</x:v>
      </x:c>
      <x:c r="I354" s="186" t="n">
        <x:f>G354-H354</x:f>
        <x:v>-62732</x:v>
      </x:c>
      <x:c r="J354" s="186" t="n">
        <x:v>97934</x:v>
      </x:c>
      <x:c r="K354" s="186" t="n">
        <x:v>143140</x:v>
      </x:c>
      <x:c r="L354" s="186" t="n">
        <x:f>J354-K354</x:f>
        <x:v>-45206</x:v>
      </x:c>
      <x:c r="M354" s="186" t="n">
        <x:v>114986</x:v>
      </x:c>
      <x:c r="N354" s="186" t="n">
        <x:v>99049</x:v>
      </x:c>
      <x:c r="O354" s="186" t="n">
        <x:f>M354-N354</x:f>
        <x:v>15937</x:v>
      </x:c>
      <x:c r="P354" s="186" t="n">
        <x:v>88642</x:v>
      </x:c>
      <x:c r="Q354" s="186" t="n">
        <x:v>15774</x:v>
      </x:c>
      <x:c r="R354" s="186" t="n">
        <x:f>P354-Q354</x:f>
        <x:v>72868</x:v>
      </x:c>
      <x:c r="S354" s="186" t="n">
        <x:v>53655</x:v>
      </x:c>
      <x:c r="T354" s="186" t="n">
        <x:v>34522</x:v>
      </x:c>
      <x:c r="U354" s="186" t="n">
        <x:f>S354-T354</x:f>
        <x:v>19133</x:v>
      </x:c>
      <x:c r="V354" s="196" t="n">
        <x:f>IFERROR(O354/F354,"")</x:f>
        <x:v>0.03133238833523709</x:v>
      </x:c>
      <x:c r="W354" s="196" t="n">
        <x:f>IFERROR(I354/F354,"")</x:f>
        <x:v>-0.12333208163682582</x:v>
      </x:c>
    </x:row>
    <x:row r="355">
      <x:c r="A355" s="186" t="str">
        <x:v>Silver</x:v>
      </x:c>
      <x:c r="B355" s="187" t="n">
        <x:v>43606</x:v>
      </x:c>
      <x:c r="C355" s="187" t="n">
        <x:v>43609</x:v>
      </x:c>
      <x:c r="D355" s="186" t="str">
        <x:v>084691-SILVER</x:v>
      </x:c>
      <x:c r="E355" s="186" t="str">
        <x:v>SILVER - COMMODITY EXCHANGE INC.</x:v>
      </x:c>
      <x:c r="F355" s="186" t="n">
        <x:v>210356</x:v>
      </x:c>
      <x:c r="G355" s="186" t="n">
        <x:v>27992</x:v>
      </x:c>
      <x:c r="H355" s="186" t="n">
        <x:v>46577</x:v>
      </x:c>
      <x:c r="I355" s="186" t="n">
        <x:f>G355-H355</x:f>
        <x:v>-18585</x:v>
      </x:c>
      <x:c r="J355" s="186" t="n">
        <x:v>51475</x:v>
      </x:c>
      <x:c r="K355" s="186" t="n">
        <x:v>38073</x:v>
      </x:c>
      <x:c r="L355" s="186" t="n">
        <x:f>J355-K355</x:f>
        <x:v>13402</x:v>
      </x:c>
      <x:c r="M355" s="186" t="n">
        <x:v>52557</x:v>
      </x:c>
      <x:c r="N355" s="186" t="n">
        <x:v>81988</x:v>
      </x:c>
      <x:c r="O355" s="186" t="n">
        <x:f>M355-N355</x:f>
        <x:v>-29431</x:v>
      </x:c>
      <x:c r="P355" s="186" t="n">
        <x:v>22925</x:v>
      </x:c>
      <x:c r="Q355" s="186" t="n">
        <x:v>8156</x:v>
      </x:c>
      <x:c r="R355" s="186" t="n">
        <x:f>P355-Q355</x:f>
        <x:v>14769</x:v>
      </x:c>
      <x:c r="S355" s="186" t="n">
        <x:v>33298</x:v>
      </x:c>
      <x:c r="T355" s="186" t="n">
        <x:v>13453</x:v>
      </x:c>
      <x:c r="U355" s="186" t="n">
        <x:f>S355-T355</x:f>
        <x:v>19845</x:v>
      </x:c>
      <x:c r="V355" s="196" t="n">
        <x:f>IFERROR(O355/F355,"")</x:f>
        <x:v>-0.1399104375439731</x:v>
      </x:c>
      <x:c r="W355" s="196" t="n">
        <x:f>IFERROR(I355/F355,"")</x:f>
        <x:v>-0.08835022533229382</x:v>
      </x:c>
    </x:row>
    <x:row r="356">
      <x:c r="A356" s="186" t="str">
        <x:v>Gold</x:v>
      </x:c>
      <x:c r="B356" s="187" t="n">
        <x:v>43613</x:v>
      </x:c>
      <x:c r="C356" s="187" t="n">
        <x:v>43616</x:v>
      </x:c>
      <x:c r="D356" s="186" t="str">
        <x:v>088691-GOLD</x:v>
      </x:c>
      <x:c r="E356" s="186" t="str">
        <x:v>GOLD - COMMODITY EXCHANGE INC.</x:v>
      </x:c>
      <x:c r="F356" s="186" t="n">
        <x:v>505126</x:v>
      </x:c>
      <x:c r="G356" s="186" t="n">
        <x:v>47857</x:v>
      </x:c>
      <x:c r="H356" s="186" t="n">
        <x:v>110653</x:v>
      </x:c>
      <x:c r="I356" s="186" t="n">
        <x:f>G356-H356</x:f>
        <x:v>-62796</x:v>
      </x:c>
      <x:c r="J356" s="186" t="n">
        <x:v>101915</x:v>
      </x:c>
      <x:c r="K356" s="186" t="n">
        <x:v>149073</x:v>
      </x:c>
      <x:c r="L356" s="186" t="n">
        <x:f>J356-K356</x:f>
        <x:v>-47158</x:v>
      </x:c>
      <x:c r="M356" s="186" t="n">
        <x:v>119314</x:v>
      </x:c>
      <x:c r="N356" s="186" t="n">
        <x:v>93040</x:v>
      </x:c>
      <x:c r="O356" s="186" t="n">
        <x:f>M356-N356</x:f>
        <x:v>26274</x:v>
      </x:c>
      <x:c r="P356" s="186" t="n">
        <x:v>75149</x:v>
      </x:c>
      <x:c r="Q356" s="186" t="n">
        <x:v>14735</x:v>
      </x:c>
      <x:c r="R356" s="186" t="n">
        <x:f>P356-Q356</x:f>
        <x:v>60414</x:v>
      </x:c>
      <x:c r="S356" s="186" t="n">
        <x:v>57167</x:v>
      </x:c>
      <x:c r="T356" s="186" t="n">
        <x:v>33901</x:v>
      </x:c>
      <x:c r="U356" s="186" t="n">
        <x:f>S356-T356</x:f>
        <x:v>23266</x:v>
      </x:c>
      <x:c r="V356" s="196" t="n">
        <x:f>IFERROR(O356/F356,"")</x:f>
        <x:v>0.05201474483594192</x:v>
      </x:c>
      <x:c r="W356" s="196" t="n">
        <x:f>IFERROR(I356/F356,"")</x:f>
        <x:v>-0.12431749702054537</x:v>
      </x:c>
    </x:row>
    <x:row r="357">
      <x:c r="A357" s="186" t="str">
        <x:v>Silver</x:v>
      </x:c>
      <x:c r="B357" s="187" t="n">
        <x:v>43613</x:v>
      </x:c>
      <x:c r="C357" s="187" t="n">
        <x:v>43616</x:v>
      </x:c>
      <x:c r="D357" s="186" t="str">
        <x:v>084691-SILVER</x:v>
      </x:c>
      <x:c r="E357" s="186" t="str">
        <x:v>SILVER - COMMODITY EXCHANGE INC.</x:v>
      </x:c>
      <x:c r="F357" s="186" t="n">
        <x:v>217605</x:v>
      </x:c>
      <x:c r="G357" s="186" t="n">
        <x:v>29784</x:v>
      </x:c>
      <x:c r="H357" s="186" t="n">
        <x:v>46607</x:v>
      </x:c>
      <x:c r="I357" s="186" t="n">
        <x:f>G357-H357</x:f>
        <x:v>-16823</x:v>
      </x:c>
      <x:c r="J357" s="186" t="n">
        <x:v>53227</x:v>
      </x:c>
      <x:c r="K357" s="186" t="n">
        <x:v>35289</x:v>
      </x:c>
      <x:c r="L357" s="186" t="n">
        <x:f>J357-K357</x:f>
        <x:v>17938</x:v>
      </x:c>
      <x:c r="M357" s="186" t="n">
        <x:v>49913</x:v>
      </x:c>
      <x:c r="N357" s="186" t="n">
        <x:v>87920</x:v>
      </x:c>
      <x:c r="O357" s="186" t="n">
        <x:f>M357-N357</x:f>
        <x:v>-38007</x:v>
      </x:c>
      <x:c r="P357" s="186" t="n">
        <x:v>23750</x:v>
      </x:c>
      <x:c r="Q357" s="186" t="n">
        <x:v>8152</x:v>
      </x:c>
      <x:c r="R357" s="186" t="n">
        <x:f>P357-Q357</x:f>
        <x:v>15598</x:v>
      </x:c>
      <x:c r="S357" s="186" t="n">
        <x:v>35741</x:v>
      </x:c>
      <x:c r="T357" s="186" t="n">
        <x:v>14447</x:v>
      </x:c>
      <x:c r="U357" s="186" t="n">
        <x:f>S357-T357</x:f>
        <x:v>21294</x:v>
      </x:c>
      <x:c r="V357" s="196" t="n">
        <x:f>IFERROR(O357/F357,"")</x:f>
        <x:v>-0.1746605087199283</x:v>
      </x:c>
      <x:c r="W357" s="196" t="n">
        <x:f>IFERROR(I357/F357,"")</x:f>
        <x:v>-0.07730980446221364</x:v>
      </x:c>
    </x:row>
    <x:row r="358">
      <x:c r="A358" s="186" t="str">
        <x:v>Gold</x:v>
      </x:c>
      <x:c r="B358" s="187" t="n">
        <x:v>43620</x:v>
      </x:c>
      <x:c r="C358" s="187" t="n">
        <x:v>43623</x:v>
      </x:c>
      <x:c r="D358" s="186" t="str">
        <x:v>088691-GOLD</x:v>
      </x:c>
      <x:c r="E358" s="186" t="str">
        <x:v>GOLD - COMMODITY EXCHANGE INC.</x:v>
      </x:c>
      <x:c r="F358" s="186" t="n">
        <x:v>481495</x:v>
      </x:c>
      <x:c r="G358" s="186" t="n">
        <x:v>19523</x:v>
      </x:c>
      <x:c r="H358" s="186" t="n">
        <x:v>106293</x:v>
      </x:c>
      <x:c r="I358" s="186" t="n">
        <x:f>G358-H358</x:f>
        <x:v>-86770</x:v>
      </x:c>
      <x:c r="J358" s="186" t="n">
        <x:v>92611</x:v>
      </x:c>
      <x:c r="K358" s="186" t="n">
        <x:v>178417</x:v>
      </x:c>
      <x:c r="L358" s="186" t="n">
        <x:f>J358-K358</x:f>
        <x:v>-85806</x:v>
      </x:c>
      <x:c r="M358" s="186" t="n">
        <x:v>159663</x:v>
      </x:c>
      <x:c r="N358" s="186" t="n">
        <x:v>63481</x:v>
      </x:c>
      <x:c r="O358" s="186" t="n">
        <x:f>M358-N358</x:f>
        <x:v>96182</x:v>
      </x:c>
      <x:c r="P358" s="186" t="n">
        <x:v>80814</x:v>
      </x:c>
      <x:c r="Q358" s="186" t="n">
        <x:v>20881</x:v>
      </x:c>
      <x:c r="R358" s="186" t="n">
        <x:f>P358-Q358</x:f>
        <x:v>59933</x:v>
      </x:c>
      <x:c r="S358" s="186" t="n">
        <x:v>51603</x:v>
      </x:c>
      <x:c r="T358" s="186" t="n">
        <x:v>35142</x:v>
      </x:c>
      <x:c r="U358" s="186" t="n">
        <x:f>S358-T358</x:f>
        <x:v>16461</x:v>
      </x:c>
      <x:c r="V358" s="196" t="n">
        <x:f>IFERROR(O358/F358,"")</x:f>
        <x:v>0.19975700682250075</x:v>
      </x:c>
      <x:c r="W358" s="196" t="n">
        <x:f>IFERROR(I358/F358,"")</x:f>
        <x:v>-0.18020955565478353</x:v>
      </x:c>
    </x:row>
    <x:row r="359">
      <x:c r="A359" s="186" t="str">
        <x:v>Silver</x:v>
      </x:c>
      <x:c r="B359" s="187" t="n">
        <x:v>43620</x:v>
      </x:c>
      <x:c r="C359" s="187" t="n">
        <x:v>43623</x:v>
      </x:c>
      <x:c r="D359" s="186" t="str">
        <x:v>084691-SILVER</x:v>
      </x:c>
      <x:c r="E359" s="186" t="str">
        <x:v>SILVER - COMMODITY EXCHANGE INC.</x:v>
      </x:c>
      <x:c r="F359" s="186" t="n">
        <x:v>216145</x:v>
      </x:c>
      <x:c r="G359" s="186" t="n">
        <x:v>26060</x:v>
      </x:c>
      <x:c r="H359" s="186" t="n">
        <x:v>50293</x:v>
      </x:c>
      <x:c r="I359" s="186" t="n">
        <x:f>G359-H359</x:f>
        <x:v>-24233</x:v>
      </x:c>
      <x:c r="J359" s="186" t="n">
        <x:v>50952</x:v>
      </x:c>
      <x:c r="K359" s="186" t="n">
        <x:v>39008</x:v>
      </x:c>
      <x:c r="L359" s="186" t="n">
        <x:f>J359-K359</x:f>
        <x:v>11944</x:v>
      </x:c>
      <x:c r="M359" s="186" t="n">
        <x:v>57223</x:v>
      </x:c>
      <x:c r="N359" s="186" t="n">
        <x:v>76759</x:v>
      </x:c>
      <x:c r="O359" s="186" t="n">
        <x:f>M359-N359</x:f>
        <x:v>-19536</x:v>
      </x:c>
      <x:c r="P359" s="186" t="n">
        <x:v>19430</x:v>
      </x:c>
      <x:c r="Q359" s="186" t="n">
        <x:v>8337</x:v>
      </x:c>
      <x:c r="R359" s="186" t="n">
        <x:f>P359-Q359</x:f>
        <x:v>11093</x:v>
      </x:c>
      <x:c r="S359" s="186" t="n">
        <x:v>35097</x:v>
      </x:c>
      <x:c r="T359" s="186" t="n">
        <x:v>14365</x:v>
      </x:c>
      <x:c r="U359" s="186" t="n">
        <x:f>S359-T359</x:f>
        <x:v>20732</x:v>
      </x:c>
      <x:c r="V359" s="196" t="n">
        <x:f>IFERROR(O359/F359,"")</x:f>
        <x:v>-0.09038377015429457</x:v>
      </x:c>
      <x:c r="W359" s="196" t="n">
        <x:f>IFERROR(I359/F359,"")</x:f>
        <x:v>-0.11211455273080571</x:v>
      </x:c>
    </x:row>
    <x:row r="360">
      <x:c r="A360" s="186" t="str">
        <x:v>Gold</x:v>
      </x:c>
      <x:c r="B360" s="187" t="n">
        <x:v>43627</x:v>
      </x:c>
      <x:c r="C360" s="187" t="n">
        <x:v>43630</x:v>
      </x:c>
      <x:c r="D360" s="186" t="str">
        <x:v>088691-GOLD</x:v>
      </x:c>
      <x:c r="E360" s="186" t="str">
        <x:v>GOLD - COMMODITY EXCHANGE INC.</x:v>
      </x:c>
      <x:c r="F360" s="186" t="n">
        <x:v>496663</x:v>
      </x:c>
      <x:c r="G360" s="186" t="n">
        <x:v>22226</x:v>
      </x:c>
      <x:c r="H360" s="186" t="n">
        <x:v>114842</x:v>
      </x:c>
      <x:c r="I360" s="186" t="n">
        <x:f>G360-H360</x:f>
        <x:v>-92616</x:v>
      </x:c>
      <x:c r="J360" s="186" t="n">
        <x:v>95607</x:v>
      </x:c>
      <x:c r="K360" s="186" t="n">
        <x:v>205018</x:v>
      </x:c>
      <x:c r="L360" s="186" t="n">
        <x:f>J360-K360</x:f>
        <x:v>-109411</x:v>
      </x:c>
      <x:c r="M360" s="186" t="n">
        <x:v>169640</x:v>
      </x:c>
      <x:c r="N360" s="186" t="n">
        <x:v>40480</x:v>
      </x:c>
      <x:c r="O360" s="186" t="n">
        <x:f>M360-N360</x:f>
        <x:v>129160</x:v>
      </x:c>
      <x:c r="P360" s="186" t="n">
        <x:v>80474</x:v>
      </x:c>
      <x:c r="Q360" s="186" t="n">
        <x:v>25396</x:v>
      </x:c>
      <x:c r="R360" s="186" t="n">
        <x:f>P360-Q360</x:f>
        <x:v>55078</x:v>
      </x:c>
      <x:c r="S360" s="186" t="n">
        <x:v>48995</x:v>
      </x:c>
      <x:c r="T360" s="186" t="n">
        <x:v>31206</x:v>
      </x:c>
      <x:c r="U360" s="186" t="n">
        <x:f>S360-T360</x:f>
        <x:v>17789</x:v>
      </x:c>
      <x:c r="V360" s="196" t="n">
        <x:f>IFERROR(O360/F360,"")</x:f>
        <x:v>0.26005561114880715</x:v>
      </x:c>
      <x:c r="W360" s="196" t="n">
        <x:f>IFERROR(I360/F360,"")</x:f>
        <x:v>-0.18647654445771075</x:v>
      </x:c>
    </x:row>
    <x:row r="361">
      <x:c r="A361" s="186" t="str">
        <x:v>Silver</x:v>
      </x:c>
      <x:c r="B361" s="187" t="n">
        <x:v>43627</x:v>
      </x:c>
      <x:c r="C361" s="187" t="n">
        <x:v>43630</x:v>
      </x:c>
      <x:c r="D361" s="186" t="str">
        <x:v>084691-SILVER</x:v>
      </x:c>
      <x:c r="E361" s="186" t="str">
        <x:v>SILVER - COMMODITY EXCHANGE INC.</x:v>
      </x:c>
      <x:c r="F361" s="186" t="n">
        <x:v>226513</x:v>
      </x:c>
      <x:c r="G361" s="186" t="n">
        <x:v>26768</x:v>
      </x:c>
      <x:c r="H361" s="186" t="n">
        <x:v>55378</x:v>
      </x:c>
      <x:c r="I361" s="186" t="n">
        <x:f>G361-H361</x:f>
        <x:v>-28610</x:v>
      </x:c>
      <x:c r="J361" s="186" t="n">
        <x:v>51024</x:v>
      </x:c>
      <x:c r="K361" s="186" t="n">
        <x:v>47605</x:v>
      </x:c>
      <x:c r="L361" s="186" t="n">
        <x:f>J361-K361</x:f>
        <x:v>3419</x:v>
      </x:c>
      <x:c r="M361" s="186" t="n">
        <x:v>65783</x:v>
      </x:c>
      <x:c r="N361" s="186" t="n">
        <x:v>73843</x:v>
      </x:c>
      <x:c r="O361" s="186" t="n">
        <x:f>M361-N361</x:f>
        <x:v>-8060</x:v>
      </x:c>
      <x:c r="P361" s="186" t="n">
        <x:v>19442</x:v>
      </x:c>
      <x:c r="Q361" s="186" t="n">
        <x:v>8722</x:v>
      </x:c>
      <x:c r="R361" s="186" t="n">
        <x:f>P361-Q361</x:f>
        <x:v>10720</x:v>
      </x:c>
      <x:c r="S361" s="186" t="n">
        <x:v>36497</x:v>
      </x:c>
      <x:c r="T361" s="186" t="n">
        <x:v>13966</x:v>
      </x:c>
      <x:c r="U361" s="186" t="n">
        <x:f>S361-T361</x:f>
        <x:v>22531</x:v>
      </x:c>
      <x:c r="V361" s="196" t="n">
        <x:f>IFERROR(O361/F361,"")</x:f>
        <x:v>-0.03558294667414232</x:v>
      </x:c>
      <x:c r="W361" s="196" t="n">
        <x:f>IFERROR(I361/F361,"")</x:f>
        <x:v>-0.1263062164202496</x:v>
      </x:c>
    </x:row>
    <x:row r="362">
      <x:c r="A362" s="186" t="str">
        <x:v>Gold</x:v>
      </x:c>
      <x:c r="B362" s="187" t="n">
        <x:v>43634</x:v>
      </x:c>
      <x:c r="C362" s="187" t="n">
        <x:v>43637</x:v>
      </x:c>
      <x:c r="D362" s="186" t="str">
        <x:v>088691-GOLD</x:v>
      </x:c>
      <x:c r="E362" s="186" t="str">
        <x:v>GOLD - COMMODITY EXCHANGE INC.</x:v>
      </x:c>
      <x:c r="F362" s="186" t="n">
        <x:v>525636</x:v>
      </x:c>
      <x:c r="G362" s="186" t="n">
        <x:v>22520</x:v>
      </x:c>
      <x:c r="H362" s="186" t="n">
        <x:v>124772</x:v>
      </x:c>
      <x:c r="I362" s="186" t="n">
        <x:f>G362-H362</x:f>
        <x:v>-102252</x:v>
      </x:c>
      <x:c r="J362" s="186" t="n">
        <x:v>99745</x:v>
      </x:c>
      <x:c r="K362" s="186" t="n">
        <x:v>221348</x:v>
      </x:c>
      <x:c r="L362" s="186" t="n">
        <x:f>J362-K362</x:f>
        <x:v>-121603</x:v>
      </x:c>
      <x:c r="M362" s="186" t="n">
        <x:v>191766</x:v>
      </x:c>
      <x:c r="N362" s="186" t="n">
        <x:v>41250</x:v>
      </x:c>
      <x:c r="O362" s="186" t="n">
        <x:f>M362-N362</x:f>
        <x:v>150516</x:v>
      </x:c>
      <x:c r="P362" s="186" t="n">
        <x:v>82867</x:v>
      </x:c>
      <x:c r="Q362" s="186" t="n">
        <x:v>29060</x:v>
      </x:c>
      <x:c r="R362" s="186" t="n">
        <x:f>P362-Q362</x:f>
        <x:v>53807</x:v>
      </x:c>
      <x:c r="S362" s="186" t="n">
        <x:v>52355</x:v>
      </x:c>
      <x:c r="T362" s="186" t="n">
        <x:v>32823</x:v>
      </x:c>
      <x:c r="U362" s="186" t="n">
        <x:f>S362-T362</x:f>
        <x:v>19532</x:v>
      </x:c>
      <x:c r="V362" s="196" t="n">
        <x:f>IFERROR(O362/F362,"")</x:f>
        <x:v>0.2863502499828779</x:v>
      </x:c>
      <x:c r="W362" s="196" t="n">
        <x:f>IFERROR(I362/F362,"")</x:f>
        <x:v>-0.19453005501906262</x:v>
      </x:c>
    </x:row>
    <x:row r="363">
      <x:c r="A363" s="186" t="str">
        <x:v>Silver</x:v>
      </x:c>
      <x:c r="B363" s="187" t="n">
        <x:v>43634</x:v>
      </x:c>
      <x:c r="C363" s="187" t="n">
        <x:v>43637</x:v>
      </x:c>
      <x:c r="D363" s="186" t="str">
        <x:v>084691-SILVER</x:v>
      </x:c>
      <x:c r="E363" s="186" t="str">
        <x:v>SILVER - COMMODITY EXCHANGE INC.</x:v>
      </x:c>
      <x:c r="F363" s="186" t="n">
        <x:v>239466</x:v>
      </x:c>
      <x:c r="G363" s="186" t="n">
        <x:v>26882</x:v>
      </x:c>
      <x:c r="H363" s="186" t="n">
        <x:v>57196</x:v>
      </x:c>
      <x:c r="I363" s="186" t="n">
        <x:f>G363-H363</x:f>
        <x:v>-30314</x:v>
      </x:c>
      <x:c r="J363" s="186" t="n">
        <x:v>51304</x:v>
      </x:c>
      <x:c r="K363" s="186" t="n">
        <x:v>55477</x:v>
      </x:c>
      <x:c r="L363" s="186" t="n">
        <x:f>J363-K363</x:f>
        <x:v>-4173</x:v>
      </x:c>
      <x:c r="M363" s="186" t="n">
        <x:v>73187</x:v>
      </x:c>
      <x:c r="N363" s="186" t="n">
        <x:v>68872</x:v>
      </x:c>
      <x:c r="O363" s="186" t="n">
        <x:f>M363-N363</x:f>
        <x:v>4315</x:v>
      </x:c>
      <x:c r="P363" s="186" t="n">
        <x:v>20088</x:v>
      </x:c>
      <x:c r="Q363" s="186" t="n">
        <x:v>9887</x:v>
      </x:c>
      <x:c r="R363" s="186" t="n">
        <x:f>P363-Q363</x:f>
        <x:v>10201</x:v>
      </x:c>
      <x:c r="S363" s="186" t="n">
        <x:v>33455</x:v>
      </x:c>
      <x:c r="T363" s="186" t="n">
        <x:v>13484</x:v>
      </x:c>
      <x:c r="U363" s="186" t="n">
        <x:f>S363-T363</x:f>
        <x:v>19971</x:v>
      </x:c>
      <x:c r="V363" s="196" t="n">
        <x:f>IFERROR(O363/F363,"")</x:f>
        <x:v>0.018019259519096657</x:v>
      </x:c>
      <x:c r="W363" s="196" t="n">
        <x:f>IFERROR(I363/F363,"")</x:f>
        <x:v>-0.1265899960745993</x:v>
      </x:c>
    </x:row>
    <x:row r="364">
      <x:c r="A364" s="186" t="str">
        <x:v>Gold</x:v>
      </x:c>
      <x:c r="B364" s="187" t="n">
        <x:v>43641</x:v>
      </x:c>
      <x:c r="C364" s="187" t="n">
        <x:v>43644</x:v>
      </x:c>
      <x:c r="D364" s="186" t="str">
        <x:v>088691-GOLD</x:v>
      </x:c>
      <x:c r="E364" s="186" t="str">
        <x:v>GOLD - COMMODITY EXCHANGE INC.</x:v>
      </x:c>
      <x:c r="F364" s="186" t="n">
        <x:v>577605</x:v>
      </x:c>
      <x:c r="G364" s="186" t="n">
        <x:v>27515</x:v>
      </x:c>
      <x:c r="H364" s="186" t="n">
        <x:v>155003</x:v>
      </x:c>
      <x:c r="I364" s="186" t="n">
        <x:f>G364-H364</x:f>
        <x:v>-127488</x:v>
      </x:c>
      <x:c r="J364" s="186" t="n">
        <x:v>110102</x:v>
      </x:c>
      <x:c r="K364" s="186" t="n">
        <x:v>242764</x:v>
      </x:c>
      <x:c r="L364" s="186" t="n">
        <x:f>J364-K364</x:f>
        <x:v>-132662</x:v>
      </x:c>
      <x:c r="M364" s="186" t="n">
        <x:v>204918</x:v>
      </x:c>
      <x:c r="N364" s="186" t="n">
        <x:v>27177</x:v>
      </x:c>
      <x:c r="O364" s="186" t="n">
        <x:f>M364-N364</x:f>
        <x:v>177741</x:v>
      </x:c>
      <x:c r="P364" s="186" t="n">
        <x:v>93190</x:v>
      </x:c>
      <x:c r="Q364" s="186" t="n">
        <x:v>34377</x:v>
      </x:c>
      <x:c r="R364" s="186" t="n">
        <x:f>P364-Q364</x:f>
        <x:v>58813</x:v>
      </x:c>
      <x:c r="S364" s="186" t="n">
        <x:v>59428</x:v>
      </x:c>
      <x:c r="T364" s="186" t="n">
        <x:v>35832</x:v>
      </x:c>
      <x:c r="U364" s="186" t="n">
        <x:f>S364-T364</x:f>
        <x:v>23596</x:v>
      </x:c>
      <x:c r="V364" s="196" t="n">
        <x:f>IFERROR(O364/F364,"")</x:f>
        <x:v>0.3077206741631392</x:v>
      </x:c>
      <x:c r="W364" s="196" t="n">
        <x:f>IFERROR(I364/F364,"")</x:f>
        <x:v>-0.22071831095644948</x:v>
      </x:c>
    </x:row>
    <x:row r="365">
      <x:c r="A365" s="186" t="str">
        <x:v>Silver</x:v>
      </x:c>
      <x:c r="B365" s="187" t="n">
        <x:v>43641</x:v>
      </x:c>
      <x:c r="C365" s="187" t="n">
        <x:v>43644</x:v>
      </x:c>
      <x:c r="D365" s="186" t="str">
        <x:v>084691-SILVER</x:v>
      </x:c>
      <x:c r="E365" s="186" t="str">
        <x:v>SILVER - COMMODITY EXCHANGE INC.</x:v>
      </x:c>
      <x:c r="F365" s="186" t="n">
        <x:v>229007</x:v>
      </x:c>
      <x:c r="G365" s="186" t="n">
        <x:v>22573</x:v>
      </x:c>
      <x:c r="H365" s="186" t="n">
        <x:v>62433</x:v>
      </x:c>
      <x:c r="I365" s="186" t="n">
        <x:f>G365-H365</x:f>
        <x:v>-39860</x:v>
      </x:c>
      <x:c r="J365" s="186" t="n">
        <x:v>52458</x:v>
      </x:c>
      <x:c r="K365" s="186" t="n">
        <x:v>66150</x:v>
      </x:c>
      <x:c r="L365" s="186" t="n">
        <x:f>J365-K365</x:f>
        <x:v>-13692</x:v>
      </x:c>
      <x:c r="M365" s="186" t="n">
        <x:v>79943</x:v>
      </x:c>
      <x:c r="N365" s="186" t="n">
        <x:v>56682</x:v>
      </x:c>
      <x:c r="O365" s="186" t="n">
        <x:f>M365-N365</x:f>
        <x:v>23261</x:v>
      </x:c>
      <x:c r="P365" s="186" t="n">
        <x:v>17630</x:v>
      </x:c>
      <x:c r="Q365" s="186" t="n">
        <x:v>10326</x:v>
      </x:c>
      <x:c r="R365" s="186" t="n">
        <x:f>P365-Q365</x:f>
        <x:v>7304</x:v>
      </x:c>
      <x:c r="S365" s="186" t="n">
        <x:v>34637</x:v>
      </x:c>
      <x:c r="T365" s="186" t="n">
        <x:v>11650</x:v>
      </x:c>
      <x:c r="U365" s="186" t="n">
        <x:f>S365-T365</x:f>
        <x:v>22987</x:v>
      </x:c>
      <x:c r="V365" s="196" t="n">
        <x:f>IFERROR(O365/F365,"")</x:f>
        <x:v>0.10157331435283638</x:v>
      </x:c>
      <x:c r="W365" s="196" t="n">
        <x:f>IFERROR(I365/F365,"")</x:f>
        <x:v>-0.1740558148877545</x:v>
      </x:c>
    </x:row>
    <x:row r="366">
      <x:c r="A366" s="186" t="str">
        <x:v>Gold</x:v>
      </x:c>
      <x:c r="B366" s="187" t="n">
        <x:v>43648</x:v>
      </x:c>
      <x:c r="C366" s="187" t="n">
        <x:v>43651</x:v>
      </x:c>
      <x:c r="D366" s="186" t="str">
        <x:v>088691-GOLD</x:v>
      </x:c>
      <x:c r="E366" s="186" t="str">
        <x:v>GOLD - COMMODITY EXCHANGE INC.</x:v>
      </x:c>
      <x:c r="F366" s="186" t="n">
        <x:v>605949</x:v>
      </x:c>
      <x:c r="G366" s="186" t="n">
        <x:v>26439</x:v>
      </x:c>
      <x:c r="H366" s="186" t="n">
        <x:v>169945</x:v>
      </x:c>
      <x:c r="I366" s="186" t="n">
        <x:f>G366-H366</x:f>
        <x:v>-143506</x:v>
      </x:c>
      <x:c r="J366" s="186" t="n">
        <x:v>111301</x:v>
      </x:c>
      <x:c r="K366" s="186" t="n">
        <x:v>254617</x:v>
      </x:c>
      <x:c r="L366" s="186" t="n">
        <x:f>J366-K366</x:f>
        <x:v>-143316</x:v>
      </x:c>
      <x:c r="M366" s="186" t="n">
        <x:v>214186</x:v>
      </x:c>
      <x:c r="N366" s="186" t="n">
        <x:v>20099</x:v>
      </x:c>
      <x:c r="O366" s="186" t="n">
        <x:f>M366-N366</x:f>
        <x:v>194087</x:v>
      </x:c>
      <x:c r="P366" s="186" t="n">
        <x:v>98516</x:v>
      </x:c>
      <x:c r="Q366" s="186" t="n">
        <x:v>33657</x:v>
      </x:c>
      <x:c r="R366" s="186" t="n">
        <x:f>P366-Q366</x:f>
        <x:v>64859</x:v>
      </x:c>
      <x:c r="S366" s="186" t="n">
        <x:v>61332</x:v>
      </x:c>
      <x:c r="T366" s="186" t="n">
        <x:v>33456</x:v>
      </x:c>
      <x:c r="U366" s="186" t="n">
        <x:f>S366-T366</x:f>
        <x:v>27876</x:v>
      </x:c>
      <x:c r="V366" s="196" t="n">
        <x:f>IFERROR(O366/F366,"")</x:f>
        <x:v>0.320302533711583</x:v>
      </x:c>
      <x:c r="W366" s="196" t="n">
        <x:f>IFERROR(I366/F366,"")</x:f>
        <x:v>-0.23682851197047936</x:v>
      </x:c>
    </x:row>
    <x:row r="367">
      <x:c r="A367" s="186" t="str">
        <x:v>Silver</x:v>
      </x:c>
      <x:c r="B367" s="187" t="n">
        <x:v>43648</x:v>
      </x:c>
      <x:c r="C367" s="187" t="n">
        <x:v>43651</x:v>
      </x:c>
      <x:c r="D367" s="186" t="str">
        <x:v>084691-SILVER</x:v>
      </x:c>
      <x:c r="E367" s="186" t="str">
        <x:v>SILVER - COMMODITY EXCHANGE INC.</x:v>
      </x:c>
      <x:c r="F367" s="186" t="n">
        <x:v>221224</x:v>
      </x:c>
      <x:c r="G367" s="186" t="n">
        <x:v>17089</x:v>
      </x:c>
      <x:c r="H367" s="186" t="n">
        <x:v>56417</x:v>
      </x:c>
      <x:c r="I367" s="186" t="n">
        <x:f>G367-H367</x:f>
        <x:v>-39328</x:v>
      </x:c>
      <x:c r="J367" s="186" t="n">
        <x:v>53597</x:v>
      </x:c>
      <x:c r="K367" s="186" t="n">
        <x:v>66332</x:v>
      </x:c>
      <x:c r="L367" s="186" t="n">
        <x:f>J367-K367</x:f>
        <x:v>-12735</x:v>
      </x:c>
      <x:c r="M367" s="186" t="n">
        <x:v>81381</x:v>
      </x:c>
      <x:c r="N367" s="186" t="n">
        <x:v>59458</x:v>
      </x:c>
      <x:c r="O367" s="186" t="n">
        <x:f>M367-N367</x:f>
        <x:v>21923</x:v>
      </x:c>
      <x:c r="P367" s="186" t="n">
        <x:v>18358</x:v>
      </x:c>
      <x:c r="Q367" s="186" t="n">
        <x:v>9826</x:v>
      </x:c>
      <x:c r="R367" s="186" t="n">
        <x:f>P367-Q367</x:f>
        <x:v>8532</x:v>
      </x:c>
      <x:c r="S367" s="186" t="n">
        <x:v>31417</x:v>
      </x:c>
      <x:c r="T367" s="186" t="n">
        <x:v>9809</x:v>
      </x:c>
      <x:c r="U367" s="186" t="n">
        <x:f>S367-T367</x:f>
        <x:v>21608</x:v>
      </x:c>
      <x:c r="V367" s="196" t="n">
        <x:f>IFERROR(O367/F367,"")</x:f>
        <x:v>0.09909865114092503</x:v>
      </x:c>
      <x:c r="W367" s="196" t="n">
        <x:f>IFERROR(I367/F367,"")</x:f>
        <x:v>-0.17777456333851663</x:v>
      </x:c>
    </x:row>
    <x:row r="368">
      <x:c r="A368" s="186" t="str">
        <x:v>Gold</x:v>
      </x:c>
      <x:c r="B368" s="187" t="n">
        <x:v>43655</x:v>
      </x:c>
      <x:c r="C368" s="187" t="n">
        <x:v>43658</x:v>
      </x:c>
      <x:c r="D368" s="186" t="str">
        <x:v>088691-GOLD</x:v>
      </x:c>
      <x:c r="E368" s="186" t="str">
        <x:v>GOLD - COMMODITY EXCHANGE INC.</x:v>
      </x:c>
      <x:c r="F368" s="186" t="n">
        <x:v>598977</x:v>
      </x:c>
      <x:c r="G368" s="186" t="n">
        <x:v>23099</x:v>
      </x:c>
      <x:c r="H368" s="186" t="n">
        <x:v>172713</x:v>
      </x:c>
      <x:c r="I368" s="186" t="n">
        <x:f>G368-H368</x:f>
        <x:v>-149614</x:v>
      </x:c>
      <x:c r="J368" s="186" t="n">
        <x:v>113865</x:v>
      </x:c>
      <x:c r="K368" s="186" t="n">
        <x:v>242667</x:v>
      </x:c>
      <x:c r="L368" s="186" t="n">
        <x:f>J368-K368</x:f>
        <x:v>-128802</x:v>
      </x:c>
      <x:c r="M368" s="186" t="n">
        <x:v>208301</x:v>
      </x:c>
      <x:c r="N368" s="186" t="n">
        <x:v>25690</x:v>
      </x:c>
      <x:c r="O368" s="186" t="n">
        <x:f>M368-N368</x:f>
        <x:v>182611</x:v>
      </x:c>
      <x:c r="P368" s="186" t="n">
        <x:v>97804</x:v>
      </x:c>
      <x:c r="Q368" s="186" t="n">
        <x:v>35652</x:v>
      </x:c>
      <x:c r="R368" s="186" t="n">
        <x:f>P368-Q368</x:f>
        <x:v>62152</x:v>
      </x:c>
      <x:c r="S368" s="186" t="n">
        <x:v>66388</x:v>
      </x:c>
      <x:c r="T368" s="186" t="n">
        <x:v>32735</x:v>
      </x:c>
      <x:c r="U368" s="186" t="n">
        <x:f>S368-T368</x:f>
        <x:v>33653</x:v>
      </x:c>
      <x:c r="V368" s="196" t="n">
        <x:f>IFERROR(O368/F368,"")</x:f>
        <x:v>0.30487147252732577</x:v>
      </x:c>
      <x:c r="W368" s="196" t="n">
        <x:f>IFERROR(I368/F368,"")</x:f>
        <x:v>-0.24978254590743884</x:v>
      </x:c>
    </x:row>
    <x:row r="369">
      <x:c r="A369" s="186" t="str">
        <x:v>Silver</x:v>
      </x:c>
      <x:c r="B369" s="187" t="n">
        <x:v>43655</x:v>
      </x:c>
      <x:c r="C369" s="187" t="n">
        <x:v>43658</x:v>
      </x:c>
      <x:c r="D369" s="186" t="str">
        <x:v>084691-SILVER</x:v>
      </x:c>
      <x:c r="E369" s="186" t="str">
        <x:v>SILVER - COMMODITY EXCHANGE INC.</x:v>
      </x:c>
      <x:c r="F369" s="186" t="n">
        <x:v>218493</x:v>
      </x:c>
      <x:c r="G369" s="186" t="n">
        <x:v>17217</x:v>
      </x:c>
      <x:c r="H369" s="186" t="n">
        <x:v>51671</x:v>
      </x:c>
      <x:c r="I369" s="186" t="n">
        <x:f>G369-H369</x:f>
        <x:v>-34454</x:v>
      </x:c>
      <x:c r="J369" s="186" t="n">
        <x:v>53566</x:v>
      </x:c>
      <x:c r="K369" s="186" t="n">
        <x:v>64389</x:v>
      </x:c>
      <x:c r="L369" s="186" t="n">
        <x:f>J369-K369</x:f>
        <x:v>-10823</x:v>
      </x:c>
      <x:c r="M369" s="186" t="n">
        <x:v>76472</x:v>
      </x:c>
      <x:c r="N369" s="186" t="n">
        <x:v>60945</x:v>
      </x:c>
      <x:c r="O369" s="186" t="n">
        <x:f>M369-N369</x:f>
        <x:v>15527</x:v>
      </x:c>
      <x:c r="P369" s="186" t="n">
        <x:v>19608</x:v>
      </x:c>
      <x:c r="Q369" s="186" t="n">
        <x:v>9984</x:v>
      </x:c>
      <x:c r="R369" s="186" t="n">
        <x:f>P369-Q369</x:f>
        <x:v>9624</x:v>
      </x:c>
      <x:c r="S369" s="186" t="n">
        <x:v>30665</x:v>
      </x:c>
      <x:c r="T369" s="186" t="n">
        <x:v>10539</x:v>
      </x:c>
      <x:c r="U369" s="186" t="n">
        <x:f>S369-T369</x:f>
        <x:v>20126</x:v>
      </x:c>
      <x:c r="V369" s="196" t="n">
        <x:f>IFERROR(O369/F369,"")</x:f>
        <x:v>0.07106406154888258</x:v>
      </x:c>
      <x:c r="W369" s="196" t="n">
        <x:f>IFERROR(I369/F369,"")</x:f>
        <x:v>-0.1576892623562311</x:v>
      </x:c>
    </x:row>
    <x:row r="370">
      <x:c r="A370" s="186" t="str">
        <x:v>Gold</x:v>
      </x:c>
      <x:c r="B370" s="187" t="n">
        <x:v>43662</x:v>
      </x:c>
      <x:c r="C370" s="187" t="n">
        <x:v>43665</x:v>
      </x:c>
      <x:c r="D370" s="186" t="str">
        <x:v>088691-GOLD</x:v>
      </x:c>
      <x:c r="E370" s="186" t="str">
        <x:v>GOLD - COMMODITY EXCHANGE INC.</x:v>
      </x:c>
      <x:c r="F370" s="186" t="n">
        <x:v>601900</x:v>
      </x:c>
      <x:c r="G370" s="186" t="n">
        <x:v>36109</x:v>
      </x:c>
      <x:c r="H370" s="186" t="n">
        <x:v>173109</x:v>
      </x:c>
      <x:c r="I370" s="186" t="n">
        <x:f>G370-H370</x:f>
        <x:v>-137000</x:v>
      </x:c>
      <x:c r="J370" s="186" t="n">
        <x:v>106552</x:v>
      </x:c>
      <x:c r="K370" s="186" t="n">
        <x:v>246960</x:v>
      </x:c>
      <x:c r="L370" s="186" t="n">
        <x:f>J370-K370</x:f>
        <x:v>-140408</x:v>
      </x:c>
      <x:c r="M370" s="186" t="n">
        <x:v>211322</x:v>
      </x:c>
      <x:c r="N370" s="186" t="n">
        <x:v>31263</x:v>
      </x:c>
      <x:c r="O370" s="186" t="n">
        <x:f>M370-N370</x:f>
        <x:v>180059</x:v>
      </x:c>
      <x:c r="P370" s="186" t="n">
        <x:v>98213</x:v>
      </x:c>
      <x:c r="Q370" s="186" t="n">
        <x:v>32771</x:v>
      </x:c>
      <x:c r="R370" s="186" t="n">
        <x:f>P370-Q370</x:f>
        <x:v>65442</x:v>
      </x:c>
      <x:c r="S370" s="186" t="n">
        <x:v>68146</x:v>
      </x:c>
      <x:c r="T370" s="186" t="n">
        <x:v>36239</x:v>
      </x:c>
      <x:c r="U370" s="186" t="n">
        <x:f>S370-T370</x:f>
        <x:v>31907</x:v>
      </x:c>
      <x:c r="V370" s="196" t="n">
        <x:f>IFERROR(O370/F370,"")</x:f>
        <x:v>0.2991510217644127</x:v>
      </x:c>
      <x:c r="W370" s="196" t="n">
        <x:f>IFERROR(I370/F370,"")</x:f>
        <x:v>-0.22761256022595117</x:v>
      </x:c>
    </x:row>
    <x:row r="371">
      <x:c r="A371" s="186" t="str">
        <x:v>Silver</x:v>
      </x:c>
      <x:c r="B371" s="187" t="n">
        <x:v>43662</x:v>
      </x:c>
      <x:c r="C371" s="187" t="n">
        <x:v>43665</x:v>
      </x:c>
      <x:c r="D371" s="186" t="str">
        <x:v>084691-SILVER</x:v>
      </x:c>
      <x:c r="E371" s="186" t="str">
        <x:v>SILVER - COMMODITY EXCHANGE INC.</x:v>
      </x:c>
      <x:c r="F371" s="186" t="n">
        <x:v>229465</x:v>
      </x:c>
      <x:c r="G371" s="186" t="n">
        <x:v>16082</x:v>
      </x:c>
      <x:c r="H371" s="186" t="n">
        <x:v>62006</x:v>
      </x:c>
      <x:c r="I371" s="186" t="n">
        <x:f>G371-H371</x:f>
        <x:v>-45924</x:v>
      </x:c>
      <x:c r="J371" s="186" t="n">
        <x:v>54117</x:v>
      </x:c>
      <x:c r="K371" s="186" t="n">
        <x:v>67550</x:v>
      </x:c>
      <x:c r="L371" s="186" t="n">
        <x:f>J371-K371</x:f>
        <x:v>-13433</x:v>
      </x:c>
      <x:c r="M371" s="186" t="n">
        <x:v>79125</x:v>
      </x:c>
      <x:c r="N371" s="186" t="n">
        <x:v>51361</x:v>
      </x:c>
      <x:c r="O371" s="186" t="n">
        <x:f>M371-N371</x:f>
        <x:v>27764</x:v>
      </x:c>
      <x:c r="P371" s="186" t="n">
        <x:v>21324</x:v>
      </x:c>
      <x:c r="Q371" s="186" t="n">
        <x:v>11663</x:v>
      </x:c>
      <x:c r="R371" s="186" t="n">
        <x:f>P371-Q371</x:f>
        <x:v>9661</x:v>
      </x:c>
      <x:c r="S371" s="186" t="n">
        <x:v>31994</x:v>
      </x:c>
      <x:c r="T371" s="186" t="n">
        <x:v>10062</x:v>
      </x:c>
      <x:c r="U371" s="186" t="n">
        <x:f>S371-T371</x:f>
        <x:v>21932</x:v>
      </x:c>
      <x:c r="V371" s="196" t="n">
        <x:f>IFERROR(O371/F371,"")</x:f>
        <x:v>0.12099448717669362</x:v>
      </x:c>
      <x:c r="W371" s="196" t="n">
        <x:f>IFERROR(I371/F371,"")</x:f>
        <x:v>-0.20013509685572964</x:v>
      </x:c>
    </x:row>
    <x:row r="372">
      <x:c r="A372" s="186" t="str">
        <x:v>Gold</x:v>
      </x:c>
      <x:c r="B372" s="187" t="n">
        <x:v>43669</x:v>
      </x:c>
      <x:c r="C372" s="187" t="n">
        <x:v>43672</x:v>
      </x:c>
      <x:c r="D372" s="186" t="str">
        <x:v>088691-GOLD</x:v>
      </x:c>
      <x:c r="E372" s="186" t="str">
        <x:v>GOLD - COMMODITY EXCHANGE INC.</x:v>
      </x:c>
      <x:c r="F372" s="186" t="n">
        <x:v>616859</x:v>
      </x:c>
      <x:c r="G372" s="186" t="n">
        <x:v>35072</x:v>
      </x:c>
      <x:c r="H372" s="186" t="n">
        <x:v>175270</x:v>
      </x:c>
      <x:c r="I372" s="186" t="n">
        <x:f>G372-H372</x:f>
        <x:v>-140198</x:v>
      </x:c>
      <x:c r="J372" s="186" t="n">
        <x:v>105569</x:v>
      </x:c>
      <x:c r="K372" s="186" t="n">
        <x:v>253210</x:v>
      </x:c>
      <x:c r="L372" s="186" t="n">
        <x:f>J372-K372</x:f>
        <x:v>-147641</x:v>
      </x:c>
      <x:c r="M372" s="186" t="n">
        <x:v>208153</x:v>
      </x:c>
      <x:c r="N372" s="186" t="n">
        <x:v>29980</x:v>
      </x:c>
      <x:c r="O372" s="186" t="n">
        <x:f>M372-N372</x:f>
        <x:v>178173</x:v>
      </x:c>
      <x:c r="P372" s="186" t="n">
        <x:v>103728</x:v>
      </x:c>
      <x:c r="Q372" s="186" t="n">
        <x:v>30651</x:v>
      </x:c>
      <x:c r="R372" s="186" t="n">
        <x:f>P372-Q372</x:f>
        <x:v>73077</x:v>
      </x:c>
      <x:c r="S372" s="186" t="n">
        <x:v>72995</x:v>
      </x:c>
      <x:c r="T372" s="186" t="n">
        <x:v>36406</x:v>
      </x:c>
      <x:c r="U372" s="186" t="n">
        <x:f>S372-T372</x:f>
        <x:v>36589</x:v>
      </x:c>
      <x:c r="V372" s="196" t="n">
        <x:f>IFERROR(O372/F372,"")</x:f>
        <x:v>0.2888391026150222</x:v>
      </x:c>
      <x:c r="W372" s="196" t="n">
        <x:f>IFERROR(I372/F372,"")</x:f>
        <x:v>-0.2272772221852968</x:v>
      </x:c>
    </x:row>
    <x:row r="373">
      <x:c r="A373" s="186" t="str">
        <x:v>Silver</x:v>
      </x:c>
      <x:c r="B373" s="187" t="n">
        <x:v>43669</x:v>
      </x:c>
      <x:c r="C373" s="187" t="n">
        <x:v>43672</x:v>
      </x:c>
      <x:c r="D373" s="186" t="str">
        <x:v>084691-SILVER</x:v>
      </x:c>
      <x:c r="E373" s="186" t="str">
        <x:v>SILVER - COMMODITY EXCHANGE INC.</x:v>
      </x:c>
      <x:c r="F373" s="186" t="n">
        <x:v>234735</x:v>
      </x:c>
      <x:c r="G373" s="186" t="n">
        <x:v>9257</x:v>
      </x:c>
      <x:c r="H373" s="186" t="n">
        <x:v>65830</x:v>
      </x:c>
      <x:c r="I373" s="186" t="n">
        <x:f>G373-H373</x:f>
        <x:v>-56573</x:v>
      </x:c>
      <x:c r="J373" s="186" t="n">
        <x:v>54393</x:v>
      </x:c>
      <x:c r="K373" s="186" t="n">
        <x:v>73958</x:v>
      </x:c>
      <x:c r="L373" s="186" t="n">
        <x:f>J373-K373</x:f>
        <x:v>-19565</x:v>
      </x:c>
      <x:c r="M373" s="186" t="n">
        <x:v>90924</x:v>
      </x:c>
      <x:c r="N373" s="186" t="n">
        <x:v>39268</x:v>
      </x:c>
      <x:c r="O373" s="186" t="n">
        <x:f>M373-N373</x:f>
        <x:v>51656</x:v>
      </x:c>
      <x:c r="P373" s="186" t="n">
        <x:v>19205</x:v>
      </x:c>
      <x:c r="Q373" s="186" t="n">
        <x:v>16100</x:v>
      </x:c>
      <x:c r="R373" s="186" t="n">
        <x:f>P373-Q373</x:f>
        <x:v>3105</x:v>
      </x:c>
      <x:c r="S373" s="186" t="n">
        <x:v>31343</x:v>
      </x:c>
      <x:c r="T373" s="186" t="n">
        <x:v>9966</x:v>
      </x:c>
      <x:c r="U373" s="186" t="n">
        <x:f>S373-T373</x:f>
        <x:v>21377</x:v>
      </x:c>
      <x:c r="V373" s="196" t="n">
        <x:f>IFERROR(O373/F373,"")</x:f>
        <x:v>0.2200609197605811</x:v>
      </x:c>
      <x:c r="W373" s="196" t="n">
        <x:f>IFERROR(I373/F373,"")</x:f>
        <x:v>-0.24100794512961424</x:v>
      </x:c>
    </x:row>
    <x:row r="374">
      <x:c r="A374" s="186" t="str">
        <x:v>Gold</x:v>
      </x:c>
      <x:c r="B374" s="187" t="n">
        <x:v>43676</x:v>
      </x:c>
      <x:c r="C374" s="187" t="n">
        <x:v>43679</x:v>
      </x:c>
      <x:c r="D374" s="186" t="str">
        <x:v>088691-GOLD</x:v>
      </x:c>
      <x:c r="E374" s="186" t="str">
        <x:v>GOLD - COMMODITY EXCHANGE INC.</x:v>
      </x:c>
      <x:c r="F374" s="186" t="n">
        <x:v>563298</x:v>
      </x:c>
      <x:c r="G374" s="186" t="n">
        <x:v>16484</x:v>
      </x:c>
      <x:c r="H374" s="186" t="n">
        <x:v>151075</x:v>
      </x:c>
      <x:c r="I374" s="186" t="n">
        <x:f>G374-H374</x:f>
        <x:v>-134591</x:v>
      </x:c>
      <x:c r="J374" s="186" t="n">
        <x:v>103601</x:v>
      </x:c>
      <x:c r="K374" s="186" t="n">
        <x:v>256977</x:v>
      </x:c>
      <x:c r="L374" s="186" t="n">
        <x:f>J374-K374</x:f>
        <x:v>-153376</x:v>
      </x:c>
      <x:c r="M374" s="186" t="n">
        <x:v>215581</x:v>
      </x:c>
      <x:c r="N374" s="186" t="n">
        <x:v>29868</x:v>
      </x:c>
      <x:c r="O374" s="186" t="n">
        <x:f>M374-N374</x:f>
        <x:v>185713</x:v>
      </x:c>
      <x:c r="P374" s="186" t="n">
        <x:v>96633</x:v>
      </x:c>
      <x:c r="Q374" s="186" t="n">
        <x:v>27958</x:v>
      </x:c>
      <x:c r="R374" s="186" t="n">
        <x:f>P374-Q374</x:f>
        <x:v>68675</x:v>
      </x:c>
      <x:c r="S374" s="186" t="n">
        <x:v>64221</x:v>
      </x:c>
      <x:c r="T374" s="186" t="n">
        <x:v>30642</x:v>
      </x:c>
      <x:c r="U374" s="186" t="n">
        <x:f>S374-T374</x:f>
        <x:v>33579</x:v>
      </x:c>
      <x:c r="V374" s="196" t="n">
        <x:f>IFERROR(O374/F374,"")</x:f>
        <x:v>0.3296887260384379</x:v>
      </x:c>
      <x:c r="W374" s="196" t="n">
        <x:f>IFERROR(I374/F374,"")</x:f>
        <x:v>-0.23893392129920574</x:v>
      </x:c>
    </x:row>
    <x:row r="375">
      <x:c r="A375" s="186" t="str">
        <x:v>Silver</x:v>
      </x:c>
      <x:c r="B375" s="187" t="n">
        <x:v>43676</x:v>
      </x:c>
      <x:c r="C375" s="187" t="n">
        <x:v>43679</x:v>
      </x:c>
      <x:c r="D375" s="186" t="str">
        <x:v>084691-SILVER</x:v>
      </x:c>
      <x:c r="E375" s="186" t="str">
        <x:v>SILVER - COMMODITY EXCHANGE INC.</x:v>
      </x:c>
      <x:c r="F375" s="186" t="n">
        <x:v>239059</x:v>
      </x:c>
      <x:c r="G375" s="186" t="n">
        <x:v>10424</x:v>
      </x:c>
      <x:c r="H375" s="186" t="n">
        <x:v>72132</x:v>
      </x:c>
      <x:c r="I375" s="186" t="n">
        <x:f>G375-H375</x:f>
        <x:v>-61708</x:v>
      </x:c>
      <x:c r="J375" s="186" t="n">
        <x:v>54076</x:v>
      </x:c>
      <x:c r="K375" s="186" t="n">
        <x:v>76284</x:v>
      </x:c>
      <x:c r="L375" s="186" t="n">
        <x:f>J375-K375</x:f>
        <x:v>-22208</x:v>
      </x:c>
      <x:c r="M375" s="186" t="n">
        <x:v>94899</x:v>
      </x:c>
      <x:c r="N375" s="186" t="n">
        <x:v>32337</x:v>
      </x:c>
      <x:c r="O375" s="186" t="n">
        <x:f>M375-N375</x:f>
        <x:v>62562</x:v>
      </x:c>
      <x:c r="P375" s="186" t="n">
        <x:v>16383</x:v>
      </x:c>
      <x:c r="Q375" s="186" t="n">
        <x:v>14648</x:v>
      </x:c>
      <x:c r="R375" s="186" t="n">
        <x:f>P375-Q375</x:f>
        <x:v>1735</x:v>
      </x:c>
      <x:c r="S375" s="186" t="n">
        <x:v>30939</x:v>
      </x:c>
      <x:c r="T375" s="186" t="n">
        <x:v>11320</x:v>
      </x:c>
      <x:c r="U375" s="186" t="n">
        <x:f>S375-T375</x:f>
        <x:v>19619</x:v>
      </x:c>
      <x:c r="V375" s="196" t="n">
        <x:f>IFERROR(O375/F375,"")</x:f>
        <x:v>0.261701086342702</x:v>
      </x:c>
      <x:c r="W375" s="196" t="n">
        <x:f>IFERROR(I375/F375,"")</x:f>
        <x:v>-0.2581287464600789</x:v>
      </x:c>
    </x:row>
    <x:row r="376">
      <x:c r="A376" s="186" t="str">
        <x:v>Gold</x:v>
      </x:c>
      <x:c r="B376" s="187" t="n">
        <x:v>43683</x:v>
      </x:c>
      <x:c r="C376" s="187" t="n">
        <x:v>43686</x:v>
      </x:c>
      <x:c r="D376" s="186" t="str">
        <x:v>088691-GOLD</x:v>
      </x:c>
      <x:c r="E376" s="186" t="str">
        <x:v>GOLD - COMMODITY EXCHANGE INC.</x:v>
      </x:c>
      <x:c r="F376" s="186" t="n">
        <x:v>600317</x:v>
      </x:c>
      <x:c r="G376" s="186" t="n">
        <x:v>21577</x:v>
      </x:c>
      <x:c r="H376" s="186" t="n">
        <x:v>160907</x:v>
      </x:c>
      <x:c r="I376" s="186" t="n">
        <x:f>G376-H376</x:f>
        <x:v>-139330</x:v>
      </x:c>
      <x:c r="J376" s="186" t="n">
        <x:v>97634</x:v>
      </x:c>
      <x:c r="K376" s="186" t="n">
        <x:v>282629</x:v>
      </x:c>
      <x:c r="L376" s="186" t="n">
        <x:f>J376-K376</x:f>
        <x:v>-184995</x:v>
      </x:c>
      <x:c r="M376" s="186" t="n">
        <x:v>248687</x:v>
      </x:c>
      <x:c r="N376" s="186" t="n">
        <x:v>21854</x:v>
      </x:c>
      <x:c r="O376" s="186" t="n">
        <x:f>M376-N376</x:f>
        <x:v>226833</x:v>
      </x:c>
      <x:c r="P376" s="186" t="n">
        <x:v>101871</x:v>
      </x:c>
      <x:c r="Q376" s="186" t="n">
        <x:v>36159</x:v>
      </x:c>
      <x:c r="R376" s="186" t="n">
        <x:f>P376-Q376</x:f>
        <x:v>65712</x:v>
      </x:c>
      <x:c r="S376" s="186" t="n">
        <x:v>62844</x:v>
      </x:c>
      <x:c r="T376" s="186" t="n">
        <x:v>31064</x:v>
      </x:c>
      <x:c r="U376" s="186" t="n">
        <x:f>S376-T376</x:f>
        <x:v>31780</x:v>
      </x:c>
      <x:c r="V376" s="196" t="n">
        <x:f>IFERROR(O376/F376,"")</x:f>
        <x:v>0.3778553664147442</x:v>
      </x:c>
      <x:c r="W376" s="196" t="n">
        <x:f>IFERROR(I376/F376,"")</x:f>
        <x:v>-0.23209404364693986</x:v>
      </x:c>
    </x:row>
    <x:row r="377">
      <x:c r="A377" s="186" t="str">
        <x:v>Silver</x:v>
      </x:c>
      <x:c r="B377" s="187" t="n">
        <x:v>43683</x:v>
      </x:c>
      <x:c r="C377" s="187" t="n">
        <x:v>43686</x:v>
      </x:c>
      <x:c r="D377" s="186" t="str">
        <x:v>084691-SILVER</x:v>
      </x:c>
      <x:c r="E377" s="186" t="str">
        <x:v>SILVER - COMMODITY EXCHANGE INC.</x:v>
      </x:c>
      <x:c r="F377" s="186" t="n">
        <x:v>239290</x:v>
      </x:c>
      <x:c r="G377" s="186" t="n">
        <x:v>11050</x:v>
      </x:c>
      <x:c r="H377" s="186" t="n">
        <x:v>69430</x:v>
      </x:c>
      <x:c r="I377" s="186" t="n">
        <x:f>G377-H377</x:f>
        <x:v>-58380</x:v>
      </x:c>
      <x:c r="J377" s="186" t="n">
        <x:v>56043</x:v>
      </x:c>
      <x:c r="K377" s="186" t="n">
        <x:v>72929</x:v>
      </x:c>
      <x:c r="L377" s="186" t="n">
        <x:f>J377-K377</x:f>
        <x:v>-16886</x:v>
      </x:c>
      <x:c r="M377" s="186" t="n">
        <x:v>89145</x:v>
      </x:c>
      <x:c r="N377" s="186" t="n">
        <x:v>42283</x:v>
      </x:c>
      <x:c r="O377" s="186" t="n">
        <x:f>M377-N377</x:f>
        <x:v>46862</x:v>
      </x:c>
      <x:c r="P377" s="186" t="n">
        <x:v>16889</x:v>
      </x:c>
      <x:c r="Q377" s="186" t="n">
        <x:v>13919</x:v>
      </x:c>
      <x:c r="R377" s="186" t="n">
        <x:f>P377-Q377</x:f>
        <x:v>2970</x:v>
      </x:c>
      <x:c r="S377" s="186" t="n">
        <x:v>34537</x:v>
      </x:c>
      <x:c r="T377" s="186" t="n">
        <x:v>9103</x:v>
      </x:c>
      <x:c r="U377" s="186" t="n">
        <x:f>S377-T377</x:f>
        <x:v>25434</x:v>
      </x:c>
      <x:c r="V377" s="196" t="n">
        <x:f>IFERROR(O377/F377,"")</x:f>
        <x:v>0.19583768648919722</x:v>
      </x:c>
      <x:c r="W377" s="196" t="n">
        <x:f>IFERROR(I377/F377,"")</x:f>
        <x:v>-0.24397174975970579</x:v>
      </x:c>
    </x:row>
    <x:row r="378">
      <x:c r="A378" s="186" t="str">
        <x:v>Gold</x:v>
      </x:c>
      <x:c r="B378" s="187" t="n">
        <x:v>43690</x:v>
      </x:c>
      <x:c r="C378" s="187" t="n">
        <x:v>43693</x:v>
      </x:c>
      <x:c r="D378" s="186" t="str">
        <x:v>088691-GOLD</x:v>
      </x:c>
      <x:c r="E378" s="186" t="str">
        <x:v>GOLD - COMMODITY EXCHANGE INC.</x:v>
      </x:c>
      <x:c r="F378" s="186" t="n">
        <x:v>593962</x:v>
      </x:c>
      <x:c r="G378" s="186" t="n">
        <x:v>20942</x:v>
      </x:c>
      <x:c r="H378" s="186" t="n">
        <x:v>159798</x:v>
      </x:c>
      <x:c r="I378" s="186" t="n">
        <x:f>G378-H378</x:f>
        <x:v>-138856</x:v>
      </x:c>
      <x:c r="J378" s="186" t="n">
        <x:v>96263</x:v>
      </x:c>
      <x:c r="K378" s="186" t="n">
        <x:v>281134</x:v>
      </x:c>
      <x:c r="L378" s="186" t="n">
        <x:f>J378-K378</x:f>
        <x:v>-184871</x:v>
      </x:c>
      <x:c r="M378" s="186" t="n">
        <x:v>245631</x:v>
      </x:c>
      <x:c r="N378" s="186" t="n">
        <x:v>22020</x:v>
      </x:c>
      <x:c r="O378" s="186" t="n">
        <x:f>M378-N378</x:f>
        <x:v>223611</x:v>
      </x:c>
      <x:c r="P378" s="186" t="n">
        <x:v>100592</x:v>
      </x:c>
      <x:c r="Q378" s="186" t="n">
        <x:v>34113</x:v>
      </x:c>
      <x:c r="R378" s="186" t="n">
        <x:f>P378-Q378</x:f>
        <x:v>66479</x:v>
      </x:c>
      <x:c r="S378" s="186" t="n">
        <x:v>63458</x:v>
      </x:c>
      <x:c r="T378" s="186" t="n">
        <x:v>29821</x:v>
      </x:c>
      <x:c r="U378" s="186" t="n">
        <x:f>S378-T378</x:f>
        <x:v>33637</x:v>
      </x:c>
      <x:c r="V378" s="196" t="n">
        <x:f>IFERROR(O378/F378,"")</x:f>
        <x:v>0.376473579117856</x:v>
      </x:c>
      <x:c r="W378" s="196" t="n">
        <x:f>IFERROR(I378/F378,"")</x:f>
        <x:v>-0.23377926534020696</x:v>
      </x:c>
    </x:row>
    <x:row r="379">
      <x:c r="A379" s="186" t="str">
        <x:v>Silver</x:v>
      </x:c>
      <x:c r="B379" s="187" t="n">
        <x:v>43690</x:v>
      </x:c>
      <x:c r="C379" s="187" t="n">
        <x:v>43693</x:v>
      </x:c>
      <x:c r="D379" s="186" t="str">
        <x:v>084691-SILVER</x:v>
      </x:c>
      <x:c r="E379" s="186" t="str">
        <x:v>SILVER - COMMODITY EXCHANGE INC.</x:v>
      </x:c>
      <x:c r="F379" s="186" t="n">
        <x:v>233839</x:v>
      </x:c>
      <x:c r="G379" s="186" t="n">
        <x:v>17831</x:v>
      </x:c>
      <x:c r="H379" s="186" t="n">
        <x:v>70272</x:v>
      </x:c>
      <x:c r="I379" s="186" t="n">
        <x:f>G379-H379</x:f>
        <x:v>-52441</x:v>
      </x:c>
      <x:c r="J379" s="186" t="n">
        <x:v>56158</x:v>
      </x:c>
      <x:c r="K379" s="186" t="n">
        <x:v>68950</x:v>
      </x:c>
      <x:c r="L379" s="186" t="n">
        <x:f>J379-K379</x:f>
        <x:v>-12792</x:v>
      </x:c>
      <x:c r="M379" s="186" t="n">
        <x:v>78429</x:v>
      </x:c>
      <x:c r="N379" s="186" t="n">
        <x:v>44469</x:v>
      </x:c>
      <x:c r="O379" s="186" t="n">
        <x:f>M379-N379</x:f>
        <x:v>33960</x:v>
      </x:c>
      <x:c r="P379" s="186" t="n">
        <x:v>19091</x:v>
      </x:c>
      <x:c r="Q379" s="186" t="n">
        <x:v>13782</x:v>
      </x:c>
      <x:c r="R379" s="186" t="n">
        <x:f>P379-Q379</x:f>
        <x:v>5309</x:v>
      </x:c>
      <x:c r="S379" s="186" t="n">
        <x:v>36546</x:v>
      </x:c>
      <x:c r="T379" s="186" t="n">
        <x:v>10582</x:v>
      </x:c>
      <x:c r="U379" s="186" t="n">
        <x:f>S379-T379</x:f>
        <x:v>25964</x:v>
      </x:c>
      <x:c r="V379" s="196" t="n">
        <x:f>IFERROR(O379/F379,"")</x:f>
        <x:v>0.14522812704467603</x:v>
      </x:c>
      <x:c r="W379" s="196" t="n">
        <x:f>IFERROR(I379/F379,"")</x:f>
        <x:v>-0.22426113693609706</x:v>
      </x:c>
    </x:row>
    <x:row r="380">
      <x:c r="A380" s="186" t="str">
        <x:v>Gold</x:v>
      </x:c>
      <x:c r="B380" s="187" t="n">
        <x:v>43697</x:v>
      </x:c>
      <x:c r="C380" s="187" t="n">
        <x:v>43700</x:v>
      </x:c>
      <x:c r="D380" s="186" t="str">
        <x:v>088691-GOLD</x:v>
      </x:c>
      <x:c r="E380" s="186" t="str">
        <x:v>GOLD - COMMODITY EXCHANGE INC.</x:v>
      </x:c>
      <x:c r="F380" s="186" t="n">
        <x:v>594807</x:v>
      </x:c>
      <x:c r="G380" s="186" t="n">
        <x:v>21303</x:v>
      </x:c>
      <x:c r="H380" s="186" t="n">
        <x:v>166620</x:v>
      </x:c>
      <x:c r="I380" s="186" t="n">
        <x:f>G380-H380</x:f>
        <x:v>-145317</x:v>
      </x:c>
      <x:c r="J380" s="186" t="n">
        <x:v>94900</x:v>
      </x:c>
      <x:c r="K380" s="186" t="n">
        <x:v>285833</x:v>
      </x:c>
      <x:c r="L380" s="186" t="n">
        <x:f>J380-K380</x:f>
        <x:v>-190933</x:v>
      </x:c>
      <x:c r="M380" s="186" t="n">
        <x:v>249696</x:v>
      </x:c>
      <x:c r="N380" s="186" t="n">
        <x:v>19850</x:v>
      </x:c>
      <x:c r="O380" s="186" t="n">
        <x:f>M380-N380</x:f>
        <x:v>229846</x:v>
      </x:c>
      <x:c r="P380" s="186" t="n">
        <x:v>102598</x:v>
      </x:c>
      <x:c r="Q380" s="186" t="n">
        <x:v>32451</x:v>
      </x:c>
      <x:c r="R380" s="186" t="n">
        <x:f>P380-Q380</x:f>
        <x:v>70147</x:v>
      </x:c>
      <x:c r="S380" s="186" t="n">
        <x:v>63855</x:v>
      </x:c>
      <x:c r="T380" s="186" t="n">
        <x:v>27598</x:v>
      </x:c>
      <x:c r="U380" s="186" t="n">
        <x:f>S380-T380</x:f>
        <x:v>36257</x:v>
      </x:c>
      <x:c r="V380" s="196" t="n">
        <x:f>IFERROR(O380/F380,"")</x:f>
        <x:v>0.38642114164762686</x:v>
      </x:c>
      <x:c r="W380" s="196" t="n">
        <x:f>IFERROR(I380/F380,"")</x:f>
        <x:v>-0.24430949871134672</x:v>
      </x:c>
    </x:row>
    <x:row r="381">
      <x:c r="A381" s="186" t="str">
        <x:v>Silver</x:v>
      </x:c>
      <x:c r="B381" s="187" t="n">
        <x:v>43697</x:v>
      </x:c>
      <x:c r="C381" s="187" t="n">
        <x:v>43700</x:v>
      </x:c>
      <x:c r="D381" s="186" t="str">
        <x:v>084691-SILVER</x:v>
      </x:c>
      <x:c r="E381" s="186" t="str">
        <x:v>SILVER - COMMODITY EXCHANGE INC.</x:v>
      </x:c>
      <x:c r="F381" s="186" t="n">
        <x:v>238086</x:v>
      </x:c>
      <x:c r="G381" s="186" t="n">
        <x:v>17574</x:v>
      </x:c>
      <x:c r="H381" s="186" t="n">
        <x:v>71314</x:v>
      </x:c>
      <x:c r="I381" s="186" t="n">
        <x:f>G381-H381</x:f>
        <x:v>-53740</x:v>
      </x:c>
      <x:c r="J381" s="186" t="n">
        <x:v>55455</x:v>
      </x:c>
      <x:c r="K381" s="186" t="n">
        <x:v>72578</x:v>
      </x:c>
      <x:c r="L381" s="186" t="n">
        <x:f>J381-K381</x:f>
        <x:v>-17123</x:v>
      </x:c>
      <x:c r="M381" s="186" t="n">
        <x:v>78183</x:v>
      </x:c>
      <x:c r="N381" s="186" t="n">
        <x:v>34287</x:v>
      </x:c>
      <x:c r="O381" s="186" t="n">
        <x:f>M381-N381</x:f>
        <x:v>43896</x:v>
      </x:c>
      <x:c r="P381" s="186" t="n">
        <x:v>17804</x:v>
      </x:c>
      <x:c r="Q381" s="186" t="n">
        <x:v>14986</x:v>
      </x:c>
      <x:c r="R381" s="186" t="n">
        <x:f>P381-Q381</x:f>
        <x:v>2818</x:v>
      </x:c>
      <x:c r="S381" s="186" t="n">
        <x:v>39810</x:v>
      </x:c>
      <x:c r="T381" s="186" t="n">
        <x:v>15661</x:v>
      </x:c>
      <x:c r="U381" s="186" t="n">
        <x:f>S381-T381</x:f>
        <x:v>24149</x:v>
      </x:c>
      <x:c r="V381" s="196" t="n">
        <x:f>IFERROR(O381/F381,"")</x:f>
        <x:v>0.1843703535697185</x:v>
      </x:c>
      <x:c r="W381" s="196" t="n">
        <x:f>IFERROR(I381/F381,"")</x:f>
        <x:v>-0.22571675781020303</x:v>
      </x:c>
    </x:row>
    <x:row r="382">
      <x:c r="A382" s="186" t="str">
        <x:v>Gold</x:v>
      </x:c>
      <x:c r="B382" s="187" t="n">
        <x:v>43704</x:v>
      </x:c>
      <x:c r="C382" s="187" t="n">
        <x:v>43707</x:v>
      </x:c>
      <x:c r="D382" s="186" t="str">
        <x:v>088691-GOLD</x:v>
      </x:c>
      <x:c r="E382" s="186" t="str">
        <x:v>GOLD - COMMODITY EXCHANGE INC.</x:v>
      </x:c>
      <x:c r="F382" s="186" t="n">
        <x:v>636183</x:v>
      </x:c>
      <x:c r="G382" s="186" t="n">
        <x:v>28589</x:v>
      </x:c>
      <x:c r="H382" s="186" t="n">
        <x:v>172923</x:v>
      </x:c>
      <x:c r="I382" s="186" t="n">
        <x:f>G382-H382</x:f>
        <x:v>-144334</x:v>
      </x:c>
      <x:c r="J382" s="186" t="n">
        <x:v>95266</x:v>
      </x:c>
      <x:c r="K382" s="186" t="n">
        <x:v>284738</x:v>
      </x:c>
      <x:c r="L382" s="186" t="n">
        <x:f>J382-K382</x:f>
        <x:v>-189472</x:v>
      </x:c>
      <x:c r="M382" s="186" t="n">
        <x:v>258269</x:v>
      </x:c>
      <x:c r="N382" s="186" t="n">
        <x:v>31553</x:v>
      </x:c>
      <x:c r="O382" s="186" t="n">
        <x:f>M382-N382</x:f>
        <x:v>226716</x:v>
      </x:c>
      <x:c r="P382" s="186" t="n">
        <x:v>104340</x:v>
      </x:c>
      <x:c r="Q382" s="186" t="n">
        <x:v>34218</x:v>
      </x:c>
      <x:c r="R382" s="186" t="n">
        <x:f>P382-Q382</x:f>
        <x:v>70122</x:v>
      </x:c>
      <x:c r="S382" s="186" t="n">
        <x:v>70411</x:v>
      </x:c>
      <x:c r="T382" s="186" t="n">
        <x:v>33443</x:v>
      </x:c>
      <x:c r="U382" s="186" t="n">
        <x:f>S382-T382</x:f>
        <x:v>36968</x:v>
      </x:c>
      <x:c r="V382" s="196" t="n">
        <x:f>IFERROR(O382/F382,"")</x:f>
        <x:v>0.3563691579309727</x:v>
      </x:c>
      <x:c r="W382" s="196" t="n">
        <x:f>IFERROR(I382/F382,"")</x:f>
        <x:v>-0.22687497150976998</x:v>
      </x:c>
    </x:row>
    <x:row r="383">
      <x:c r="A383" s="186" t="str">
        <x:v>Silver</x:v>
      </x:c>
      <x:c r="B383" s="187" t="n">
        <x:v>43704</x:v>
      </x:c>
      <x:c r="C383" s="187" t="n">
        <x:v>43707</x:v>
      </x:c>
      <x:c r="D383" s="186" t="str">
        <x:v>084691-SILVER</x:v>
      </x:c>
      <x:c r="E383" s="186" t="str">
        <x:v>SILVER - COMMODITY EXCHANGE INC.</x:v>
      </x:c>
      <x:c r="F383" s="186" t="n">
        <x:v>239970</x:v>
      </x:c>
      <x:c r="G383" s="186" t="n">
        <x:v>17885</x:v>
      </x:c>
      <x:c r="H383" s="186" t="n">
        <x:v>78626</x:v>
      </x:c>
      <x:c r="I383" s="186" t="n">
        <x:f>G383-H383</x:f>
        <x:v>-60741</x:v>
      </x:c>
      <x:c r="J383" s="186" t="n">
        <x:v>56311</x:v>
      </x:c>
      <x:c r="K383" s="186" t="n">
        <x:v>77251</x:v>
      </x:c>
      <x:c r="L383" s="186" t="n">
        <x:f>J383-K383</x:f>
        <x:v>-20940</x:v>
      </x:c>
      <x:c r="M383" s="186" t="n">
        <x:v>84643</x:v>
      </x:c>
      <x:c r="N383" s="186" t="n">
        <x:v>28855</x:v>
      </x:c>
      <x:c r="O383" s="186" t="n">
        <x:f>M383-N383</x:f>
        <x:v>55788</x:v>
      </x:c>
      <x:c r="P383" s="186" t="n">
        <x:v>18845</x:v>
      </x:c>
      <x:c r="Q383" s="186" t="n">
        <x:v>14781</x:v>
      </x:c>
      <x:c r="R383" s="186" t="n">
        <x:f>P383-Q383</x:f>
        <x:v>4064</x:v>
      </x:c>
      <x:c r="S383" s="186" t="n">
        <x:v>34738</x:v>
      </x:c>
      <x:c r="T383" s="186" t="n">
        <x:v>12909</x:v>
      </x:c>
      <x:c r="U383" s="186" t="n">
        <x:f>S383-T383</x:f>
        <x:v>21829</x:v>
      </x:c>
      <x:c r="V383" s="196" t="n">
        <x:f>IFERROR(O383/F383,"")</x:f>
        <x:v>0.23247905988248532</x:v>
      </x:c>
      <x:c r="W383" s="196" t="n">
        <x:f>IFERROR(I383/F383,"")</x:f>
        <x:v>-0.2531191398924866</x:v>
      </x:c>
    </x:row>
    <x:row r="384">
      <x:c r="A384" s="186" t="str">
        <x:v>Gold</x:v>
      </x:c>
      <x:c r="B384" s="187" t="n">
        <x:v>43711</x:v>
      </x:c>
      <x:c r="C384" s="187" t="n">
        <x:v>43714</x:v>
      </x:c>
      <x:c r="D384" s="186" t="str">
        <x:v>088691-GOLD</x:v>
      </x:c>
      <x:c r="E384" s="186" t="str">
        <x:v>GOLD - COMMODITY EXCHANGE INC.</x:v>
      </x:c>
      <x:c r="F384" s="186" t="n">
        <x:v>634358</x:v>
      </x:c>
      <x:c r="G384" s="186" t="n">
        <x:v>23849</x:v>
      </x:c>
      <x:c r="H384" s="186" t="n">
        <x:v>178506</x:v>
      </x:c>
      <x:c r="I384" s="186" t="n">
        <x:f>G384-H384</x:f>
        <x:v>-154657</x:v>
      </x:c>
      <x:c r="J384" s="186" t="n">
        <x:v>97751</x:v>
      </x:c>
      <x:c r="K384" s="186" t="n">
        <x:v>280835</x:v>
      </x:c>
      <x:c r="L384" s="186" t="n">
        <x:f>J384-K384</x:f>
        <x:v>-183084</x:v>
      </x:c>
      <x:c r="M384" s="186" t="n">
        <x:v>265175</x:v>
      </x:c>
      <x:c r="N384" s="186" t="n">
        <x:v>33549</x:v>
      </x:c>
      <x:c r="O384" s="186" t="n">
        <x:f>M384-N384</x:f>
        <x:v>231626</x:v>
      </x:c>
      <x:c r="P384" s="186" t="n">
        <x:v>100210</x:v>
      </x:c>
      <x:c r="Q384" s="186" t="n">
        <x:v>31289</x:v>
      </x:c>
      <x:c r="R384" s="186" t="n">
        <x:f>P384-Q384</x:f>
        <x:v>68921</x:v>
      </x:c>
      <x:c r="S384" s="186" t="n">
        <x:v>65648</x:v>
      </x:c>
      <x:c r="T384" s="186" t="n">
        <x:v>28454</x:v>
      </x:c>
      <x:c r="U384" s="186" t="n">
        <x:f>S384-T384</x:f>
        <x:v>37194</x:v>
      </x:c>
      <x:c r="V384" s="196" t="n">
        <x:f>IFERROR(O384/F384,"")</x:f>
        <x:v>0.3651345139495364</x:v>
      </x:c>
      <x:c r="W384" s="196" t="n">
        <x:f>IFERROR(I384/F384,"")</x:f>
        <x:v>-0.24380081909584178</x:v>
      </x:c>
    </x:row>
    <x:row r="385">
      <x:c r="A385" s="186" t="str">
        <x:v>Silver</x:v>
      </x:c>
      <x:c r="B385" s="187" t="n">
        <x:v>43711</x:v>
      </x:c>
      <x:c r="C385" s="187" t="n">
        <x:v>43714</x:v>
      </x:c>
      <x:c r="D385" s="186" t="str">
        <x:v>084691-SILVER</x:v>
      </x:c>
      <x:c r="E385" s="186" t="str">
        <x:v>SILVER - COMMODITY EXCHANGE INC.</x:v>
      </x:c>
      <x:c r="F385" s="186" t="n">
        <x:v>225688</x:v>
      </x:c>
      <x:c r="G385" s="186" t="n">
        <x:v>12641</x:v>
      </x:c>
      <x:c r="H385" s="186" t="n">
        <x:v>77535</x:v>
      </x:c>
      <x:c r="I385" s="186" t="n">
        <x:f>G385-H385</x:f>
        <x:v>-64894</x:v>
      </x:c>
      <x:c r="J385" s="186" t="n">
        <x:v>56967</x:v>
      </x:c>
      <x:c r="K385" s="186" t="n">
        <x:v>76751</x:v>
      </x:c>
      <x:c r="L385" s="186" t="n">
        <x:f>J385-K385</x:f>
        <x:v>-19784</x:v>
      </x:c>
      <x:c r="M385" s="186" t="n">
        <x:v>86540</x:v>
      </x:c>
      <x:c r="N385" s="186" t="n">
        <x:v>25658</x:v>
      </x:c>
      <x:c r="O385" s="186" t="n">
        <x:f>M385-N385</x:f>
        <x:v>60882</x:v>
      </x:c>
      <x:c r="P385" s="186" t="n">
        <x:v>18437</x:v>
      </x:c>
      <x:c r="Q385" s="186" t="n">
        <x:v>17194</x:v>
      </x:c>
      <x:c r="R385" s="186" t="n">
        <x:f>P385-Q385</x:f>
        <x:v>1243</x:v>
      </x:c>
      <x:c r="S385" s="186" t="n">
        <x:v>34426</x:v>
      </x:c>
      <x:c r="T385" s="186" t="n">
        <x:v>11873</x:v>
      </x:c>
      <x:c r="U385" s="186" t="n">
        <x:f>S385-T385</x:f>
        <x:v>22553</x:v>
      </x:c>
      <x:c r="V385" s="196" t="n">
        <x:f>IFERROR(O385/F385,"")</x:f>
        <x:v>0.2697617950444862</x:v>
      </x:c>
      <x:c r="W385" s="196" t="n">
        <x:f>IFERROR(I385/F385,"")</x:f>
        <x:v>-0.287538548793024</x:v>
      </x:c>
    </x:row>
    <x:row r="386">
      <x:c r="A386" s="186" t="str">
        <x:v>Gold</x:v>
      </x:c>
      <x:c r="B386" s="187" t="n">
        <x:v>43718</x:v>
      </x:c>
      <x:c r="C386" s="187" t="n">
        <x:v>43721</x:v>
      </x:c>
      <x:c r="D386" s="186" t="str">
        <x:v>088691-GOLD</x:v>
      </x:c>
      <x:c r="E386" s="186" t="str">
        <x:v>GOLD - COMMODITY EXCHANGE INC.</x:v>
      </x:c>
      <x:c r="F386" s="186" t="n">
        <x:v>614753</x:v>
      </x:c>
      <x:c r="G386" s="186" t="n">
        <x:v>23199</x:v>
      </x:c>
      <x:c r="H386" s="186" t="n">
        <x:v>177027</x:v>
      </x:c>
      <x:c r="I386" s="186" t="n">
        <x:f>G386-H386</x:f>
        <x:v>-153828</x:v>
      </x:c>
      <x:c r="J386" s="186" t="n">
        <x:v>109076</x:v>
      </x:c>
      <x:c r="K386" s="186" t="n">
        <x:v>260859</x:v>
      </x:c>
      <x:c r="L386" s="186" t="n">
        <x:f>J386-K386</x:f>
        <x:v>-151783</x:v>
      </x:c>
      <x:c r="M386" s="186" t="n">
        <x:v>239475</x:v>
      </x:c>
      <x:c r="N386" s="186" t="n">
        <x:v>33294</x:v>
      </x:c>
      <x:c r="O386" s="186" t="n">
        <x:f>M386-N386</x:f>
        <x:v>206181</x:v>
      </x:c>
      <x:c r="P386" s="186" t="n">
        <x:v>94639</x:v>
      </x:c>
      <x:c r="Q386" s="186" t="n">
        <x:v>31095</x:v>
      </x:c>
      <x:c r="R386" s="186" t="n">
        <x:f>P386-Q386</x:f>
        <x:v>63544</x:v>
      </x:c>
      <x:c r="S386" s="186" t="n">
        <x:v>63541</x:v>
      </x:c>
      <x:c r="T386" s="186" t="n">
        <x:v>27655</x:v>
      </x:c>
      <x:c r="U386" s="186" t="n">
        <x:f>S386-T386</x:f>
        <x:v>35886</x:v>
      </x:c>
      <x:c r="V386" s="196" t="n">
        <x:f>IFERROR(O386/F386,"")</x:f>
        <x:v>0.33538835922720184</x:v>
      </x:c>
      <x:c r="W386" s="196" t="n">
        <x:f>IFERROR(I386/F386,"")</x:f>
        <x:v>-0.25022732707282436</x:v>
      </x:c>
    </x:row>
    <x:row r="387">
      <x:c r="A387" s="186" t="str">
        <x:v>Silver</x:v>
      </x:c>
      <x:c r="B387" s="187" t="n">
        <x:v>43718</x:v>
      </x:c>
      <x:c r="C387" s="187" t="n">
        <x:v>43721</x:v>
      </x:c>
      <x:c r="D387" s="186" t="str">
        <x:v>084691-SILVER</x:v>
      </x:c>
      <x:c r="E387" s="186" t="str">
        <x:v>SILVER - COMMODITY EXCHANGE INC.</x:v>
      </x:c>
      <x:c r="F387" s="186" t="n">
        <x:v>217433</x:v>
      </x:c>
      <x:c r="G387" s="186" t="n">
        <x:v>12835</x:v>
      </x:c>
      <x:c r="H387" s="186" t="n">
        <x:v>79319</x:v>
      </x:c>
      <x:c r="I387" s="186" t="n">
        <x:f>G387-H387</x:f>
        <x:v>-66484</x:v>
      </x:c>
      <x:c r="J387" s="186" t="n">
        <x:v>54707</x:v>
      </x:c>
      <x:c r="K387" s="186" t="n">
        <x:v>72991</x:v>
      </x:c>
      <x:c r="L387" s="186" t="n">
        <x:f>J387-K387</x:f>
        <x:v>-18284</x:v>
      </x:c>
      <x:c r="M387" s="186" t="n">
        <x:v>83812</x:v>
      </x:c>
      <x:c r="N387" s="186" t="n">
        <x:v>24226</x:v>
      </x:c>
      <x:c r="O387" s="186" t="n">
        <x:f>M387-N387</x:f>
        <x:v>59586</x:v>
      </x:c>
      <x:c r="P387" s="186" t="n">
        <x:v>16601</x:v>
      </x:c>
      <x:c r="Q387" s="186" t="n">
        <x:v>15956</x:v>
      </x:c>
      <x:c r="R387" s="186" t="n">
        <x:f>P387-Q387</x:f>
        <x:v>645</x:v>
      </x:c>
      <x:c r="S387" s="186" t="n">
        <x:v>33430</x:v>
      </x:c>
      <x:c r="T387" s="186" t="n">
        <x:v>8893</x:v>
      </x:c>
      <x:c r="U387" s="186" t="n">
        <x:f>S387-T387</x:f>
        <x:v>24537</x:v>
      </x:c>
      <x:c r="V387" s="196" t="n">
        <x:f>IFERROR(O387/F387,"")</x:f>
        <x:v>0.274043038545207</x:v>
      </x:c>
      <x:c r="W387" s="196" t="n">
        <x:f>IFERROR(I387/F387,"")</x:f>
        <x:v>-0.3057677537448317</x:v>
      </x:c>
    </x:row>
    <x:row r="388">
      <x:c r="A388" s="186" t="str">
        <x:v>Gold</x:v>
      </x:c>
      <x:c r="B388" s="187" t="n">
        <x:v>43725</x:v>
      </x:c>
      <x:c r="C388" s="187" t="n">
        <x:v>43728</x:v>
      </x:c>
      <x:c r="D388" s="186" t="str">
        <x:v>088691-GOLD</x:v>
      </x:c>
      <x:c r="E388" s="186" t="str">
        <x:v>GOLD - COMMODITY EXCHANGE INC.</x:v>
      </x:c>
      <x:c r="F388" s="186" t="n">
        <x:v>630990</x:v>
      </x:c>
      <x:c r="G388" s="186" t="n">
        <x:v>21281</x:v>
      </x:c>
      <x:c r="H388" s="186" t="n">
        <x:v>180842</x:v>
      </x:c>
      <x:c r="I388" s="186" t="n">
        <x:f>G388-H388</x:f>
        <x:v>-159561</x:v>
      </x:c>
      <x:c r="J388" s="186" t="n">
        <x:v>108242</x:v>
      </x:c>
      <x:c r="K388" s="186" t="n">
        <x:v>267080</x:v>
      </x:c>
      <x:c r="L388" s="186" t="n">
        <x:f>J388-K388</x:f>
        <x:v>-158838</x:v>
      </x:c>
      <x:c r="M388" s="186" t="n">
        <x:v>241936</x:v>
      </x:c>
      <x:c r="N388" s="186" t="n">
        <x:v>28080</x:v>
      </x:c>
      <x:c r="O388" s="186" t="n">
        <x:f>M388-N388</x:f>
        <x:v>213856</x:v>
      </x:c>
      <x:c r="P388" s="186" t="n">
        <x:v>99575</x:v>
      </x:c>
      <x:c r="Q388" s="186" t="n">
        <x:v>30832</x:v>
      </x:c>
      <x:c r="R388" s="186" t="n">
        <x:f>P388-Q388</x:f>
        <x:v>68743</x:v>
      </x:c>
      <x:c r="S388" s="186" t="n">
        <x:v>61089</x:v>
      </x:c>
      <x:c r="T388" s="186" t="n">
        <x:v>25289</x:v>
      </x:c>
      <x:c r="U388" s="186" t="n">
        <x:f>S388-T388</x:f>
        <x:v>35800</x:v>
      </x:c>
      <x:c r="V388" s="196" t="n">
        <x:f>IFERROR(O388/F388,"")</x:f>
        <x:v>0.33892137751786877</x:v>
      </x:c>
      <x:c r="W388" s="196" t="n">
        <x:f>IFERROR(I388/F388,"")</x:f>
        <x:v>-0.25287405505634003</x:v>
      </x:c>
    </x:row>
    <x:row r="389">
      <x:c r="A389" s="186" t="str">
        <x:v>Silver</x:v>
      </x:c>
      <x:c r="B389" s="187" t="n">
        <x:v>43725</x:v>
      </x:c>
      <x:c r="C389" s="187" t="n">
        <x:v>43728</x:v>
      </x:c>
      <x:c r="D389" s="186" t="str">
        <x:v>084691-SILVER</x:v>
      </x:c>
      <x:c r="E389" s="186" t="str">
        <x:v>SILVER - COMMODITY EXCHANGE INC.</x:v>
      </x:c>
      <x:c r="F389" s="186" t="n">
        <x:v>212514</x:v>
      </x:c>
      <x:c r="G389" s="186" t="n">
        <x:v>15318</x:v>
      </x:c>
      <x:c r="H389" s="186" t="n">
        <x:v>77914</x:v>
      </x:c>
      <x:c r="I389" s="186" t="n">
        <x:f>G389-H389</x:f>
        <x:v>-62596</x:v>
      </x:c>
      <x:c r="J389" s="186" t="n">
        <x:v>54806</x:v>
      </x:c>
      <x:c r="K389" s="186" t="n">
        <x:v>69757</x:v>
      </x:c>
      <x:c r="L389" s="186" t="n">
        <x:f>J389-K389</x:f>
        <x:v>-14951</x:v>
      </x:c>
      <x:c r="M389" s="186" t="n">
        <x:v>77640</x:v>
      </x:c>
      <x:c r="N389" s="186" t="n">
        <x:v>25020</x:v>
      </x:c>
      <x:c r="O389" s="186" t="n">
        <x:f>M389-N389</x:f>
        <x:v>52620</x:v>
      </x:c>
      <x:c r="P389" s="186" t="n">
        <x:v>16985</x:v>
      </x:c>
      <x:c r="Q389" s="186" t="n">
        <x:v>13627</x:v>
      </x:c>
      <x:c r="R389" s="186" t="n">
        <x:f>P389-Q389</x:f>
        <x:v>3358</x:v>
      </x:c>
      <x:c r="S389" s="186" t="n">
        <x:v>30901</x:v>
      </x:c>
      <x:c r="T389" s="186" t="n">
        <x:v>9332</x:v>
      </x:c>
      <x:c r="U389" s="186" t="n">
        <x:f>S389-T389</x:f>
        <x:v>21569</x:v>
      </x:c>
      <x:c r="V389" s="196" t="n">
        <x:f>IFERROR(O389/F389,"")</x:f>
        <x:v>0.24760721646573872</x:v>
      </x:c>
      <x:c r="W389" s="196" t="n">
        <x:f>IFERROR(I389/F389,"")</x:f>
        <x:v>-0.294550006117244</x:v>
      </x:c>
    </x:row>
    <x:row r="390">
      <x:c r="A390" s="186" t="str">
        <x:v>Gold</x:v>
      </x:c>
      <x:c r="B390" s="187" t="n">
        <x:v>43732</x:v>
      </x:c>
      <x:c r="C390" s="187" t="n">
        <x:v>43735</x:v>
      </x:c>
      <x:c r="D390" s="186" t="str">
        <x:v>088691-GOLD</x:v>
      </x:c>
      <x:c r="E390" s="186" t="str">
        <x:v>GOLD - COMMODITY EXCHANGE INC.</x:v>
      </x:c>
      <x:c r="F390" s="186" t="n">
        <x:v>658944</x:v>
      </x:c>
      <x:c r="G390" s="186" t="n">
        <x:v>20674</x:v>
      </x:c>
      <x:c r="H390" s="186" t="n">
        <x:v>185082</x:v>
      </x:c>
      <x:c r="I390" s="186" t="n">
        <x:f>G390-H390</x:f>
        <x:v>-164408</x:v>
      </x:c>
      <x:c r="J390" s="186" t="n">
        <x:v>109466</x:v>
      </x:c>
      <x:c r="K390" s="186" t="n">
        <x:v>290203</x:v>
      </x:c>
      <x:c r="L390" s="186" t="n">
        <x:f>J390-K390</x:f>
        <x:v>-180737</x:v>
      </x:c>
      <x:c r="M390" s="186" t="n">
        <x:v>265508</x:v>
      </x:c>
      <x:c r="N390" s="186" t="n">
        <x:v>27637</x:v>
      </x:c>
      <x:c r="O390" s="186" t="n">
        <x:f>M390-N390</x:f>
        <x:v>237871</x:v>
      </x:c>
      <x:c r="P390" s="186" t="n">
        <x:v>104885</x:v>
      </x:c>
      <x:c r="Q390" s="186" t="n">
        <x:v>30312</x:v>
      </x:c>
      <x:c r="R390" s="186" t="n">
        <x:f>P390-Q390</x:f>
        <x:v>74573</x:v>
      </x:c>
      <x:c r="S390" s="186" t="n">
        <x:v>63477</x:v>
      </x:c>
      <x:c r="T390" s="186" t="n">
        <x:v>30776</x:v>
      </x:c>
      <x:c r="U390" s="186" t="n">
        <x:f>S390-T390</x:f>
        <x:v>32701</x:v>
      </x:c>
      <x:c r="V390" s="196" t="n">
        <x:f>IFERROR(O390/F390,"")</x:f>
        <x:v>0.36098818716006215</x:v>
      </x:c>
      <x:c r="W390" s="196" t="n">
        <x:f>IFERROR(I390/F390,"")</x:f>
        <x:v>-0.2495022338772339</x:v>
      </x:c>
    </x:row>
    <x:row r="391">
      <x:c r="A391" s="186" t="str">
        <x:v>Silver</x:v>
      </x:c>
      <x:c r="B391" s="187" t="n">
        <x:v>43732</x:v>
      </x:c>
      <x:c r="C391" s="187" t="n">
        <x:v>43735</x:v>
      </x:c>
      <x:c r="D391" s="186" t="str">
        <x:v>084691-SILVER</x:v>
      </x:c>
      <x:c r="E391" s="186" t="str">
        <x:v>SILVER - COMMODITY EXCHANGE INC.</x:v>
      </x:c>
      <x:c r="F391" s="186" t="n">
        <x:v>215217</x:v>
      </x:c>
      <x:c r="G391" s="186" t="n">
        <x:v>15564</x:v>
      </x:c>
      <x:c r="H391" s="186" t="n">
        <x:v>77928</x:v>
      </x:c>
      <x:c r="I391" s="186" t="n">
        <x:f>G391-H391</x:f>
        <x:v>-62364</x:v>
      </x:c>
      <x:c r="J391" s="186" t="n">
        <x:v>54746</x:v>
      </x:c>
      <x:c r="K391" s="186" t="n">
        <x:v>68161</x:v>
      </x:c>
      <x:c r="L391" s="186" t="n">
        <x:f>J391-K391</x:f>
        <x:v>-13415</x:v>
      </x:c>
      <x:c r="M391" s="186" t="n">
        <x:v>76746</x:v>
      </x:c>
      <x:c r="N391" s="186" t="n">
        <x:v>27812</x:v>
      </x:c>
      <x:c r="O391" s="186" t="n">
        <x:f>M391-N391</x:f>
        <x:v>48934</x:v>
      </x:c>
      <x:c r="P391" s="186" t="n">
        <x:v>17256</x:v>
      </x:c>
      <x:c r="Q391" s="186" t="n">
        <x:v>15461</x:v>
      </x:c>
      <x:c r="R391" s="186" t="n">
        <x:f>P391-Q391</x:f>
        <x:v>1795</x:v>
      </x:c>
      <x:c r="S391" s="186" t="n">
        <x:v>33537</x:v>
      </x:c>
      <x:c r="T391" s="186" t="n">
        <x:v>8487</x:v>
      </x:c>
      <x:c r="U391" s="186" t="n">
        <x:f>S391-T391</x:f>
        <x:v>25050</x:v>
      </x:c>
      <x:c r="V391" s="196" t="n">
        <x:f>IFERROR(O391/F391,"")</x:f>
        <x:v>0.2273705144110363</x:v>
      </x:c>
      <x:c r="W391" s="196" t="n">
        <x:f>IFERROR(I391/F391,"")</x:f>
        <x:v>-0.28977264807148134</x:v>
      </x:c>
    </x:row>
    <x:row r="392">
      <x:c r="A392" s="186" t="str">
        <x:v>Gold</x:v>
      </x:c>
      <x:c r="B392" s="187" t="n">
        <x:v>43739</x:v>
      </x:c>
      <x:c r="C392" s="187" t="n">
        <x:v>43742</x:v>
      </x:c>
      <x:c r="D392" s="186" t="str">
        <x:v>088691-GOLD</x:v>
      </x:c>
      <x:c r="E392" s="186" t="str">
        <x:v>GOLD - COMMODITY EXCHANGE INC.</x:v>
      </x:c>
      <x:c r="F392" s="186" t="n">
        <x:v>604885</x:v>
      </x:c>
      <x:c r="G392" s="186" t="n">
        <x:v>23159</x:v>
      </x:c>
      <x:c r="H392" s="186" t="n">
        <x:v>173858</x:v>
      </x:c>
      <x:c r="I392" s="186" t="n">
        <x:f>G392-H392</x:f>
        <x:v>-150699</x:v>
      </x:c>
      <x:c r="J392" s="186" t="n">
        <x:v>109866</x:v>
      </x:c>
      <x:c r="K392" s="186" t="n">
        <x:v>262855</x:v>
      </x:c>
      <x:c r="L392" s="186" t="n">
        <x:f>J392-K392</x:f>
        <x:v>-152989</x:v>
      </x:c>
      <x:c r="M392" s="186" t="n">
        <x:v>219990</x:v>
      </x:c>
      <x:c r="N392" s="186" t="n">
        <x:v>29179</x:v>
      </x:c>
      <x:c r="O392" s="186" t="n">
        <x:f>M392-N392</x:f>
        <x:v>190811</x:v>
      </x:c>
      <x:c r="P392" s="186" t="n">
        <x:v>102810</x:v>
      </x:c>
      <x:c r="Q392" s="186" t="n">
        <x:v>24628</x:v>
      </x:c>
      <x:c r="R392" s="186" t="n">
        <x:f>P392-Q392</x:f>
        <x:v>78182</x:v>
      </x:c>
      <x:c r="S392" s="186" t="n">
        <x:v>60536</x:v>
      </x:c>
      <x:c r="T392" s="186" t="n">
        <x:v>25841</x:v>
      </x:c>
      <x:c r="U392" s="186" t="n">
        <x:f>S392-T392</x:f>
        <x:v>34695</x:v>
      </x:c>
      <x:c r="V392" s="196" t="n">
        <x:f>IFERROR(O392/F392,"")</x:f>
        <x:v>0.3154500442232821</x:v>
      </x:c>
      <x:c r="W392" s="196" t="n">
        <x:f>IFERROR(I392/F392,"")</x:f>
        <x:v>-0.24913661274457127</x:v>
      </x:c>
    </x:row>
    <x:row r="393">
      <x:c r="A393" s="186" t="str">
        <x:v>Silver</x:v>
      </x:c>
      <x:c r="B393" s="187" t="n">
        <x:v>43739</x:v>
      </x:c>
      <x:c r="C393" s="187" t="n">
        <x:v>43742</x:v>
      </x:c>
      <x:c r="D393" s="186" t="str">
        <x:v>084691-SILVER</x:v>
      </x:c>
      <x:c r="E393" s="186" t="str">
        <x:v>SILVER - COMMODITY EXCHANGE INC.</x:v>
      </x:c>
      <x:c r="F393" s="186" t="n">
        <x:v>212266</x:v>
      </x:c>
      <x:c r="G393" s="186" t="n">
        <x:v>16470</x:v>
      </x:c>
      <x:c r="H393" s="186" t="n">
        <x:v>78399</x:v>
      </x:c>
      <x:c r="I393" s="186" t="n">
        <x:f>G393-H393</x:f>
        <x:v>-61929</x:v>
      </x:c>
      <x:c r="J393" s="186" t="n">
        <x:v>53916</x:v>
      </x:c>
      <x:c r="K393" s="186" t="n">
        <x:v>65768</x:v>
      </x:c>
      <x:c r="L393" s="186" t="n">
        <x:f>J393-K393</x:f>
        <x:v>-11852</x:v>
      </x:c>
      <x:c r="M393" s="186" t="n">
        <x:v>73193</x:v>
      </x:c>
      <x:c r="N393" s="186" t="n">
        <x:v>28990</x:v>
      </x:c>
      <x:c r="O393" s="186" t="n">
        <x:f>M393-N393</x:f>
        <x:v>44203</x:v>
      </x:c>
      <x:c r="P393" s="186" t="n">
        <x:v>16774</x:v>
      </x:c>
      <x:c r="Q393" s="186" t="n">
        <x:v>11162</x:v>
      </x:c>
      <x:c r="R393" s="186" t="n">
        <x:f>P393-Q393</x:f>
        <x:v>5612</x:v>
      </x:c>
      <x:c r="S393" s="186" t="n">
        <x:v>32696</x:v>
      </x:c>
      <x:c r="T393" s="186" t="n">
        <x:v>8730</x:v>
      </x:c>
      <x:c r="U393" s="186" t="n">
        <x:f>S393-T393</x:f>
        <x:v>23966</x:v>
      </x:c>
      <x:c r="V393" s="196" t="n">
        <x:f>IFERROR(O393/F393,"")</x:f>
        <x:v>0.20824343041278395</x:v>
      </x:c>
      <x:c r="W393" s="196" t="n">
        <x:f>IFERROR(I393/F393,"")</x:f>
        <x:v>-0.2917518585171436</x:v>
      </x:c>
    </x:row>
    <x:row r="394">
      <x:c r="A394" s="186" t="str">
        <x:v>Gold</x:v>
      </x:c>
      <x:c r="B394" s="187" t="n">
        <x:v>43746</x:v>
      </x:c>
      <x:c r="C394" s="187" t="n">
        <x:v>43749</x:v>
      </x:c>
      <x:c r="D394" s="186" t="str">
        <x:v>088691-GOLD</x:v>
      </x:c>
      <x:c r="E394" s="186" t="str">
        <x:v>GOLD - COMMODITY EXCHANGE INC.</x:v>
      </x:c>
      <x:c r="F394" s="186" t="n">
        <x:v>616957</x:v>
      </x:c>
      <x:c r="G394" s="186" t="n">
        <x:v>22269</x:v>
      </x:c>
      <x:c r="H394" s="186" t="n">
        <x:v>176511</x:v>
      </x:c>
      <x:c r="I394" s="186" t="n">
        <x:f>G394-H394</x:f>
        <x:v>-154242</x:v>
      </x:c>
      <x:c r="J394" s="186" t="n">
        <x:v>112484</x:v>
      </x:c>
      <x:c r="K394" s="186" t="n">
        <x:v>269184</x:v>
      </x:c>
      <x:c r="L394" s="186" t="n">
        <x:f>J394-K394</x:f>
        <x:v>-156700</x:v>
      </x:c>
      <x:c r="M394" s="186" t="n">
        <x:v>231976</x:v>
      </x:c>
      <x:c r="N394" s="186" t="n">
        <x:v>31475</x:v>
      </x:c>
      <x:c r="O394" s="186" t="n">
        <x:f>M394-N394</x:f>
        <x:v>200501</x:v>
      </x:c>
      <x:c r="P394" s="186" t="n">
        <x:v>102407</x:v>
      </x:c>
      <x:c r="Q394" s="186" t="n">
        <x:v>27345</x:v>
      </x:c>
      <x:c r="R394" s="186" t="n">
        <x:f>P394-Q394</x:f>
        <x:v>75062</x:v>
      </x:c>
      <x:c r="S394" s="186" t="n">
        <x:v>61518</x:v>
      </x:c>
      <x:c r="T394" s="186" t="n">
        <x:v>26139</x:v>
      </x:c>
      <x:c r="U394" s="186" t="n">
        <x:f>S394-T394</x:f>
        <x:v>35379</x:v>
      </x:c>
      <x:c r="V394" s="196" t="n">
        <x:f>IFERROR(O394/F394,"")</x:f>
        <x:v>0.32498375089349824</x:v>
      </x:c>
      <x:c r="W394" s="196" t="n">
        <x:f>IFERROR(I394/F394,"")</x:f>
        <x:v>-0.2500044573608858</x:v>
      </x:c>
    </x:row>
    <x:row r="395">
      <x:c r="A395" s="186" t="str">
        <x:v>Silver</x:v>
      </x:c>
      <x:c r="B395" s="187" t="n">
        <x:v>43746</x:v>
      </x:c>
      <x:c r="C395" s="187" t="n">
        <x:v>43749</x:v>
      </x:c>
      <x:c r="D395" s="186" t="str">
        <x:v>084691-SILVER</x:v>
      </x:c>
      <x:c r="E395" s="186" t="str">
        <x:v>SILVER - COMMODITY EXCHANGE INC.</x:v>
      </x:c>
      <x:c r="F395" s="186" t="n">
        <x:v>213968</x:v>
      </x:c>
      <x:c r="G395" s="186" t="n">
        <x:v>16387</x:v>
      </x:c>
      <x:c r="H395" s="186" t="n">
        <x:v>78595</x:v>
      </x:c>
      <x:c r="I395" s="186" t="n">
        <x:f>G395-H395</x:f>
        <x:v>-62208</x:v>
      </x:c>
      <x:c r="J395" s="186" t="n">
        <x:v>54181</x:v>
      </x:c>
      <x:c r="K395" s="186" t="n">
        <x:v>68879</x:v>
      </x:c>
      <x:c r="L395" s="186" t="n">
        <x:f>J395-K395</x:f>
        <x:v>-14698</x:v>
      </x:c>
      <x:c r="M395" s="186" t="n">
        <x:v>73313</x:v>
      </x:c>
      <x:c r="N395" s="186" t="n">
        <x:v>27107</x:v>
      </x:c>
      <x:c r="O395" s="186" t="n">
        <x:f>M395-N395</x:f>
        <x:v>46206</x:v>
      </x:c>
      <x:c r="P395" s="186" t="n">
        <x:v>16779</x:v>
      </x:c>
      <x:c r="Q395" s="186" t="n">
        <x:v>12231</x:v>
      </x:c>
      <x:c r="R395" s="186" t="n">
        <x:f>P395-Q395</x:f>
        <x:v>4548</x:v>
      </x:c>
      <x:c r="S395" s="186" t="n">
        <x:v>34158</x:v>
      </x:c>
      <x:c r="T395" s="186" t="n">
        <x:v>8006</x:v>
      </x:c>
      <x:c r="U395" s="186" t="n">
        <x:f>S395-T395</x:f>
        <x:v>26152</x:v>
      </x:c>
      <x:c r="V395" s="196" t="n">
        <x:f>IFERROR(O395/F395,"")</x:f>
        <x:v>0.21594817916697823</x:v>
      </x:c>
      <x:c r="W395" s="196" t="n">
        <x:f>IFERROR(I395/F395,"")</x:f>
        <x:v>-0.29073506318701864</x:v>
      </x:c>
    </x:row>
    <x:row r="396">
      <x:c r="A396" s="186" t="str">
        <x:v>Gold</x:v>
      </x:c>
      <x:c r="B396" s="187" t="n">
        <x:v>43753</x:v>
      </x:c>
      <x:c r="C396" s="187" t="n">
        <x:v>43756</x:v>
      </x:c>
      <x:c r="D396" s="186" t="str">
        <x:v>088691-GOLD</x:v>
      </x:c>
      <x:c r="E396" s="186" t="str">
        <x:v>GOLD - COMMODITY EXCHANGE INC.</x:v>
      </x:c>
      <x:c r="F396" s="186" t="n">
        <x:v>607387</x:v>
      </x:c>
      <x:c r="G396" s="186" t="n">
        <x:v>22787</x:v>
      </x:c>
      <x:c r="H396" s="186" t="n">
        <x:v>168098</x:v>
      </x:c>
      <x:c r="I396" s="186" t="n">
        <x:f>G396-H396</x:f>
        <x:v>-145311</x:v>
      </x:c>
      <x:c r="J396" s="186" t="n">
        <x:v>117918</x:v>
      </x:c>
      <x:c r="K396" s="186" t="n">
        <x:v>260882</x:v>
      </x:c>
      <x:c r="L396" s="186" t="n">
        <x:f>J396-K396</x:f>
        <x:v>-142964</x:v>
      </x:c>
      <x:c r="M396" s="186" t="n">
        <x:v>213987</x:v>
      </x:c>
      <x:c r="N396" s="186" t="n">
        <x:v>38200</x:v>
      </x:c>
      <x:c r="O396" s="186" t="n">
        <x:f>M396-N396</x:f>
        <x:v>175787</x:v>
      </x:c>
      <x:c r="P396" s="186" t="n">
        <x:v>105383</x:v>
      </x:c>
      <x:c r="Q396" s="186" t="n">
        <x:v>28143</x:v>
      </x:c>
      <x:c r="R396" s="186" t="n">
        <x:f>P396-Q396</x:f>
        <x:v>77240</x:v>
      </x:c>
      <x:c r="S396" s="186" t="n">
        <x:v>63063</x:v>
      </x:c>
      <x:c r="T396" s="186" t="n">
        <x:v>27815</x:v>
      </x:c>
      <x:c r="U396" s="186" t="n">
        <x:f>S396-T396</x:f>
        <x:v>35248</x:v>
      </x:c>
      <x:c r="V396" s="196" t="n">
        <x:f>IFERROR(O396/F396,"")</x:f>
        <x:v>0.28941515047243355</x:v>
      </x:c>
      <x:c r="W396" s="196" t="n">
        <x:f>IFERROR(I396/F396,"")</x:f>
        <x:v>-0.23923956225602458</x:v>
      </x:c>
    </x:row>
    <x:row r="397">
      <x:c r="A397" s="186" t="str">
        <x:v>Silver</x:v>
      </x:c>
      <x:c r="B397" s="187" t="n">
        <x:v>43753</x:v>
      </x:c>
      <x:c r="C397" s="187" t="n">
        <x:v>43756</x:v>
      </x:c>
      <x:c r="D397" s="186" t="str">
        <x:v>084691-SILVER</x:v>
      </x:c>
      <x:c r="E397" s="186" t="str">
        <x:v>SILVER - COMMODITY EXCHANGE INC.</x:v>
      </x:c>
      <x:c r="F397" s="186" t="n">
        <x:v>210916</x:v>
      </x:c>
      <x:c r="G397" s="186" t="n">
        <x:v>16227</x:v>
      </x:c>
      <x:c r="H397" s="186" t="n">
        <x:v>75893</x:v>
      </x:c>
      <x:c r="I397" s="186" t="n">
        <x:f>G397-H397</x:f>
        <x:v>-59666</x:v>
      </x:c>
      <x:c r="J397" s="186" t="n">
        <x:v>55086</x:v>
      </x:c>
      <x:c r="K397" s="186" t="n">
        <x:v>65907</x:v>
      </x:c>
      <x:c r="L397" s="186" t="n">
        <x:f>J397-K397</x:f>
        <x:v>-10821</x:v>
      </x:c>
      <x:c r="M397" s="186" t="n">
        <x:v>69627</x:v>
      </x:c>
      <x:c r="N397" s="186" t="n">
        <x:v>28995</x:v>
      </x:c>
      <x:c r="O397" s="186" t="n">
        <x:f>M397-N397</x:f>
        <x:v>40632</x:v>
      </x:c>
      <x:c r="P397" s="186" t="n">
        <x:v>15461</x:v>
      </x:c>
      <x:c r="Q397" s="186" t="n">
        <x:v>12104</x:v>
      </x:c>
      <x:c r="R397" s="186" t="n">
        <x:f>P397-Q397</x:f>
        <x:v>3357</x:v>
      </x:c>
      <x:c r="S397" s="186" t="n">
        <x:v>34229</x:v>
      </x:c>
      <x:c r="T397" s="186" t="n">
        <x:v>7731</x:v>
      </x:c>
      <x:c r="U397" s="186" t="n">
        <x:f>S397-T397</x:f>
        <x:v>26498</x:v>
      </x:c>
      <x:c r="V397" s="196" t="n">
        <x:f>IFERROR(O397/F397,"")</x:f>
        <x:v>0.19264541333990784</x:v>
      </x:c>
      <x:c r="W397" s="196" t="n">
        <x:f>IFERROR(I397/F397,"")</x:f>
        <x:v>-0.28288987084905837</x:v>
      </x:c>
    </x:row>
    <x:row r="398">
      <x:c r="A398" s="186" t="str">
        <x:v>Gold</x:v>
      </x:c>
      <x:c r="B398" s="187" t="n">
        <x:v>43760</x:v>
      </x:c>
      <x:c r="C398" s="187" t="n">
        <x:v>43763</x:v>
      </x:c>
      <x:c r="D398" s="186" t="str">
        <x:v>088691-GOLD</x:v>
      </x:c>
      <x:c r="E398" s="186" t="str">
        <x:v>GOLD - COMMODITY EXCHANGE INC.</x:v>
      </x:c>
      <x:c r="F398" s="186" t="n">
        <x:v>625528</x:v>
      </x:c>
      <x:c r="G398" s="186" t="n">
        <x:v>22191</x:v>
      </x:c>
      <x:c r="H398" s="186" t="n">
        <x:v>167457</x:v>
      </x:c>
      <x:c r="I398" s="186" t="n">
        <x:f>G398-H398</x:f>
        <x:v>-145266</x:v>
      </x:c>
      <x:c r="J398" s="186" t="n">
        <x:v>119656</x:v>
      </x:c>
      <x:c r="K398" s="186" t="n">
        <x:v>269747</x:v>
      </x:c>
      <x:c r="L398" s="186" t="n">
        <x:f>J398-K398</x:f>
        <x:v>-150091</x:v>
      </x:c>
      <x:c r="M398" s="186" t="n">
        <x:v>218317</x:v>
      </x:c>
      <x:c r="N398" s="186" t="n">
        <x:v>33879</x:v>
      </x:c>
      <x:c r="O398" s="186" t="n">
        <x:f>M398-N398</x:f>
        <x:v>184438</x:v>
      </x:c>
      <x:c r="P398" s="186" t="n">
        <x:v>104600</x:v>
      </x:c>
      <x:c r="Q398" s="186" t="n">
        <x:v>29906</x:v>
      </x:c>
      <x:c r="R398" s="186" t="n">
        <x:f>P398-Q398</x:f>
        <x:v>74694</x:v>
      </x:c>
      <x:c r="S398" s="186" t="n">
        <x:v>64093</x:v>
      </x:c>
      <x:c r="T398" s="186" t="n">
        <x:v>27868</x:v>
      </x:c>
      <x:c r="U398" s="186" t="n">
        <x:f>S398-T398</x:f>
        <x:v>36225</x:v>
      </x:c>
      <x:c r="V398" s="196" t="n">
        <x:f>IFERROR(O398/F398,"")</x:f>
        <x:v>0.2948517092760036</x:v>
      </x:c>
      <x:c r="W398" s="196" t="n">
        <x:f>IFERROR(I398/F398,"")</x:f>
        <x:v>-0.23222941259224208</x:v>
      </x:c>
    </x:row>
    <x:row r="399">
      <x:c r="A399" s="186" t="str">
        <x:v>Silver</x:v>
      </x:c>
      <x:c r="B399" s="187" t="n">
        <x:v>43760</x:v>
      </x:c>
      <x:c r="C399" s="187" t="n">
        <x:v>43763</x:v>
      </x:c>
      <x:c r="D399" s="186" t="str">
        <x:v>084691-SILVER</x:v>
      </x:c>
      <x:c r="E399" s="186" t="str">
        <x:v>SILVER - COMMODITY EXCHANGE INC.</x:v>
      </x:c>
      <x:c r="F399" s="186" t="n">
        <x:v>214529</x:v>
      </x:c>
      <x:c r="G399" s="186" t="n">
        <x:v>17307</x:v>
      </x:c>
      <x:c r="H399" s="186" t="n">
        <x:v>77518</x:v>
      </x:c>
      <x:c r="I399" s="186" t="n">
        <x:f>G399-H399</x:f>
        <x:v>-60211</x:v>
      </x:c>
      <x:c r="J399" s="186" t="n">
        <x:v>54699</x:v>
      </x:c>
      <x:c r="K399" s="186" t="n">
        <x:v>66511</x:v>
      </x:c>
      <x:c r="L399" s="186" t="n">
        <x:f>J399-K399</x:f>
        <x:v>-11812</x:v>
      </x:c>
      <x:c r="M399" s="186" t="n">
        <x:v>73855</x:v>
      </x:c>
      <x:c r="N399" s="186" t="n">
        <x:v>30839</x:v>
      </x:c>
      <x:c r="O399" s="186" t="n">
        <x:f>M399-N399</x:f>
        <x:v>43016</x:v>
      </x:c>
      <x:c r="P399" s="186" t="n">
        <x:v>15892</x:v>
      </x:c>
      <x:c r="Q399" s="186" t="n">
        <x:v>12165</x:v>
      </x:c>
      <x:c r="R399" s="186" t="n">
        <x:f>P399-Q399</x:f>
        <x:v>3727</x:v>
      </x:c>
      <x:c r="S399" s="186" t="n">
        <x:v>33394</x:v>
      </x:c>
      <x:c r="T399" s="186" t="n">
        <x:v>8114</x:v>
      </x:c>
      <x:c r="U399" s="186" t="n">
        <x:f>S399-T399</x:f>
        <x:v>25280</x:v>
      </x:c>
      <x:c r="V399" s="196" t="n">
        <x:f>IFERROR(O399/F399,"")</x:f>
        <x:v>0.2005136834647064</x:v>
      </x:c>
      <x:c r="W399" s="196" t="n">
        <x:f>IFERROR(I399/F399,"")</x:f>
        <x:v>-0.2806660171818262</x:v>
      </x:c>
    </x:row>
    <x:row r="400">
      <x:c r="A400" s="186" t="str">
        <x:v>Gold</x:v>
      </x:c>
      <x:c r="B400" s="187" t="n">
        <x:v>43767</x:v>
      </x:c>
      <x:c r="C400" s="187" t="n">
        <x:v>43770</x:v>
      </x:c>
      <x:c r="D400" s="186" t="str">
        <x:v>088691-GOLD</x:v>
      </x:c>
      <x:c r="E400" s="186" t="str">
        <x:v>GOLD - COMMODITY EXCHANGE INC.</x:v>
      </x:c>
      <x:c r="F400" s="186" t="n">
        <x:v>643442</x:v>
      </x:c>
      <x:c r="G400" s="186" t="n">
        <x:v>22136</x:v>
      </x:c>
      <x:c r="H400" s="186" t="n">
        <x:v>161711</x:v>
      </x:c>
      <x:c r="I400" s="186" t="n">
        <x:f>G400-H400</x:f>
        <x:v>-139575</x:v>
      </x:c>
      <x:c r="J400" s="186" t="n">
        <x:v>122994</x:v>
      </x:c>
      <x:c r="K400" s="186" t="n">
        <x:v>284635</x:v>
      </x:c>
      <x:c r="L400" s="186" t="n">
        <x:f>J400-K400</x:f>
        <x:v>-161641</x:v>
      </x:c>
      <x:c r="M400" s="186" t="n">
        <x:v>230664</x:v>
      </x:c>
      <x:c r="N400" s="186" t="n">
        <x:v>32106</x:v>
      </x:c>
      <x:c r="O400" s="186" t="n">
        <x:f>M400-N400</x:f>
        <x:v>198558</x:v>
      </x:c>
      <x:c r="P400" s="186" t="n">
        <x:v>104759</x:v>
      </x:c>
      <x:c r="Q400" s="186" t="n">
        <x:v>26802</x:v>
      </x:c>
      <x:c r="R400" s="186" t="n">
        <x:f>P400-Q400</x:f>
        <x:v>77957</x:v>
      </x:c>
      <x:c r="S400" s="186" t="n">
        <x:v>65617</x:v>
      </x:c>
      <x:c r="T400" s="186" t="n">
        <x:v>40916</x:v>
      </x:c>
      <x:c r="U400" s="186" t="n">
        <x:f>S400-T400</x:f>
        <x:v>24701</x:v>
      </x:c>
      <x:c r="V400" s="196" t="n">
        <x:f>IFERROR(O400/F400,"")</x:f>
        <x:v>0.30858725417364735</x:v>
      </x:c>
      <x:c r="W400" s="196" t="n">
        <x:f>IFERROR(I400/F400,"")</x:f>
        <x:v>-0.21691931829131453</x:v>
      </x:c>
    </x:row>
    <x:row r="401">
      <x:c r="A401" s="186" t="str">
        <x:v>Silver</x:v>
      </x:c>
      <x:c r="B401" s="187" t="n">
        <x:v>43767</x:v>
      </x:c>
      <x:c r="C401" s="187" t="n">
        <x:v>43770</x:v>
      </x:c>
      <x:c r="D401" s="186" t="str">
        <x:v>084691-SILVER</x:v>
      </x:c>
      <x:c r="E401" s="186" t="str">
        <x:v>SILVER - COMMODITY EXCHANGE INC.</x:v>
      </x:c>
      <x:c r="F401" s="186" t="n">
        <x:v>221384</x:v>
      </x:c>
      <x:c r="G401" s="186" t="n">
        <x:v>15804</x:v>
      </x:c>
      <x:c r="H401" s="186" t="n">
        <x:v>67669</x:v>
      </x:c>
      <x:c r="I401" s="186" t="n">
        <x:f>G401-H401</x:f>
        <x:v>-51865</x:v>
      </x:c>
      <x:c r="J401" s="186" t="n">
        <x:v>54344</x:v>
      </x:c>
      <x:c r="K401" s="186" t="n">
        <x:v>70524</x:v>
      </x:c>
      <x:c r="L401" s="186" t="n">
        <x:f>J401-K401</x:f>
        <x:v>-16180</x:v>
      </x:c>
      <x:c r="M401" s="186" t="n">
        <x:v>77915</x:v>
      </x:c>
      <x:c r="N401" s="186" t="n">
        <x:v>30330</x:v>
      </x:c>
      <x:c r="O401" s="186" t="n">
        <x:f>M401-N401</x:f>
        <x:v>47585</x:v>
      </x:c>
      <x:c r="P401" s="186" t="n">
        <x:v>17453</x:v>
      </x:c>
      <x:c r="Q401" s="186" t="n">
        <x:v>11360</x:v>
      </x:c>
      <x:c r="R401" s="186" t="n">
        <x:f>P401-Q401</x:f>
        <x:v>6093</x:v>
      </x:c>
      <x:c r="S401" s="186" t="n">
        <x:v>33737</x:v>
      </x:c>
      <x:c r="T401" s="186" t="n">
        <x:v>19370</x:v>
      </x:c>
      <x:c r="U401" s="186" t="n">
        <x:f>S401-T401</x:f>
        <x:v>14367</x:v>
      </x:c>
      <x:c r="V401" s="196" t="n">
        <x:f>IFERROR(O401/F401,"")</x:f>
        <x:v>0.21494326599934954</x:v>
      </x:c>
      <x:c r="W401" s="196" t="n">
        <x:f>IFERROR(I401/F401,"")</x:f>
        <x:v>-0.2342761897878799</x:v>
      </x:c>
    </x:row>
    <x:row r="402">
      <x:c r="A402" s="186" t="str">
        <x:v>Gold</x:v>
      </x:c>
      <x:c r="B402" s="187" t="n">
        <x:v>43774</x:v>
      </x:c>
      <x:c r="C402" s="187" t="n">
        <x:v>43777</x:v>
      </x:c>
      <x:c r="D402" s="186" t="str">
        <x:v>088691-GOLD</x:v>
      </x:c>
      <x:c r="E402" s="186" t="str">
        <x:v>GOLD - COMMODITY EXCHANGE INC.</x:v>
      </x:c>
      <x:c r="F402" s="186" t="n">
        <x:v>690181</x:v>
      </x:c>
      <x:c r="G402" s="186" t="n">
        <x:v>17855</x:v>
      </x:c>
      <x:c r="H402" s="186" t="n">
        <x:v>157995</x:v>
      </x:c>
      <x:c r="I402" s="186" t="n">
        <x:f>G402-H402</x:f>
        <x:v>-140140</x:v>
      </x:c>
      <x:c r="J402" s="186" t="n">
        <x:v>126365</x:v>
      </x:c>
      <x:c r="K402" s="186" t="n">
        <x:v>303363</x:v>
      </x:c>
      <x:c r="L402" s="186" t="n">
        <x:f>J402-K402</x:f>
        <x:v>-176998</x:v>
      </x:c>
      <x:c r="M402" s="186" t="n">
        <x:v>233167</x:v>
      </x:c>
      <x:c r="N402" s="186" t="n">
        <x:v>35920</x:v>
      </x:c>
      <x:c r="O402" s="186" t="n">
        <x:f>M402-N402</x:f>
        <x:v>197247</x:v>
      </x:c>
      <x:c r="P402" s="186" t="n">
        <x:v>111424</x:v>
      </x:c>
      <x:c r="Q402" s="186" t="n">
        <x:v>28843</x:v>
      </x:c>
      <x:c r="R402" s="186" t="n">
        <x:f>P402-Q402</x:f>
        <x:v>82581</x:v>
      </x:c>
      <x:c r="S402" s="186" t="n">
        <x:v>65378</x:v>
      </x:c>
      <x:c r="T402" s="186" t="n">
        <x:v>28068</x:v>
      </x:c>
      <x:c r="U402" s="186" t="n">
        <x:f>S402-T402</x:f>
        <x:v>37310</x:v>
      </x:c>
      <x:c r="V402" s="196" t="n">
        <x:f>IFERROR(O402/F402,"")</x:f>
        <x:v>0.2857902492244788</x:v>
      </x:c>
      <x:c r="W402" s="196" t="n">
        <x:f>IFERROR(I402/F402,"")</x:f>
        <x:v>-0.20304818591065243</x:v>
      </x:c>
    </x:row>
    <x:row r="403">
      <x:c r="A403" s="186" t="str">
        <x:v>Silver</x:v>
      </x:c>
      <x:c r="B403" s="187" t="n">
        <x:v>43774</x:v>
      </x:c>
      <x:c r="C403" s="187" t="n">
        <x:v>43777</x:v>
      </x:c>
      <x:c r="D403" s="186" t="str">
        <x:v>084691-SILVER</x:v>
      </x:c>
      <x:c r="E403" s="186" t="str">
        <x:v>SILVER - COMMODITY EXCHANGE INC.</x:v>
      </x:c>
      <x:c r="F403" s="186" t="n">
        <x:v>227509</x:v>
      </x:c>
      <x:c r="G403" s="186" t="n">
        <x:v>15091</x:v>
      </x:c>
      <x:c r="H403" s="186" t="n">
        <x:v>66322</x:v>
      </x:c>
      <x:c r="I403" s="186" t="n">
        <x:f>G403-H403</x:f>
        <x:v>-51231</x:v>
      </x:c>
      <x:c r="J403" s="186" t="n">
        <x:v>55363</x:v>
      </x:c>
      <x:c r="K403" s="186" t="n">
        <x:v>79114</x:v>
      </x:c>
      <x:c r="L403" s="186" t="n">
        <x:f>J403-K403</x:f>
        <x:v>-23751</x:v>
      </x:c>
      <x:c r="M403" s="186" t="n">
        <x:v>78680</x:v>
      </x:c>
      <x:c r="N403" s="186" t="n">
        <x:v>37542</x:v>
      </x:c>
      <x:c r="O403" s="186" t="n">
        <x:f>M403-N403</x:f>
        <x:v>41138</x:v>
      </x:c>
      <x:c r="P403" s="186" t="n">
        <x:v>18494</x:v>
      </x:c>
      <x:c r="Q403" s="186" t="n">
        <x:v>11635</x:v>
      </x:c>
      <x:c r="R403" s="186" t="n">
        <x:f>P403-Q403</x:f>
        <x:v>6859</x:v>
      </x:c>
      <x:c r="S403" s="186" t="n">
        <x:v>35728</x:v>
      </x:c>
      <x:c r="T403" s="186" t="n">
        <x:v>8743</x:v>
      </x:c>
      <x:c r="U403" s="186" t="n">
        <x:f>S403-T403</x:f>
        <x:v>26985</x:v>
      </x:c>
      <x:c r="V403" s="196" t="n">
        <x:f>IFERROR(O403/F403,"")</x:f>
        <x:v>0.18081922033853606</x:v>
      </x:c>
      <x:c r="W403" s="196" t="n">
        <x:f>IFERROR(I403/F403,"")</x:f>
        <x:v>-0.22518230048042057</x:v>
      </x:c>
    </x:row>
    <x:row r="404">
      <x:c r="A404" s="186" t="str">
        <x:v>Gold</x:v>
      </x:c>
      <x:c r="B404" s="187" t="n">
        <x:v>43781</x:v>
      </x:c>
      <x:c r="C404" s="187" t="n">
        <x:v>43784</x:v>
      </x:c>
      <x:c r="D404" s="186" t="str">
        <x:v>088691-GOLD</x:v>
      </x:c>
      <x:c r="E404" s="186" t="str">
        <x:v>GOLD - COMMODITY EXCHANGE INC.</x:v>
      </x:c>
      <x:c r="F404" s="186" t="n">
        <x:v>708463</x:v>
      </x:c>
      <x:c r="G404" s="186" t="n">
        <x:v>41974</x:v>
      </x:c>
      <x:c r="H404" s="186" t="n">
        <x:v>164545</x:v>
      </x:c>
      <x:c r="I404" s="186" t="n">
        <x:f>G404-H404</x:f>
        <x:v>-122571</x:v>
      </x:c>
      <x:c r="J404" s="186" t="n">
        <x:v>123638</x:v>
      </x:c>
      <x:c r="K404" s="186" t="n">
        <x:v>302535</x:v>
      </x:c>
      <x:c r="L404" s="186" t="n">
        <x:f>J404-K404</x:f>
        <x:v>-178897</x:v>
      </x:c>
      <x:c r="M404" s="186" t="n">
        <x:v>209432</x:v>
      </x:c>
      <x:c r="N404" s="186" t="n">
        <x:v>33991</x:v>
      </x:c>
      <x:c r="O404" s="186" t="n">
        <x:f>M404-N404</x:f>
        <x:v>175441</x:v>
      </x:c>
      <x:c r="P404" s="186" t="n">
        <x:v>113757</x:v>
      </x:c>
      <x:c r="Q404" s="186" t="n">
        <x:v>22132</x:v>
      </x:c>
      <x:c r="R404" s="186" t="n">
        <x:f>P404-Q404</x:f>
        <x:v>91625</x:v>
      </x:c>
      <x:c r="S404" s="186" t="n">
        <x:v>67721</x:v>
      </x:c>
      <x:c r="T404" s="186" t="n">
        <x:v>33319</x:v>
      </x:c>
      <x:c r="U404" s="186" t="n">
        <x:f>S404-T404</x:f>
        <x:v>34402</x:v>
      </x:c>
      <x:c r="V404" s="196" t="n">
        <x:f>IFERROR(O404/F404,"")</x:f>
        <x:v>0.24763607979527513</x:v>
      </x:c>
      <x:c r="W404" s="196" t="n">
        <x:f>IFERROR(I404/F404,"")</x:f>
        <x:v>-0.17300974080509499</x:v>
      </x:c>
    </x:row>
    <x:row r="405">
      <x:c r="A405" s="186" t="str">
        <x:v>Silver</x:v>
      </x:c>
      <x:c r="B405" s="187" t="n">
        <x:v>43781</x:v>
      </x:c>
      <x:c r="C405" s="187" t="n">
        <x:v>43784</x:v>
      </x:c>
      <x:c r="D405" s="186" t="str">
        <x:v>084691-SILVER</x:v>
      </x:c>
      <x:c r="E405" s="186" t="str">
        <x:v>SILVER - COMMODITY EXCHANGE INC.</x:v>
      </x:c>
      <x:c r="F405" s="186" t="n">
        <x:v>222122</x:v>
      </x:c>
      <x:c r="G405" s="186" t="n">
        <x:v>20558</x:v>
      </x:c>
      <x:c r="H405" s="186" t="n">
        <x:v>65909</x:v>
      </x:c>
      <x:c r="I405" s="186" t="n">
        <x:f>G405-H405</x:f>
        <x:v>-45351</x:v>
      </x:c>
      <x:c r="J405" s="186" t="n">
        <x:v>56139</x:v>
      </x:c>
      <x:c r="K405" s="186" t="n">
        <x:v>72680</x:v>
      </x:c>
      <x:c r="L405" s="186" t="n">
        <x:f>J405-K405</x:f>
        <x:v>-16541</x:v>
      </x:c>
      <x:c r="M405" s="186" t="n">
        <x:v>72660</x:v>
      </x:c>
      <x:c r="N405" s="186" t="n">
        <x:v>41083</x:v>
      </x:c>
      <x:c r="O405" s="186" t="n">
        <x:f>M405-N405</x:f>
        <x:v>31577</x:v>
      </x:c>
      <x:c r="P405" s="186" t="n">
        <x:v>16667</x:v>
      </x:c>
      <x:c r="Q405" s="186" t="n">
        <x:v>10880</x:v>
      </x:c>
      <x:c r="R405" s="186" t="n">
        <x:f>P405-Q405</x:f>
        <x:v>5787</x:v>
      </x:c>
      <x:c r="S405" s="186" t="n">
        <x:v>34287</x:v>
      </x:c>
      <x:c r="T405" s="186" t="n">
        <x:v>9759</x:v>
      </x:c>
      <x:c r="U405" s="186" t="n">
        <x:f>S405-T405</x:f>
        <x:v>24528</x:v>
      </x:c>
      <x:c r="V405" s="196" t="n">
        <x:f>IFERROR(O405/F405,"")</x:f>
        <x:v>0.14216061443711114</x:v>
      </x:c>
      <x:c r="W405" s="196" t="n">
        <x:f>IFERROR(I405/F405,"")</x:f>
        <x:v>-0.20417158138320382</x:v>
      </x:c>
    </x:row>
    <x:row r="406">
      <x:c r="A406" s="186" t="str">
        <x:v>Gold</x:v>
      </x:c>
      <x:c r="B406" s="187" t="n">
        <x:v>43788</x:v>
      </x:c>
      <x:c r="C406" s="187" t="n">
        <x:v>43791</x:v>
      </x:c>
      <x:c r="D406" s="186" t="str">
        <x:v>088691-GOLD</x:v>
      </x:c>
      <x:c r="E406" s="186" t="str">
        <x:v>GOLD - COMMODITY EXCHANGE INC.</x:v>
      </x:c>
      <x:c r="F406" s="186" t="n">
        <x:v>719211</x:v>
      </x:c>
      <x:c r="G406" s="186" t="n">
        <x:v>38835</x:v>
      </x:c>
      <x:c r="H406" s="186" t="n">
        <x:v>166073</x:v>
      </x:c>
      <x:c r="I406" s="186" t="n">
        <x:f>G406-H406</x:f>
        <x:v>-127238</x:v>
      </x:c>
      <x:c r="J406" s="186" t="n">
        <x:v>122366</x:v>
      </x:c>
      <x:c r="K406" s="186" t="n">
        <x:v>314223</x:v>
      </x:c>
      <x:c r="L406" s="186" t="n">
        <x:f>J406-K406</x:f>
        <x:v>-191857</x:v>
      </x:c>
      <x:c r="M406" s="186" t="n">
        <x:v>221795</x:v>
      </x:c>
      <x:c r="N406" s="186" t="n">
        <x:v>26596</x:v>
      </x:c>
      <x:c r="O406" s="186" t="n">
        <x:f>M406-N406</x:f>
        <x:v>195199</x:v>
      </x:c>
      <x:c r="P406" s="186" t="n">
        <x:v>115501</x:v>
      </x:c>
      <x:c r="Q406" s="186" t="n">
        <x:v>24841</x:v>
      </x:c>
      <x:c r="R406" s="186" t="n">
        <x:f>P406-Q406</x:f>
        <x:v>90660</x:v>
      </x:c>
      <x:c r="S406" s="186" t="n">
        <x:v>65553</x:v>
      </x:c>
      <x:c r="T406" s="186" t="n">
        <x:v>32317</x:v>
      </x:c>
      <x:c r="U406" s="186" t="n">
        <x:f>S406-T406</x:f>
        <x:v>33236</x:v>
      </x:c>
      <x:c r="V406" s="196" t="n">
        <x:f>IFERROR(O406/F406,"")</x:f>
        <x:v>0.27140713921227566</x:v>
      </x:c>
      <x:c r="W406" s="196" t="n">
        <x:f>IFERROR(I406/F406,"")</x:f>
        <x:v>-0.17691331194878832</x:v>
      </x:c>
    </x:row>
    <x:row r="407">
      <x:c r="A407" s="186" t="str">
        <x:v>Silver</x:v>
      </x:c>
      <x:c r="B407" s="187" t="n">
        <x:v>43788</x:v>
      </x:c>
      <x:c r="C407" s="187" t="n">
        <x:v>43791</x:v>
      </x:c>
      <x:c r="D407" s="186" t="str">
        <x:v>084691-SILVER</x:v>
      </x:c>
      <x:c r="E407" s="186" t="str">
        <x:v>SILVER - COMMODITY EXCHANGE INC.</x:v>
      </x:c>
      <x:c r="F407" s="186" t="n">
        <x:v>221707</x:v>
      </x:c>
      <x:c r="G407" s="186" t="n">
        <x:v>18028</x:v>
      </x:c>
      <x:c r="H407" s="186" t="n">
        <x:v>61537</x:v>
      </x:c>
      <x:c r="I407" s="186" t="n">
        <x:f>G407-H407</x:f>
        <x:v>-43509</x:v>
      </x:c>
      <x:c r="J407" s="186" t="n">
        <x:v>55808</x:v>
      </x:c>
      <x:c r="K407" s="186" t="n">
        <x:v>78848</x:v>
      </x:c>
      <x:c r="L407" s="186" t="n">
        <x:f>J407-K407</x:f>
        <x:v>-23040</x:v>
      </x:c>
      <x:c r="M407" s="186" t="n">
        <x:v>73877</x:v>
      </x:c>
      <x:c r="N407" s="186" t="n">
        <x:v>34032</x:v>
      </x:c>
      <x:c r="O407" s="186" t="n">
        <x:f>M407-N407</x:f>
        <x:v>39845</x:v>
      </x:c>
      <x:c r="P407" s="186" t="n">
        <x:v>16021</x:v>
      </x:c>
      <x:c r="Q407" s="186" t="n">
        <x:v>11150</x:v>
      </x:c>
      <x:c r="R407" s="186" t="n">
        <x:f>P407-Q407</x:f>
        <x:v>4871</x:v>
      </x:c>
      <x:c r="S407" s="186" t="n">
        <x:v>34364</x:v>
      </x:c>
      <x:c r="T407" s="186" t="n">
        <x:v>12531</x:v>
      </x:c>
      <x:c r="U407" s="186" t="n">
        <x:f>S407-T407</x:f>
        <x:v>21833</x:v>
      </x:c>
      <x:c r="V407" s="196" t="n">
        <x:f>IFERROR(O407/F407,"")</x:f>
        <x:v>0.17971917891631747</x:v>
      </x:c>
      <x:c r="W407" s="196" t="n">
        <x:f>IFERROR(I407/F407,"")</x:f>
        <x:v>-0.19624549518057616</x:v>
      </x:c>
    </x:row>
    <x:row r="408">
      <x:c r="A408" s="186" t="str">
        <x:v>Gold</x:v>
      </x:c>
      <x:c r="B408" s="187" t="n">
        <x:v>43795</x:v>
      </x:c>
      <x:c r="C408" s="187" t="n">
        <x:v>43798</x:v>
      </x:c>
      <x:c r="D408" s="186" t="str">
        <x:v>088691-GOLD</x:v>
      </x:c>
      <x:c r="E408" s="186" t="str">
        <x:v>GOLD - COMMODITY EXCHANGE INC.</x:v>
      </x:c>
      <x:c r="F408" s="186" t="n">
        <x:v>669268</x:v>
      </x:c>
      <x:c r="G408" s="186" t="n">
        <x:v>24107</x:v>
      </x:c>
      <x:c r="H408" s="186" t="n">
        <x:v>145103</x:v>
      </x:c>
      <x:c r="I408" s="186" t="n">
        <x:f>G408-H408</x:f>
        <x:v>-120996</x:v>
      </x:c>
      <x:c r="J408" s="186" t="n">
        <x:v>121252</x:v>
      </x:c>
      <x:c r="K408" s="186" t="n">
        <x:v>305723</x:v>
      </x:c>
      <x:c r="L408" s="186" t="n">
        <x:f>J408-K408</x:f>
        <x:v>-184471</x:v>
      </x:c>
      <x:c r="M408" s="186" t="n">
        <x:v>218724</x:v>
      </x:c>
      <x:c r="N408" s="186" t="n">
        <x:v>24437</x:v>
      </x:c>
      <x:c r="O408" s="186" t="n">
        <x:f>M408-N408</x:f>
        <x:v>194287</x:v>
      </x:c>
      <x:c r="P408" s="186" t="n">
        <x:v>106562</x:v>
      </x:c>
      <x:c r="Q408" s="186" t="n">
        <x:v>29215</x:v>
      </x:c>
      <x:c r="R408" s="186" t="n">
        <x:f>P408-Q408</x:f>
        <x:v>77347</x:v>
      </x:c>
      <x:c r="S408" s="186" t="n">
        <x:v>58912</x:v>
      </x:c>
      <x:c r="T408" s="186" t="n">
        <x:v>25079</x:v>
      </x:c>
      <x:c r="U408" s="186" t="n">
        <x:f>S408-T408</x:f>
        <x:v>33833</x:v>
      </x:c>
      <x:c r="V408" s="196" t="n">
        <x:f>IFERROR(O408/F408,"")</x:f>
        <x:v>0.29029775814770764</x:v>
      </x:c>
      <x:c r="W408" s="196" t="n">
        <x:f>IFERROR(I408/F408,"")</x:f>
        <x:v>-0.1807885630270684</x:v>
      </x:c>
    </x:row>
    <x:row r="409">
      <x:c r="A409" s="186" t="str">
        <x:v>Silver</x:v>
      </x:c>
      <x:c r="B409" s="187" t="n">
        <x:v>43795</x:v>
      </x:c>
      <x:c r="C409" s="187" t="n">
        <x:v>43798</x:v>
      </x:c>
      <x:c r="D409" s="186" t="str">
        <x:v>084691-SILVER</x:v>
      </x:c>
      <x:c r="E409" s="186" t="str">
        <x:v>SILVER - COMMODITY EXCHANGE INC.</x:v>
      </x:c>
      <x:c r="F409" s="186" t="n">
        <x:v>209603</x:v>
      </x:c>
      <x:c r="G409" s="186" t="n">
        <x:v>10530</x:v>
      </x:c>
      <x:c r="H409" s="186" t="n">
        <x:v>58731</x:v>
      </x:c>
      <x:c r="I409" s="186" t="n">
        <x:f>G409-H409</x:f>
        <x:v>-48201</x:v>
      </x:c>
      <x:c r="J409" s="186" t="n">
        <x:v>54374</x:v>
      </x:c>
      <x:c r="K409" s="186" t="n">
        <x:v>80046</x:v>
      </x:c>
      <x:c r="L409" s="186" t="n">
        <x:f>J409-K409</x:f>
        <x:v>-25672</x:v>
      </x:c>
      <x:c r="M409" s="186" t="n">
        <x:v>75942</x:v>
      </x:c>
      <x:c r="N409" s="186" t="n">
        <x:v>27803</x:v>
      </x:c>
      <x:c r="O409" s="186" t="n">
        <x:f>M409-N409</x:f>
        <x:v>48139</x:v>
      </x:c>
      <x:c r="P409" s="186" t="n">
        <x:v>14953</x:v>
      </x:c>
      <x:c r="Q409" s="186" t="n">
        <x:v>10582</x:v>
      </x:c>
      <x:c r="R409" s="186" t="n">
        <x:f>P409-Q409</x:f>
        <x:v>4371</x:v>
      </x:c>
      <x:c r="S409" s="186" t="n">
        <x:v>30057</x:v>
      </x:c>
      <x:c r="T409" s="186" t="n">
        <x:v>8694</x:v>
      </x:c>
      <x:c r="U409" s="186" t="n">
        <x:f>S409-T409</x:f>
        <x:v>21363</x:v>
      </x:c>
      <x:c r="V409" s="196" t="n">
        <x:f>IFERROR(O409/F409,"")</x:f>
        <x:v>0.22966751430084492</x:v>
      </x:c>
      <x:c r="W409" s="196" t="n">
        <x:f>IFERROR(I409/F409,"")</x:f>
        <x:v>-0.2299633115938226</x:v>
      </x:c>
    </x:row>
    <x:row r="410">
      <x:c r="A410" s="186" t="str">
        <x:v>Gold</x:v>
      </x:c>
      <x:c r="B410" s="187" t="n">
        <x:v>43802</x:v>
      </x:c>
      <x:c r="C410" s="187" t="n">
        <x:v>43805</x:v>
      </x:c>
      <x:c r="D410" s="186" t="str">
        <x:v>088691-GOLD</x:v>
      </x:c>
      <x:c r="E410" s="186" t="str">
        <x:v>GOLD - COMMODITY EXCHANGE INC.</x:v>
      </x:c>
      <x:c r="F410" s="186" t="n">
        <x:v>701016</x:v>
      </x:c>
      <x:c r="G410" s="186" t="n">
        <x:v>25300</x:v>
      </x:c>
      <x:c r="H410" s="186" t="n">
        <x:v>154111</x:v>
      </x:c>
      <x:c r="I410" s="186" t="n">
        <x:f>G410-H410</x:f>
        <x:v>-128811</x:v>
      </x:c>
      <x:c r="J410" s="186" t="n">
        <x:v>122418</x:v>
      </x:c>
      <x:c r="K410" s="186" t="n">
        <x:v>316394</x:v>
      </x:c>
      <x:c r="L410" s="186" t="n">
        <x:f>J410-K410</x:f>
        <x:v>-193976</x:v>
      </x:c>
      <x:c r="M410" s="186" t="n">
        <x:v>232276</x:v>
      </x:c>
      <x:c r="N410" s="186" t="n">
        <x:v>24314</x:v>
      </x:c>
      <x:c r="O410" s="186" t="n">
        <x:f>M410-N410</x:f>
        <x:v>207962</x:v>
      </x:c>
      <x:c r="P410" s="186" t="n">
        <x:v>114249</x:v>
      </x:c>
      <x:c r="Q410" s="186" t="n">
        <x:v>31506</x:v>
      </x:c>
      <x:c r="R410" s="186" t="n">
        <x:f>P410-Q410</x:f>
        <x:v>82743</x:v>
      </x:c>
      <x:c r="S410" s="186" t="n">
        <x:v>56680</x:v>
      </x:c>
      <x:c r="T410" s="186" t="n">
        <x:v>24598</x:v>
      </x:c>
      <x:c r="U410" s="186" t="n">
        <x:f>S410-T410</x:f>
        <x:v>32082</x:v>
      </x:c>
      <x:c r="V410" s="196" t="n">
        <x:f>IFERROR(O410/F410,"")</x:f>
        <x:v>0.29665799354080363</x:v>
      </x:c>
      <x:c r="W410" s="196" t="n">
        <x:f>IFERROR(I410/F410,"")</x:f>
        <x:v>-0.18374901571433463</x:v>
      </x:c>
    </x:row>
    <x:row r="411">
      <x:c r="A411" s="186" t="str">
        <x:v>Silver</x:v>
      </x:c>
      <x:c r="B411" s="187" t="n">
        <x:v>43802</x:v>
      </x:c>
      <x:c r="C411" s="187" t="n">
        <x:v>43805</x:v>
      </x:c>
      <x:c r="D411" s="186" t="str">
        <x:v>084691-SILVER</x:v>
      </x:c>
      <x:c r="E411" s="186" t="str">
        <x:v>SILVER - COMMODITY EXCHANGE INC.</x:v>
      </x:c>
      <x:c r="F411" s="186" t="n">
        <x:v>205807</x:v>
      </x:c>
      <x:c r="G411" s="186" t="n">
        <x:v>10068</x:v>
      </x:c>
      <x:c r="H411" s="186" t="n">
        <x:v>59670</x:v>
      </x:c>
      <x:c r="I411" s="186" t="n">
        <x:f>G411-H411</x:f>
        <x:v>-49602</x:v>
      </x:c>
      <x:c r="J411" s="186" t="n">
        <x:v>54097</x:v>
      </x:c>
      <x:c r="K411" s="186" t="n">
        <x:v>78794</x:v>
      </x:c>
      <x:c r="L411" s="186" t="n">
        <x:f>J411-K411</x:f>
        <x:v>-24697</x:v>
      </x:c>
      <x:c r="M411" s="186" t="n">
        <x:v>73377</x:v>
      </x:c>
      <x:c r="N411" s="186" t="n">
        <x:v>29204</x:v>
      </x:c>
      <x:c r="O411" s="186" t="n">
        <x:f>M411-N411</x:f>
        <x:v>44173</x:v>
      </x:c>
      <x:c r="P411" s="186" t="n">
        <x:v>15864</x:v>
      </x:c>
      <x:c r="Q411" s="186" t="n">
        <x:v>9810</x:v>
      </x:c>
      <x:c r="R411" s="186" t="n">
        <x:f>P411-Q411</x:f>
        <x:v>6054</x:v>
      </x:c>
      <x:c r="S411" s="186" t="n">
        <x:v>31638</x:v>
      </x:c>
      <x:c r="T411" s="186" t="n">
        <x:v>7566</x:v>
      </x:c>
      <x:c r="U411" s="186" t="n">
        <x:f>S411-T411</x:f>
        <x:v>24072</x:v>
      </x:c>
      <x:c r="V411" s="196" t="n">
        <x:f>IFERROR(O411/F411,"")</x:f>
        <x:v>0.21463312715310948</x:v>
      </x:c>
      <x:c r="W411" s="196" t="n">
        <x:f>IFERROR(I411/F411,"")</x:f>
        <x:v>-0.24101221046903168</x:v>
      </x:c>
    </x:row>
    <x:row r="412">
      <x:c r="A412" s="186" t="str">
        <x:v>Gold</x:v>
      </x:c>
      <x:c r="B412" s="187" t="n">
        <x:v>43809</x:v>
      </x:c>
      <x:c r="C412" s="187" t="n">
        <x:v>43812</x:v>
      </x:c>
      <x:c r="D412" s="186" t="str">
        <x:v>088691-GOLD</x:v>
      </x:c>
      <x:c r="E412" s="186" t="str">
        <x:v>GOLD - COMMODITY EXCHANGE INC.</x:v>
      </x:c>
      <x:c r="F412" s="186" t="n">
        <x:v>690003</x:v>
      </x:c>
      <x:c r="G412" s="186" t="n">
        <x:v>25199</x:v>
      </x:c>
      <x:c r="H412" s="186" t="n">
        <x:v>147377</x:v>
      </x:c>
      <x:c r="I412" s="186" t="n">
        <x:f>G412-H412</x:f>
        <x:v>-122178</x:v>
      </x:c>
      <x:c r="J412" s="186" t="n">
        <x:v>124100</x:v>
      </x:c>
      <x:c r="K412" s="186" t="n">
        <x:v>304205</x:v>
      </x:c>
      <x:c r="L412" s="186" t="n">
        <x:f>J412-K412</x:f>
        <x:v>-180105</x:v>
      </x:c>
      <x:c r="M412" s="186" t="n">
        <x:v>212929</x:v>
      </x:c>
      <x:c r="N412" s="186" t="n">
        <x:v>29281</x:v>
      </x:c>
      <x:c r="O412" s="186" t="n">
        <x:f>M412-N412</x:f>
        <x:v>183648</x:v>
      </x:c>
      <x:c r="P412" s="186" t="n">
        <x:v>116240</x:v>
      </x:c>
      <x:c r="Q412" s="186" t="n">
        <x:v>28968</x:v>
      </x:c>
      <x:c r="R412" s="186" t="n">
        <x:f>P412-Q412</x:f>
        <x:v>87272</x:v>
      </x:c>
      <x:c r="S412" s="186" t="n">
        <x:v>56051</x:v>
      </x:c>
      <x:c r="T412" s="186" t="n">
        <x:v>24688</x:v>
      </x:c>
      <x:c r="U412" s="186" t="n">
        <x:f>S412-T412</x:f>
        <x:v>31363</x:v>
      </x:c>
      <x:c r="V412" s="196" t="n">
        <x:f>IFERROR(O412/F412,"")</x:f>
        <x:v>0.2661553645418933</x:v>
      </x:c>
      <x:c r="W412" s="196" t="n">
        <x:f>IFERROR(I412/F412,"")</x:f>
        <x:v>-0.1770687953530637</x:v>
      </x:c>
    </x:row>
    <x:row r="413">
      <x:c r="A413" s="186" t="str">
        <x:v>Silver</x:v>
      </x:c>
      <x:c r="B413" s="187" t="n">
        <x:v>43809</x:v>
      </x:c>
      <x:c r="C413" s="187" t="n">
        <x:v>43812</x:v>
      </x:c>
      <x:c r="D413" s="186" t="str">
        <x:v>084691-SILVER</x:v>
      </x:c>
      <x:c r="E413" s="186" t="str">
        <x:v>SILVER - COMMODITY EXCHANGE INC.</x:v>
      </x:c>
      <x:c r="F413" s="186" t="n">
        <x:v>202258</x:v>
      </x:c>
      <x:c r="G413" s="186" t="n">
        <x:v>10836</x:v>
      </x:c>
      <x:c r="H413" s="186" t="n">
        <x:v>55825</x:v>
      </x:c>
      <x:c r="I413" s="186" t="n">
        <x:f>G413-H413</x:f>
        <x:v>-44989</x:v>
      </x:c>
      <x:c r="J413" s="186" t="n">
        <x:v>54524</x:v>
      </x:c>
      <x:c r="K413" s="186" t="n">
        <x:v>72682</x:v>
      </x:c>
      <x:c r="L413" s="186" t="n">
        <x:f>J413-K413</x:f>
        <x:v>-18158</x:v>
      </x:c>
      <x:c r="M413" s="186" t="n">
        <x:v>64531</x:v>
      </x:c>
      <x:c r="N413" s="186" t="n">
        <x:v>35319</x:v>
      </x:c>
      <x:c r="O413" s="186" t="n">
        <x:f>M413-N413</x:f>
        <x:v>29212</x:v>
      </x:c>
      <x:c r="P413" s="186" t="n">
        <x:v>21086</x:v>
      </x:c>
      <x:c r="Q413" s="186" t="n">
        <x:v>9556</x:v>
      </x:c>
      <x:c r="R413" s="186" t="n">
        <x:f>P413-Q413</x:f>
        <x:v>11530</x:v>
      </x:c>
      <x:c r="S413" s="186" t="n">
        <x:v>30249</x:v>
      </x:c>
      <x:c r="T413" s="186" t="n">
        <x:v>7844</x:v>
      </x:c>
      <x:c r="U413" s="186" t="n">
        <x:f>S413-T413</x:f>
        <x:v>22405</x:v>
      </x:c>
      <x:c r="V413" s="196" t="n">
        <x:f>IFERROR(O413/F413,"")</x:f>
        <x:v>0.14442939216248554</x:v>
      </x:c>
      <x:c r="W413" s="196" t="n">
        <x:f>IFERROR(I413/F413,"")</x:f>
        <x:v>-0.22243372326434555</x:v>
      </x:c>
    </x:row>
    <x:row r="414">
      <x:c r="A414" s="186" t="str">
        <x:v>Gold</x:v>
      </x:c>
      <x:c r="B414" s="187" t="n">
        <x:v>43816</x:v>
      </x:c>
      <x:c r="C414" s="187" t="n">
        <x:v>43819</x:v>
      </x:c>
      <x:c r="D414" s="186" t="str">
        <x:v>088691-GOLD</x:v>
      </x:c>
      <x:c r="E414" s="186" t="str">
        <x:v>GOLD - COMMODITY EXCHANGE INC.</x:v>
      </x:c>
      <x:c r="F414" s="186" t="n">
        <x:v>716987</x:v>
      </x:c>
      <x:c r="G414" s="186" t="n">
        <x:v>24515</x:v>
      </x:c>
      <x:c r="H414" s="186" t="n">
        <x:v>157858</x:v>
      </x:c>
      <x:c r="I414" s="186" t="n">
        <x:f>G414-H414</x:f>
        <x:v>-133343</x:v>
      </x:c>
      <x:c r="J414" s="186" t="n">
        <x:v>123907</x:v>
      </x:c>
      <x:c r="K414" s="186" t="n">
        <x:v>309183</x:v>
      </x:c>
      <x:c r="L414" s="186" t="n">
        <x:f>J414-K414</x:f>
        <x:v>-185276</x:v>
      </x:c>
      <x:c r="M414" s="186" t="n">
        <x:v>228616</x:v>
      </x:c>
      <x:c r="N414" s="186" t="n">
        <x:v>26895</x:v>
      </x:c>
      <x:c r="O414" s="186" t="n">
        <x:f>M414-N414</x:f>
        <x:v>201721</x:v>
      </x:c>
      <x:c r="P414" s="186" t="n">
        <x:v>115877</x:v>
      </x:c>
      <x:c r="Q414" s="186" t="n">
        <x:v>31323</x:v>
      </x:c>
      <x:c r="R414" s="186" t="n">
        <x:f>P414-Q414</x:f>
        <x:v>84554</x:v>
      </x:c>
      <x:c r="S414" s="186" t="n">
        <x:v>55897</x:v>
      </x:c>
      <x:c r="T414" s="186" t="n">
        <x:v>23553</x:v>
      </x:c>
      <x:c r="U414" s="186" t="n">
        <x:f>S414-T414</x:f>
        <x:v>32344</x:v>
      </x:c>
      <x:c r="V414" s="196" t="n">
        <x:f>IFERROR(O414/F414,"")</x:f>
        <x:v>0.2813454079362666</x:v>
      </x:c>
      <x:c r="W414" s="196" t="n">
        <x:f>IFERROR(I414/F414,"")</x:f>
        <x:v>-0.1859768726629632</x:v>
      </x:c>
    </x:row>
    <x:row r="415">
      <x:c r="A415" s="186" t="str">
        <x:v>Silver</x:v>
      </x:c>
      <x:c r="B415" s="187" t="n">
        <x:v>43816</x:v>
      </x:c>
      <x:c r="C415" s="187" t="n">
        <x:v>43819</x:v>
      </x:c>
      <x:c r="D415" s="186" t="str">
        <x:v>084691-SILVER</x:v>
      </x:c>
      <x:c r="E415" s="186" t="str">
        <x:v>SILVER - COMMODITY EXCHANGE INC.</x:v>
      </x:c>
      <x:c r="F415" s="186" t="n">
        <x:v>206302</x:v>
      </x:c>
      <x:c r="G415" s="186" t="n">
        <x:v>10687</x:v>
      </x:c>
      <x:c r="H415" s="186" t="n">
        <x:v>59056</x:v>
      </x:c>
      <x:c r="I415" s="186" t="n">
        <x:f>G415-H415</x:f>
        <x:v>-48369</x:v>
      </x:c>
      <x:c r="J415" s="186" t="n">
        <x:v>54746</x:v>
      </x:c>
      <x:c r="K415" s="186" t="n">
        <x:v>77335</x:v>
      </x:c>
      <x:c r="L415" s="186" t="n">
        <x:f>J415-K415</x:f>
        <x:v>-22589</x:v>
      </x:c>
      <x:c r="M415" s="186" t="n">
        <x:v>68153</x:v>
      </x:c>
      <x:c r="N415" s="186" t="n">
        <x:v>32674</x:v>
      </x:c>
      <x:c r="O415" s="186" t="n">
        <x:f>M415-N415</x:f>
        <x:v>35479</x:v>
      </x:c>
      <x:c r="P415" s="186" t="n">
        <x:v>20062</x:v>
      </x:c>
      <x:c r="Q415" s="186" t="n">
        <x:v>9760</x:v>
      </x:c>
      <x:c r="R415" s="186" t="n">
        <x:f>P415-Q415</x:f>
        <x:v>10302</x:v>
      </x:c>
      <x:c r="S415" s="186" t="n">
        <x:v>31480</x:v>
      </x:c>
      <x:c r="T415" s="186" t="n">
        <x:v>6303</x:v>
      </x:c>
      <x:c r="U415" s="186" t="n">
        <x:f>S415-T415</x:f>
        <x:v>25177</x:v>
      </x:c>
      <x:c r="V415" s="196" t="n">
        <x:f>IFERROR(O415/F415,"")</x:f>
        <x:v>0.17197603513296042</x:v>
      </x:c>
      <x:c r="W415" s="196" t="n">
        <x:f>IFERROR(I415/F415,"")</x:f>
        <x:v>-0.23445725198980136</x:v>
      </x:c>
    </x:row>
    <x:row r="416">
      <x:c r="A416" s="186" t="str">
        <x:v>Gold</x:v>
      </x:c>
      <x:c r="B416" s="187" t="n">
        <x:v>43823</x:v>
      </x:c>
      <x:c r="C416" s="187" t="n">
        <x:v>43826</x:v>
      </x:c>
      <x:c r="D416" s="186" t="str">
        <x:v>088691-GOLD</x:v>
      </x:c>
      <x:c r="E416" s="186" t="str">
        <x:v>GOLD - COMMODITY EXCHANGE INC.</x:v>
      </x:c>
      <x:c r="F416" s="186" t="n">
        <x:v>748737</x:v>
      </x:c>
      <x:c r="G416" s="186" t="n">
        <x:v>26943</x:v>
      </x:c>
      <x:c r="H416" s="186" t="n">
        <x:v>164091</x:v>
      </x:c>
      <x:c r="I416" s="186" t="n">
        <x:f>G416-H416</x:f>
        <x:v>-137148</x:v>
      </x:c>
      <x:c r="J416" s="186" t="n">
        <x:v>122413</x:v>
      </x:c>
      <x:c r="K416" s="186" t="n">
        <x:v>325661</x:v>
      </x:c>
      <x:c r="L416" s="186" t="n">
        <x:f>J416-K416</x:f>
        <x:v>-203248</x:v>
      </x:c>
      <x:c r="M416" s="186" t="n">
        <x:v>245366</x:v>
      </x:c>
      <x:c r="N416" s="186" t="n">
        <x:v>26520</x:v>
      </x:c>
      <x:c r="O416" s="186" t="n">
        <x:f>M416-N416</x:f>
        <x:v>218846</x:v>
      </x:c>
      <x:c r="P416" s="186" t="n">
        <x:v>118944</x:v>
      </x:c>
      <x:c r="Q416" s="186" t="n">
        <x:v>32138</x:v>
      </x:c>
      <x:c r="R416" s="186" t="n">
        <x:f>P416-Q416</x:f>
        <x:v>86806</x:v>
      </x:c>
      <x:c r="S416" s="186" t="n">
        <x:v>59201</x:v>
      </x:c>
      <x:c r="T416" s="186" t="n">
        <x:v>24457</x:v>
      </x:c>
      <x:c r="U416" s="186" t="n">
        <x:f>S416-T416</x:f>
        <x:v>34744</x:v>
      </x:c>
      <x:c r="V416" s="196" t="n">
        <x:f>IFERROR(O416/F416,"")</x:f>
        <x:v>0.2922868777688294</x:v>
      </x:c>
      <x:c r="W416" s="196" t="n">
        <x:f>IFERROR(I416/F416,"")</x:f>
        <x:v>-0.1831724624267266</x:v>
      </x:c>
    </x:row>
    <x:row r="417">
      <x:c r="A417" s="186" t="str">
        <x:v>Silver</x:v>
      </x:c>
      <x:c r="B417" s="187" t="n">
        <x:v>43823</x:v>
      </x:c>
      <x:c r="C417" s="187" t="n">
        <x:v>43826</x:v>
      </x:c>
      <x:c r="D417" s="186" t="str">
        <x:v>084691-SILVER</x:v>
      </x:c>
      <x:c r="E417" s="186" t="str">
        <x:v>SILVER - COMMODITY EXCHANGE INC.</x:v>
      </x:c>
      <x:c r="F417" s="186" t="n">
        <x:v>223046</x:v>
      </x:c>
      <x:c r="G417" s="186" t="n">
        <x:v>10360</x:v>
      </x:c>
      <x:c r="H417" s="186" t="n">
        <x:v>63209</x:v>
      </x:c>
      <x:c r="I417" s="186" t="n">
        <x:f>G417-H417</x:f>
        <x:v>-52849</x:v>
      </x:c>
      <x:c r="J417" s="186" t="n">
        <x:v>55932</x:v>
      </x:c>
      <x:c r="K417" s="186" t="n">
        <x:v>88410</x:v>
      </x:c>
      <x:c r="L417" s="186" t="n">
        <x:f>J417-K417</x:f>
        <x:v>-32478</x:v>
      </x:c>
      <x:c r="M417" s="186" t="n">
        <x:v>81738</x:v>
      </x:c>
      <x:c r="N417" s="186" t="n">
        <x:v>28841</x:v>
      </x:c>
      <x:c r="O417" s="186" t="n">
        <x:f>M417-N417</x:f>
        <x:v>52897</x:v>
      </x:c>
      <x:c r="P417" s="186" t="n">
        <x:v>19292</x:v>
      </x:c>
      <x:c r="Q417" s="186" t="n">
        <x:v>9767</x:v>
      </x:c>
      <x:c r="R417" s="186" t="n">
        <x:f>P417-Q417</x:f>
        <x:v>9525</x:v>
      </x:c>
      <x:c r="S417" s="186" t="n">
        <x:v>30644</x:v>
      </x:c>
      <x:c r="T417" s="186" t="n">
        <x:v>7739</x:v>
      </x:c>
      <x:c r="U417" s="186" t="n">
        <x:f>S417-T417</x:f>
        <x:v>22905</x:v>
      </x:c>
      <x:c r="V417" s="196" t="n">
        <x:f>IFERROR(O417/F417,"")</x:f>
        <x:v>0.2371573576750984</x:v>
      </x:c>
      <x:c r="W417" s="196" t="n">
        <x:f>IFERROR(I417/F417,"")</x:f>
        <x:v>-0.23694215542982164</x:v>
      </x:c>
    </x:row>
    <x:row r="418">
      <x:c r="A418" s="186" t="str">
        <x:v>Gold</x:v>
      </x:c>
      <x:c r="B418" s="187" t="n">
        <x:v>43830</x:v>
      </x:c>
      <x:c r="C418" s="187" t="n">
        <x:v>43833</x:v>
      </x:c>
      <x:c r="D418" s="186" t="str">
        <x:v>088691-GOLD</x:v>
      </x:c>
      <x:c r="E418" s="186" t="str">
        <x:v>GOLD - COMMODITY EXCHANGE INC.</x:v>
      </x:c>
      <x:c r="F418" s="186" t="n">
        <x:v>786166</x:v>
      </x:c>
      <x:c r="G418" s="186" t="n">
        <x:v>25430</x:v>
      </x:c>
      <x:c r="H418" s="186" t="n">
        <x:v>171537</x:v>
      </x:c>
      <x:c r="I418" s="186" t="n">
        <x:f>G418-H418</x:f>
        <x:v>-146107</x:v>
      </x:c>
      <x:c r="J418" s="186" t="n">
        <x:v>124486</x:v>
      </x:c>
      <x:c r="K418" s="186" t="n">
        <x:v>344870</x:v>
      </x:c>
      <x:c r="L418" s="186" t="n">
        <x:f>J418-K418</x:f>
        <x:v>-220384</x:v>
      </x:c>
      <x:c r="M418" s="186" t="n">
        <x:v>258357</x:v>
      </x:c>
      <x:c r="N418" s="186" t="n">
        <x:v>25625</x:v>
      </x:c>
      <x:c r="O418" s="186" t="n">
        <x:f>M418-N418</x:f>
        <x:v>232732</x:v>
      </x:c>
      <x:c r="P418" s="186" t="n">
        <x:v>123263</x:v>
      </x:c>
      <x:c r="Q418" s="186" t="n">
        <x:v>28070</x:v>
      </x:c>
      <x:c r="R418" s="186" t="n">
        <x:f>P418-Q418</x:f>
        <x:v>95193</x:v>
      </x:c>
      <x:c r="S418" s="186" t="n">
        <x:v>61010</x:v>
      </x:c>
      <x:c r="T418" s="186" t="n">
        <x:v>22444</x:v>
      </x:c>
      <x:c r="U418" s="186" t="n">
        <x:f>S418-T418</x:f>
        <x:v>38566</x:v>
      </x:c>
      <x:c r="V418" s="196" t="n">
        <x:f>IFERROR(O418/F418,"")</x:f>
        <x:v>0.2960341709002933</x:v>
      </x:c>
      <x:c r="W418" s="196" t="n">
        <x:f>IFERROR(I418/F418,"")</x:f>
        <x:v>-0.1858475182086226</x:v>
      </x:c>
    </x:row>
    <x:row r="419">
      <x:c r="A419" s="186" t="str">
        <x:v>Silver</x:v>
      </x:c>
      <x:c r="B419" s="187" t="n">
        <x:v>43830</x:v>
      </x:c>
      <x:c r="C419" s="187" t="n">
        <x:v>43833</x:v>
      </x:c>
      <x:c r="D419" s="186" t="str">
        <x:v>084691-SILVER</x:v>
      </x:c>
      <x:c r="E419" s="186" t="str">
        <x:v>SILVER - COMMODITY EXCHANGE INC.</x:v>
      </x:c>
      <x:c r="F419" s="186" t="n">
        <x:v>229680</x:v>
      </x:c>
      <x:c r="G419" s="186" t="n">
        <x:v>6108</x:v>
      </x:c>
      <x:c r="H419" s="186" t="n">
        <x:v>66547</x:v>
      </x:c>
      <x:c r="I419" s="186" t="n">
        <x:f>G419-H419</x:f>
        <x:v>-60439</x:v>
      </x:c>
      <x:c r="J419" s="186" t="n">
        <x:v>55588</x:v>
      </x:c>
      <x:c r="K419" s="186" t="n">
        <x:v>91801</x:v>
      </x:c>
      <x:c r="L419" s="186" t="n">
        <x:f>J419-K419</x:f>
        <x:v>-36213</x:v>
      </x:c>
      <x:c r="M419" s="186" t="n">
        <x:v>85816</x:v>
      </x:c>
      <x:c r="N419" s="186" t="n">
        <x:v>26948</x:v>
      </x:c>
      <x:c r="O419" s="186" t="n">
        <x:f>M419-N419</x:f>
        <x:v>58868</x:v>
      </x:c>
      <x:c r="P419" s="186" t="n">
        <x:v>20494</x:v>
      </x:c>
      <x:c r="Q419" s="186" t="n">
        <x:v>9634</x:v>
      </x:c>
      <x:c r="R419" s="186" t="n">
        <x:f>P419-Q419</x:f>
        <x:v>10860</x:v>
      </x:c>
      <x:c r="S419" s="186" t="n">
        <x:v>33135</x:v>
      </x:c>
      <x:c r="T419" s="186" t="n">
        <x:v>6211</x:v>
      </x:c>
      <x:c r="U419" s="186" t="n">
        <x:f>S419-T419</x:f>
        <x:v>26924</x:v>
      </x:c>
      <x:c r="V419" s="196" t="n">
        <x:f>IFERROR(O419/F419,"")</x:f>
        <x:v>0.25630442354580285</x:v>
      </x:c>
      <x:c r="W419" s="196" t="n">
        <x:f>IFERROR(I419/F419,"")</x:f>
        <x:v>-0.2631443747823058</x:v>
      </x:c>
    </x:row>
    <x:row r="420">
      <x:c r="A420" s="186" t="str">
        <x:v>Gold</x:v>
      </x:c>
      <x:c r="B420" s="187" t="n">
        <x:v>43837</x:v>
      </x:c>
      <x:c r="C420" s="187" t="n">
        <x:v>43840</x:v>
      </x:c>
      <x:c r="D420" s="186" t="str">
        <x:v>088691-GOLD</x:v>
      </x:c>
      <x:c r="E420" s="186" t="str">
        <x:v>GOLD - COMMODITY EXCHANGE INC.</x:v>
      </x:c>
      <x:c r="F420" s="186" t="n">
        <x:v>785857</x:v>
      </x:c>
      <x:c r="G420" s="186" t="n">
        <x:v>23615</x:v>
      </x:c>
      <x:c r="H420" s="186" t="n">
        <x:v>167363</x:v>
      </x:c>
      <x:c r="I420" s="186" t="n">
        <x:f>G420-H420</x:f>
        <x:v>-143748</x:v>
      </x:c>
      <x:c r="J420" s="186" t="n">
        <x:v>124087</x:v>
      </x:c>
      <x:c r="K420" s="186" t="n">
        <x:v>336420</x:v>
      </x:c>
      <x:c r="L420" s="186" t="n">
        <x:f>J420-K420</x:f>
        <x:v>-212333</x:v>
      </x:c>
      <x:c r="M420" s="186" t="n">
        <x:v>261083</x:v>
      </x:c>
      <x:c r="N420" s="186" t="n">
        <x:v>31326</x:v>
      </x:c>
      <x:c r="O420" s="186" t="n">
        <x:f>M420-N420</x:f>
        <x:v>229757</x:v>
      </x:c>
      <x:c r="P420" s="186" t="n">
        <x:v>122397</x:v>
      </x:c>
      <x:c r="Q420" s="186" t="n">
        <x:v>29863</x:v>
      </x:c>
      <x:c r="R420" s="186" t="n">
        <x:f>P420-Q420</x:f>
        <x:v>92534</x:v>
      </x:c>
      <x:c r="S420" s="186" t="n">
        <x:v>60562</x:v>
      </x:c>
      <x:c r="T420" s="186" t="n">
        <x:v>26772</x:v>
      </x:c>
      <x:c r="U420" s="186" t="n">
        <x:f>S420-T420</x:f>
        <x:v>33790</x:v>
      </x:c>
      <x:c r="V420" s="196" t="n">
        <x:f>IFERROR(O420/F420,"")</x:f>
        <x:v>0.29236489590345316</x:v>
      </x:c>
      <x:c r="W420" s="196" t="n">
        <x:f>IFERROR(I420/F420,"")</x:f>
        <x:v>-0.1829187752988139</x:v>
      </x:c>
    </x:row>
    <x:row r="421">
      <x:c r="A421" s="186" t="str">
        <x:v>Silver</x:v>
      </x:c>
      <x:c r="B421" s="187" t="n">
        <x:v>43837</x:v>
      </x:c>
      <x:c r="C421" s="187" t="n">
        <x:v>43840</x:v>
      </x:c>
      <x:c r="D421" s="186" t="str">
        <x:v>084691-SILVER</x:v>
      </x:c>
      <x:c r="E421" s="186" t="str">
        <x:v>SILVER - COMMODITY EXCHANGE INC.</x:v>
      </x:c>
      <x:c r="F421" s="186" t="n">
        <x:v>234324</x:v>
      </x:c>
      <x:c r="G421" s="186" t="n">
        <x:v>6817</x:v>
      </x:c>
      <x:c r="H421" s="186" t="n">
        <x:v>66303</x:v>
      </x:c>
      <x:c r="I421" s="186" t="n">
        <x:f>G421-H421</x:f>
        <x:v>-59486</x:v>
      </x:c>
      <x:c r="J421" s="186" t="n">
        <x:v>56492</x:v>
      </x:c>
      <x:c r="K421" s="186" t="n">
        <x:v>88180</x:v>
      </x:c>
      <x:c r="L421" s="186" t="n">
        <x:f>J421-K421</x:f>
        <x:v>-31688</x:v>
      </x:c>
      <x:c r="M421" s="186" t="n">
        <x:v>87915</x:v>
      </x:c>
      <x:c r="N421" s="186" t="n">
        <x:v>30901</x:v>
      </x:c>
      <x:c r="O421" s="186" t="n">
        <x:f>M421-N421</x:f>
        <x:v>57014</x:v>
      </x:c>
      <x:c r="P421" s="186" t="n">
        <x:v>21309</x:v>
      </x:c>
      <x:c r="Q421" s="186" t="n">
        <x:v>11070</x:v>
      </x:c>
      <x:c r="R421" s="186" t="n">
        <x:f>P421-Q421</x:f>
        <x:v>10239</x:v>
      </x:c>
      <x:c r="S421" s="186" t="n">
        <x:v>32322</x:v>
      </x:c>
      <x:c r="T421" s="186" t="n">
        <x:v>8401</x:v>
      </x:c>
      <x:c r="U421" s="186" t="n">
        <x:f>S421-T421</x:f>
        <x:v>23921</x:v>
      </x:c>
      <x:c r="V421" s="196" t="n">
        <x:f>IFERROR(O421/F421,"")</x:f>
        <x:v>0.24331267817210359</x:v>
      </x:c>
      <x:c r="W421" s="196" t="n">
        <x:f>IFERROR(I421/F421,"")</x:f>
        <x:v>-0.25386217374233966</x:v>
      </x:c>
    </x:row>
    <x:row r="422">
      <x:c r="A422" s="186" t="str">
        <x:v>Gold</x:v>
      </x:c>
      <x:c r="B422" s="187" t="n">
        <x:v>43844</x:v>
      </x:c>
      <x:c r="C422" s="187" t="n">
        <x:v>43847</x:v>
      </x:c>
      <x:c r="D422" s="186" t="str">
        <x:v>088691-GOLD</x:v>
      </x:c>
      <x:c r="E422" s="186" t="str">
        <x:v>GOLD - COMMODITY EXCHANGE INC.</x:v>
      </x:c>
      <x:c r="F422" s="186" t="n">
        <x:v>796883</x:v>
      </x:c>
      <x:c r="G422" s="186" t="n">
        <x:v>40178</x:v>
      </x:c>
      <x:c r="H422" s="186" t="n">
        <x:v>181318</x:v>
      </x:c>
      <x:c r="I422" s="186" t="n">
        <x:f>G422-H422</x:f>
        <x:v>-141140</x:v>
      </x:c>
      <x:c r="J422" s="186" t="n">
        <x:v>125556</x:v>
      </x:c>
      <x:c r="K422" s="186" t="n">
        <x:v>334235</x:v>
      </x:c>
      <x:c r="L422" s="186" t="n">
        <x:f>J422-K422</x:f>
        <x:v>-208679</x:v>
      </x:c>
      <x:c r="M422" s="186" t="n">
        <x:v>262402</x:v>
      </x:c>
      <x:c r="N422" s="186" t="n">
        <x:v>31943</x:v>
      </x:c>
      <x:c r="O422" s="186" t="n">
        <x:f>M422-N422</x:f>
        <x:v>230459</x:v>
      </x:c>
      <x:c r="P422" s="186" t="n">
        <x:v>114407</x:v>
      </x:c>
      <x:c r="Q422" s="186" t="n">
        <x:v>25631</x:v>
      </x:c>
      <x:c r="R422" s="186" t="n">
        <x:f>P422-Q422</x:f>
        <x:v>88776</x:v>
      </x:c>
      <x:c r="S422" s="186" t="n">
        <x:v>61597</x:v>
      </x:c>
      <x:c r="T422" s="186" t="n">
        <x:v>31013</x:v>
      </x:c>
      <x:c r="U422" s="186" t="n">
        <x:f>S422-T422</x:f>
        <x:v>30584</x:v>
      </x:c>
      <x:c r="V422" s="196" t="n">
        <x:f>IFERROR(O422/F422,"")</x:f>
        <x:v>0.2892005476337179</x:v>
      </x:c>
      <x:c r="W422" s="196" t="n">
        <x:f>IFERROR(I422/F422,"")</x:f>
        <x:v>-0.17711508464856196</x:v>
      </x:c>
    </x:row>
    <x:row r="423">
      <x:c r="A423" s="186" t="str">
        <x:v>Silver</x:v>
      </x:c>
      <x:c r="B423" s="187" t="n">
        <x:v>43844</x:v>
      </x:c>
      <x:c r="C423" s="187" t="n">
        <x:v>43847</x:v>
      </x:c>
      <x:c r="D423" s="186" t="str">
        <x:v>084691-SILVER</x:v>
      </x:c>
      <x:c r="E423" s="186" t="str">
        <x:v>SILVER - COMMODITY EXCHANGE INC.</x:v>
      </x:c>
      <x:c r="F423" s="186" t="n">
        <x:v>234639</x:v>
      </x:c>
      <x:c r="G423" s="186" t="n">
        <x:v>7080</x:v>
      </x:c>
      <x:c r="H423" s="186" t="n">
        <x:v>66780</x:v>
      </x:c>
      <x:c r="I423" s="186" t="n">
        <x:f>G423-H423</x:f>
        <x:v>-59700</x:v>
      </x:c>
      <x:c r="J423" s="186" t="n">
        <x:v>54075</x:v>
      </x:c>
      <x:c r="K423" s="186" t="n">
        <x:v>86732</x:v>
      </x:c>
      <x:c r="L423" s="186" t="n">
        <x:f>J423-K423</x:f>
        <x:v>-32657</x:v>
      </x:c>
      <x:c r="M423" s="186" t="n">
        <x:v>90678</x:v>
      </x:c>
      <x:c r="N423" s="186" t="n">
        <x:v>33499</x:v>
      </x:c>
      <x:c r="O423" s="186" t="n">
        <x:f>M423-N423</x:f>
        <x:v>57179</x:v>
      </x:c>
      <x:c r="P423" s="186" t="n">
        <x:v>20084</x:v>
      </x:c>
      <x:c r="Q423" s="186" t="n">
        <x:v>9890</x:v>
      </x:c>
      <x:c r="R423" s="186" t="n">
        <x:f>P423-Q423</x:f>
        <x:v>10194</x:v>
      </x:c>
      <x:c r="S423" s="186" t="n">
        <x:v>31592</x:v>
      </x:c>
      <x:c r="T423" s="186" t="n">
        <x:v>6608</x:v>
      </x:c>
      <x:c r="U423" s="186" t="n">
        <x:f>S423-T423</x:f>
        <x:v>24984</x:v>
      </x:c>
      <x:c r="V423" s="196" t="n">
        <x:f>IFERROR(O423/F423,"")</x:f>
        <x:v>0.24368924177140203</x:v>
      </x:c>
      <x:c r="W423" s="196" t="n">
        <x:f>IFERROR(I423/F423,"")</x:f>
        <x:v>-0.25443340621124366</x:v>
      </x:c>
    </x:row>
    <x:row r="424">
      <x:c r="A424" s="186" t="str">
        <x:v>Gold</x:v>
      </x:c>
      <x:c r="B424" s="187" t="n">
        <x:v>43851</x:v>
      </x:c>
      <x:c r="C424" s="187" t="n">
        <x:v>43854</x:v>
      </x:c>
      <x:c r="D424" s="186" t="str">
        <x:v>088691-GOLD</x:v>
      </x:c>
      <x:c r="E424" s="186" t="str">
        <x:v>GOLD - COMMODITY EXCHANGE INC.</x:v>
      </x:c>
      <x:c r="F424" s="186" t="n">
        <x:v>793829</x:v>
      </x:c>
      <x:c r="G424" s="186" t="n">
        <x:v>42645</x:v>
      </x:c>
      <x:c r="H424" s="186" t="n">
        <x:v>185232</x:v>
      </x:c>
      <x:c r="I424" s="186" t="n">
        <x:f>G424-H424</x:f>
        <x:v>-142587</x:v>
      </x:c>
      <x:c r="J424" s="186" t="n">
        <x:v>121988</x:v>
      </x:c>
      <x:c r="K424" s="186" t="n">
        <x:v>331304</x:v>
      </x:c>
      <x:c r="L424" s="186" t="n">
        <x:f>J424-K424</x:f>
        <x:v>-209316</x:v>
      </x:c>
      <x:c r="M424" s="186" t="n">
        <x:v>258269</x:v>
      </x:c>
      <x:c r="N424" s="186" t="n">
        <x:v>34437</x:v>
      </x:c>
      <x:c r="O424" s="186" t="n">
        <x:f>M424-N424</x:f>
        <x:v>223832</x:v>
      </x:c>
      <x:c r="P424" s="186" t="n">
        <x:v>116524</x:v>
      </x:c>
      <x:c r="Q424" s="186" t="n">
        <x:v>22661</x:v>
      </x:c>
      <x:c r="R424" s="186" t="n">
        <x:f>P424-Q424</x:f>
        <x:v>93863</x:v>
      </x:c>
      <x:c r="S424" s="186" t="n">
        <x:v>65117</x:v>
      </x:c>
      <x:c r="T424" s="186" t="n">
        <x:v>30909</x:v>
      </x:c>
      <x:c r="U424" s="186" t="n">
        <x:f>S424-T424</x:f>
        <x:v>34208</x:v>
      </x:c>
      <x:c r="V424" s="196" t="n">
        <x:f>IFERROR(O424/F424,"")</x:f>
        <x:v>0.2819650075771986</x:v>
      </x:c>
      <x:c r="W424" s="196" t="n">
        <x:f>IFERROR(I424/F424,"")</x:f>
        <x:v>-0.17961928828500848</x:v>
      </x:c>
    </x:row>
    <x:row r="425">
      <x:c r="A425" s="186" t="str">
        <x:v>Silver</x:v>
      </x:c>
      <x:c r="B425" s="187" t="n">
        <x:v>43851</x:v>
      </x:c>
      <x:c r="C425" s="187" t="n">
        <x:v>43854</x:v>
      </x:c>
      <x:c r="D425" s="186" t="str">
        <x:v>084691-SILVER</x:v>
      </x:c>
      <x:c r="E425" s="186" t="str">
        <x:v>SILVER - COMMODITY EXCHANGE INC.</x:v>
      </x:c>
      <x:c r="F425" s="186" t="n">
        <x:v>233858</x:v>
      </x:c>
      <x:c r="G425" s="186" t="n">
        <x:v>7147</x:v>
      </x:c>
      <x:c r="H425" s="186" t="n">
        <x:v>68511</x:v>
      </x:c>
      <x:c r="I425" s="186" t="n">
        <x:f>G425-H425</x:f>
        <x:v>-61364</x:v>
      </x:c>
      <x:c r="J425" s="186" t="n">
        <x:v>53575</x:v>
      </x:c>
      <x:c r="K425" s="186" t="n">
        <x:v>86439</x:v>
      </x:c>
      <x:c r="L425" s="186" t="n">
        <x:f>J425-K425</x:f>
        <x:v>-32864</x:v>
      </x:c>
      <x:c r="M425" s="186" t="n">
        <x:v>88457</x:v>
      </x:c>
      <x:c r="N425" s="186" t="n">
        <x:v>31899</x:v>
      </x:c>
      <x:c r="O425" s="186" t="n">
        <x:f>M425-N425</x:f>
        <x:v>56558</x:v>
      </x:c>
      <x:c r="P425" s="186" t="n">
        <x:v>20687</x:v>
      </x:c>
      <x:c r="Q425" s="186" t="n">
        <x:v>8370</x:v>
      </x:c>
      <x:c r="R425" s="186" t="n">
        <x:f>P425-Q425</x:f>
        <x:v>12317</x:v>
      </x:c>
      <x:c r="S425" s="186" t="n">
        <x:v>32142</x:v>
      </x:c>
      <x:c r="T425" s="186" t="n">
        <x:v>6789</x:v>
      </x:c>
      <x:c r="U425" s="186" t="n">
        <x:f>S425-T425</x:f>
        <x:v>25353</x:v>
      </x:c>
      <x:c r="V425" s="196" t="n">
        <x:f>IFERROR(O425/F425,"")</x:f>
        <x:v>0.24184761692993184</x:v>
      </x:c>
      <x:c r="W425" s="196" t="n">
        <x:f>IFERROR(I425/F425,"")</x:f>
        <x:v>-0.2623985495471611</x:v>
      </x:c>
    </x:row>
    <x:row r="426">
      <x:c r="A426" s="186" t="str">
        <x:v>Gold</x:v>
      </x:c>
      <x:c r="B426" s="187" t="n">
        <x:v>43858</x:v>
      </x:c>
      <x:c r="C426" s="187" t="n">
        <x:v>43861</x:v>
      </x:c>
      <x:c r="D426" s="186" t="str">
        <x:v>088691-GOLD</x:v>
      </x:c>
      <x:c r="E426" s="186" t="str">
        <x:v>GOLD - COMMODITY EXCHANGE INC.</x:v>
      </x:c>
      <x:c r="F426" s="186" t="n">
        <x:v>715539</x:v>
      </x:c>
      <x:c r="G426" s="186" t="n">
        <x:v>22487</x:v>
      </x:c>
      <x:c r="H426" s="186" t="n">
        <x:v>161450</x:v>
      </x:c>
      <x:c r="I426" s="186" t="n">
        <x:f>G426-H426</x:f>
        <x:v>-138963</x:v>
      </x:c>
      <x:c r="J426" s="186" t="n">
        <x:v>119308</x:v>
      </x:c>
      <x:c r="K426" s="186" t="n">
        <x:v>341159</x:v>
      </x:c>
      <x:c r="L426" s="186" t="n">
        <x:f>J426-K426</x:f>
        <x:v>-221851</x:v>
      </x:c>
      <x:c r="M426" s="186" t="n">
        <x:v>254259</x:v>
      </x:c>
      <x:c r="N426" s="186" t="n">
        <x:v>34321</x:v>
      </x:c>
      <x:c r="O426" s="186" t="n">
        <x:f>M426-N426</x:f>
        <x:v>219938</x:v>
      </x:c>
      <x:c r="P426" s="186" t="n">
        <x:v>122142</x:v>
      </x:c>
      <x:c r="Q426" s="186" t="n">
        <x:v>11988</x:v>
      </x:c>
      <x:c r="R426" s="186" t="n">
        <x:f>P426-Q426</x:f>
        <x:v>110154</x:v>
      </x:c>
      <x:c r="S426" s="186" t="n">
        <x:v>60782</x:v>
      </x:c>
      <x:c r="T426" s="186" t="n">
        <x:v>30060</x:v>
      </x:c>
      <x:c r="U426" s="186" t="n">
        <x:f>S426-T426</x:f>
        <x:v>30722</x:v>
      </x:c>
      <x:c r="V426" s="196" t="n">
        <x:f>IFERROR(O426/F426,"")</x:f>
        <x:v>0.3073738817870165</x:v>
      </x:c>
      <x:c r="W426" s="196" t="n">
        <x:f>IFERROR(I426/F426,"")</x:f>
        <x:v>-0.19420744361942535</x:v>
      </x:c>
    </x:row>
    <x:row r="427">
      <x:c r="A427" s="186" t="str">
        <x:v>Silver</x:v>
      </x:c>
      <x:c r="B427" s="187" t="n">
        <x:v>43858</x:v>
      </x:c>
      <x:c r="C427" s="187" t="n">
        <x:v>43861</x:v>
      </x:c>
      <x:c r="D427" s="186" t="str">
        <x:v>084691-SILVER</x:v>
      </x:c>
      <x:c r="E427" s="186" t="str">
        <x:v>SILVER - COMMODITY EXCHANGE INC.</x:v>
      </x:c>
      <x:c r="F427" s="186" t="n">
        <x:v>231933</x:v>
      </x:c>
      <x:c r="G427" s="186" t="n">
        <x:v>8310</x:v>
      </x:c>
      <x:c r="H427" s="186" t="n">
        <x:v>67833</x:v>
      </x:c>
      <x:c r="I427" s="186" t="n">
        <x:f>G427-H427</x:f>
        <x:v>-59523</x:v>
      </x:c>
      <x:c r="J427" s="186" t="n">
        <x:v>53708</x:v>
      </x:c>
      <x:c r="K427" s="186" t="n">
        <x:v>83356</x:v>
      </x:c>
      <x:c r="L427" s="186" t="n">
        <x:f>J427-K427</x:f>
        <x:v>-29648</x:v>
      </x:c>
      <x:c r="M427" s="186" t="n">
        <x:v>82822</x:v>
      </x:c>
      <x:c r="N427" s="186" t="n">
        <x:v>34855</x:v>
      </x:c>
      <x:c r="O427" s="186" t="n">
        <x:f>M427-N427</x:f>
        <x:v>47967</x:v>
      </x:c>
      <x:c r="P427" s="186" t="n">
        <x:v>22815</x:v>
      </x:c>
      <x:c r="Q427" s="186" t="n">
        <x:v>7365</x:v>
      </x:c>
      <x:c r="R427" s="186" t="n">
        <x:f>P427-Q427</x:f>
        <x:v>15450</x:v>
      </x:c>
      <x:c r="S427" s="186" t="n">
        <x:v>32223</x:v>
      </x:c>
      <x:c r="T427" s="186" t="n">
        <x:v>6469</x:v>
      </x:c>
      <x:c r="U427" s="186" t="n">
        <x:f>S427-T427</x:f>
        <x:v>25754</x:v>
      </x:c>
      <x:c r="V427" s="196" t="n">
        <x:f>IFERROR(O427/F427,"")</x:f>
        <x:v>0.2068140368123553</x:v>
      </x:c>
      <x:c r="W427" s="196" t="n">
        <x:f>IFERROR(I427/F427,"")</x:f>
        <x:v>-0.25663877067946345</x:v>
      </x:c>
    </x:row>
    <x:row r="428">
      <x:c r="A428" s="186" t="str">
        <x:v>Gold</x:v>
      </x:c>
      <x:c r="B428" s="187" t="n">
        <x:v>43865</x:v>
      </x:c>
      <x:c r="C428" s="187" t="n">
        <x:v>43868</x:v>
      </x:c>
      <x:c r="D428" s="186" t="str">
        <x:v>088691-GOLD</x:v>
      </x:c>
      <x:c r="E428" s="186" t="str">
        <x:v>GOLD - COMMODITY EXCHANGE INC.</x:v>
      </x:c>
      <x:c r="F428" s="186" t="n">
        <x:v>654572</x:v>
      </x:c>
      <x:c r="G428" s="186" t="n">
        <x:v>16469</x:v>
      </x:c>
      <x:c r="H428" s="186" t="n">
        <x:v>155103</x:v>
      </x:c>
      <x:c r="I428" s="186" t="n">
        <x:f>G428-H428</x:f>
        <x:v>-138634</x:v>
      </x:c>
      <x:c r="J428" s="186" t="n">
        <x:v>119930</x:v>
      </x:c>
      <x:c r="K428" s="186" t="n">
        <x:v>312983</x:v>
      </x:c>
      <x:c r="L428" s="186" t="n">
        <x:f>J428-K428</x:f>
        <x:v>-193053</x:v>
      </x:c>
      <x:c r="M428" s="186" t="n">
        <x:v>223762</x:v>
      </x:c>
      <x:c r="N428" s="186" t="n">
        <x:v>42152</x:v>
      </x:c>
      <x:c r="O428" s="186" t="n">
        <x:f>M428-N428</x:f>
        <x:v>181610</x:v>
      </x:c>
      <x:c r="P428" s="186" t="n">
        <x:v>132147</x:v>
      </x:c>
      <x:c r="Q428" s="186" t="n">
        <x:v>13951</x:v>
      </x:c>
      <x:c r="R428" s="186" t="n">
        <x:f>P428-Q428</x:f>
        <x:v>118196</x:v>
      </x:c>
      <x:c r="S428" s="186" t="n">
        <x:v>60665</x:v>
      </x:c>
      <x:c r="T428" s="186" t="n">
        <x:v>28784</x:v>
      </x:c>
      <x:c r="U428" s="186" t="n">
        <x:f>S428-T428</x:f>
        <x:v>31881</x:v>
      </x:c>
      <x:c r="V428" s="196" t="n">
        <x:f>IFERROR(O428/F428,"")</x:f>
        <x:v>0.27744847014537743</x:v>
      </x:c>
      <x:c r="W428" s="196" t="n">
        <x:f>IFERROR(I428/F428,"")</x:f>
        <x:v>-0.21179335504726754</x:v>
      </x:c>
    </x:row>
    <x:row r="429">
      <x:c r="A429" s="186" t="str">
        <x:v>Silver</x:v>
      </x:c>
      <x:c r="B429" s="187" t="n">
        <x:v>43865</x:v>
      </x:c>
      <x:c r="C429" s="187" t="n">
        <x:v>43868</x:v>
      </x:c>
      <x:c r="D429" s="186" t="str">
        <x:v>084691-SILVER</x:v>
      </x:c>
      <x:c r="E429" s="186" t="str">
        <x:v>SILVER - COMMODITY EXCHANGE INC.</x:v>
      </x:c>
      <x:c r="F429" s="186" t="n">
        <x:v>224936</x:v>
      </x:c>
      <x:c r="G429" s="186" t="n">
        <x:v>9345</x:v>
      </x:c>
      <x:c r="H429" s="186" t="n">
        <x:v>68751</x:v>
      </x:c>
      <x:c r="I429" s="186" t="n">
        <x:f>G429-H429</x:f>
        <x:v>-59406</x:v>
      </x:c>
      <x:c r="J429" s="186" t="n">
        <x:v>53445</x:v>
      </x:c>
      <x:c r="K429" s="186" t="n">
        <x:v>85395</x:v>
      </x:c>
      <x:c r="L429" s="186" t="n">
        <x:f>J429-K429</x:f>
        <x:v>-31950</x:v>
      </x:c>
      <x:c r="M429" s="186" t="n">
        <x:v>78635</x:v>
      </x:c>
      <x:c r="N429" s="186" t="n">
        <x:v>23417</x:v>
      </x:c>
      <x:c r="O429" s="186" t="n">
        <x:f>M429-N429</x:f>
        <x:v>55218</x:v>
      </x:c>
      <x:c r="P429" s="186" t="n">
        <x:v>18443</x:v>
      </x:c>
      <x:c r="Q429" s="186" t="n">
        <x:v>5858</x:v>
      </x:c>
      <x:c r="R429" s="186" t="n">
        <x:f>P429-Q429</x:f>
        <x:v>12585</x:v>
      </x:c>
      <x:c r="S429" s="186" t="n">
        <x:v>31451</x:v>
      </x:c>
      <x:c r="T429" s="186" t="n">
        <x:v>7898</x:v>
      </x:c>
      <x:c r="U429" s="186" t="n">
        <x:f>S429-T429</x:f>
        <x:v>23553</x:v>
      </x:c>
      <x:c r="V429" s="196" t="n">
        <x:f>IFERROR(O429/F429,"")</x:f>
        <x:v>0.24548315965430167</x:v>
      </x:c>
      <x:c r="W429" s="196" t="n">
        <x:f>IFERROR(I429/F429,"")</x:f>
        <x:v>-0.2641017889533023</x:v>
      </x:c>
    </x:row>
    <x:row r="430">
      <x:c r="A430" s="186" t="str">
        <x:v>Gold</x:v>
      </x:c>
      <x:c r="B430" s="187" t="n">
        <x:v>43872</x:v>
      </x:c>
      <x:c r="C430" s="187" t="n">
        <x:v>43875</x:v>
      </x:c>
      <x:c r="D430" s="186" t="str">
        <x:v>088691-GOLD</x:v>
      </x:c>
      <x:c r="E430" s="186" t="str">
        <x:v>GOLD - COMMODITY EXCHANGE INC.</x:v>
      </x:c>
      <x:c r="F430" s="186" t="n">
        <x:v>658024</x:v>
      </x:c>
      <x:c r="G430" s="186" t="n">
        <x:v>17009</x:v>
      </x:c>
      <x:c r="H430" s="186" t="n">
        <x:v>158762</x:v>
      </x:c>
      <x:c r="I430" s="186" t="n">
        <x:f>G430-H430</x:f>
        <x:v>-141753</x:v>
      </x:c>
      <x:c r="J430" s="186" t="n">
        <x:v>120850</x:v>
      </x:c>
      <x:c r="K430" s="186" t="n">
        <x:v>316888</x:v>
      </x:c>
      <x:c r="L430" s="186" t="n">
        <x:f>J430-K430</x:f>
        <x:v>-196038</x:v>
      </x:c>
      <x:c r="M430" s="186" t="n">
        <x:v>231499</x:v>
      </x:c>
      <x:c r="N430" s="186" t="n">
        <x:v>35828</x:v>
      </x:c>
      <x:c r="O430" s="186" t="n">
        <x:f>M430-N430</x:f>
        <x:v>195671</x:v>
      </x:c>
      <x:c r="P430" s="186" t="n">
        <x:v>125036</x:v>
      </x:c>
      <x:c r="Q430" s="186" t="n">
        <x:v>12733</x:v>
      </x:c>
      <x:c r="R430" s="186" t="n">
        <x:f>P430-Q430</x:f>
        <x:v>112303</x:v>
      </x:c>
      <x:c r="S430" s="186" t="n">
        <x:v>60597</x:v>
      </x:c>
      <x:c r="T430" s="186" t="n">
        <x:v>30780</x:v>
      </x:c>
      <x:c r="U430" s="186" t="n">
        <x:f>S430-T430</x:f>
        <x:v>29817</x:v>
      </x:c>
      <x:c r="V430" s="196" t="n">
        <x:f>IFERROR(O430/F430,"")</x:f>
        <x:v>0.2973614944135776</x:v>
      </x:c>
      <x:c r="W430" s="196" t="n">
        <x:f>IFERROR(I430/F430,"")</x:f>
        <x:v>-0.21542223383949521</x:v>
      </x:c>
    </x:row>
    <x:row r="431">
      <x:c r="A431" s="186" t="str">
        <x:v>Silver</x:v>
      </x:c>
      <x:c r="B431" s="187" t="n">
        <x:v>43872</x:v>
      </x:c>
      <x:c r="C431" s="187" t="n">
        <x:v>43875</x:v>
      </x:c>
      <x:c r="D431" s="186" t="str">
        <x:v>084691-SILVER</x:v>
      </x:c>
      <x:c r="E431" s="186" t="str">
        <x:v>SILVER - COMMODITY EXCHANGE INC.</x:v>
      </x:c>
      <x:c r="F431" s="186" t="n">
        <x:v>221858</x:v>
      </x:c>
      <x:c r="G431" s="186" t="n">
        <x:v>10033</x:v>
      </x:c>
      <x:c r="H431" s="186" t="n">
        <x:v>69171</x:v>
      </x:c>
      <x:c r="I431" s="186" t="n">
        <x:f>G431-H431</x:f>
        <x:v>-59138</x:v>
      </x:c>
      <x:c r="J431" s="186" t="n">
        <x:v>52706</x:v>
      </x:c>
      <x:c r="K431" s="186" t="n">
        <x:v>86025</x:v>
      </x:c>
      <x:c r="L431" s="186" t="n">
        <x:f>J431-K431</x:f>
        <x:v>-33319</x:v>
      </x:c>
      <x:c r="M431" s="186" t="n">
        <x:v>77942</x:v>
      </x:c>
      <x:c r="N431" s="186" t="n">
        <x:v>23235</x:v>
      </x:c>
      <x:c r="O431" s="186" t="n">
        <x:f>M431-N431</x:f>
        <x:v>54707</x:v>
      </x:c>
      <x:c r="P431" s="186" t="n">
        <x:v>18453</x:v>
      </x:c>
      <x:c r="Q431" s="186" t="n">
        <x:v>5523</x:v>
      </x:c>
      <x:c r="R431" s="186" t="n">
        <x:f>P431-Q431</x:f>
        <x:v>12930</x:v>
      </x:c>
      <x:c r="S431" s="186" t="n">
        <x:v>32802</x:v>
      </x:c>
      <x:c r="T431" s="186" t="n">
        <x:v>7982</x:v>
      </x:c>
      <x:c r="U431" s="186" t="n">
        <x:f>S431-T431</x:f>
        <x:v>24820</x:v>
      </x:c>
      <x:c r="V431" s="196" t="n">
        <x:f>IFERROR(O431/F431,"")</x:f>
        <x:v>0.24658565388672032</x:v>
      </x:c>
      <x:c r="W431" s="196" t="n">
        <x:f>IFERROR(I431/F431,"")</x:f>
        <x:v>-0.26655788837905325</x:v>
      </x:c>
    </x:row>
    <x:row r="432">
      <x:c r="A432" s="186" t="str">
        <x:v>Gold</x:v>
      </x:c>
      <x:c r="B432" s="187" t="n">
        <x:v>43879</x:v>
      </x:c>
      <x:c r="C432" s="187" t="n">
        <x:v>43882</x:v>
      </x:c>
      <x:c r="D432" s="186" t="str">
        <x:v>088691-GOLD</x:v>
      </x:c>
      <x:c r="E432" s="186" t="str">
        <x:v>GOLD - COMMODITY EXCHANGE INC.</x:v>
      </x:c>
      <x:c r="F432" s="186" t="n">
        <x:v>715317</x:v>
      </x:c>
      <x:c r="G432" s="186" t="n">
        <x:v>17130</x:v>
      </x:c>
      <x:c r="H432" s="186" t="n">
        <x:v>176211</x:v>
      </x:c>
      <x:c r="I432" s="186" t="n">
        <x:f>G432-H432</x:f>
        <x:v>-159081</x:v>
      </x:c>
      <x:c r="J432" s="186" t="n">
        <x:v>113558</x:v>
      </x:c>
      <x:c r="K432" s="186" t="n">
        <x:v>340089</x:v>
      </x:c>
      <x:c r="L432" s="186" t="n">
        <x:f>J432-K432</x:f>
        <x:v>-226531</x:v>
      </x:c>
      <x:c r="M432" s="186" t="n">
        <x:v>278286</x:v>
      </x:c>
      <x:c r="N432" s="186" t="n">
        <x:v>39740</x:v>
      </x:c>
      <x:c r="O432" s="186" t="n">
        <x:f>M432-N432</x:f>
        <x:v>238546</x:v>
      </x:c>
      <x:c r="P432" s="186" t="n">
        <x:v>130063</x:v>
      </x:c>
      <x:c r="Q432" s="186" t="n">
        <x:v>14960</x:v>
      </x:c>
      <x:c r="R432" s="186" t="n">
        <x:f>P432-Q432</x:f>
        <x:v>115103</x:v>
      </x:c>
      <x:c r="S432" s="186" t="n">
        <x:v>64843</x:v>
      </x:c>
      <x:c r="T432" s="186" t="n">
        <x:v>32880</x:v>
      </x:c>
      <x:c r="U432" s="186" t="n">
        <x:f>S432-T432</x:f>
        <x:v>31963</x:v>
      </x:c>
      <x:c r="V432" s="196" t="n">
        <x:f>IFERROR(O432/F432,"")</x:f>
        <x:v>0.33348291736391</x:v>
      </x:c>
      <x:c r="W432" s="196" t="n">
        <x:f>IFERROR(I432/F432,"")</x:f>
        <x:v>-0.22239230998284676</x:v>
      </x:c>
    </x:row>
    <x:row r="433">
      <x:c r="A433" s="186" t="str">
        <x:v>Silver</x:v>
      </x:c>
      <x:c r="B433" s="187" t="n">
        <x:v>43879</x:v>
      </x:c>
      <x:c r="C433" s="187" t="n">
        <x:v>43882</x:v>
      </x:c>
      <x:c r="D433" s="186" t="str">
        <x:v>084691-SILVER</x:v>
      </x:c>
      <x:c r="E433" s="186" t="str">
        <x:v>SILVER - COMMODITY EXCHANGE INC.</x:v>
      </x:c>
      <x:c r="F433" s="186" t="n">
        <x:v>238077</x:v>
      </x:c>
      <x:c r="G433" s="186" t="n">
        <x:v>10889</x:v>
      </x:c>
      <x:c r="H433" s="186" t="n">
        <x:v>75156</x:v>
      </x:c>
      <x:c r="I433" s="186" t="n">
        <x:f>G433-H433</x:f>
        <x:v>-64267</x:v>
      </x:c>
      <x:c r="J433" s="186" t="n">
        <x:v>51971</x:v>
      </x:c>
      <x:c r="K433" s="186" t="n">
        <x:v>88485</x:v>
      </x:c>
      <x:c r="L433" s="186" t="n">
        <x:f>J433-K433</x:f>
        <x:v>-36514</x:v>
      </x:c>
      <x:c r="M433" s="186" t="n">
        <x:v>89145</x:v>
      </x:c>
      <x:c r="N433" s="186" t="n">
        <x:v>23193</x:v>
      </x:c>
      <x:c r="O433" s="186" t="n">
        <x:f>M433-N433</x:f>
        <x:v>65952</x:v>
      </x:c>
      <x:c r="P433" s="186" t="n">
        <x:v>18795</x:v>
      </x:c>
      <x:c r="Q433" s="186" t="n">
        <x:v>6870</x:v>
      </x:c>
      <x:c r="R433" s="186" t="n">
        <x:f>P433-Q433</x:f>
        <x:v>11925</x:v>
      </x:c>
      <x:c r="S433" s="186" t="n">
        <x:v>32952</x:v>
      </x:c>
      <x:c r="T433" s="186" t="n">
        <x:v>10048</x:v>
      </x:c>
      <x:c r="U433" s="186" t="n">
        <x:f>S433-T433</x:f>
        <x:v>22904</x:v>
      </x:c>
      <x:c r="V433" s="196" t="n">
        <x:f>IFERROR(O433/F433,"")</x:f>
        <x:v>0.27701961970286926</x:v>
      </x:c>
      <x:c r="W433" s="196" t="n">
        <x:f>IFERROR(I433/F433,"")</x:f>
        <x:v>-0.2699420775631413</x:v>
      </x:c>
    </x:row>
    <x:row r="434">
      <x:c r="A434" s="186" t="str">
        <x:v>Gold</x:v>
      </x:c>
      <x:c r="B434" s="187" t="n">
        <x:v>43886</x:v>
      </x:c>
      <x:c r="C434" s="187" t="n">
        <x:v>43889</x:v>
      </x:c>
      <x:c r="D434" s="186" t="str">
        <x:v>088691-GOLD</x:v>
      </x:c>
      <x:c r="E434" s="186" t="str">
        <x:v>GOLD - COMMODITY EXCHANGE INC.</x:v>
      </x:c>
      <x:c r="F434" s="186" t="n">
        <x:v>732917</x:v>
      </x:c>
      <x:c r="G434" s="186" t="n">
        <x:v>20685</x:v>
      </x:c>
      <x:c r="H434" s="186" t="n">
        <x:v>184340</x:v>
      </x:c>
      <x:c r="I434" s="186" t="n">
        <x:f>G434-H434</x:f>
        <x:v>-163655</x:v>
      </x:c>
      <x:c r="J434" s="186" t="n">
        <x:v>111284</x:v>
      </x:c>
      <x:c r="K434" s="186" t="n">
        <x:v>323250</x:v>
      </x:c>
      <x:c r="L434" s="186" t="n">
        <x:f>J434-K434</x:f>
        <x:v>-211966</x:v>
      </x:c>
      <x:c r="M434" s="186" t="n">
        <x:v>263218</x:v>
      </x:c>
      <x:c r="N434" s="186" t="n">
        <x:v>32372</x:v>
      </x:c>
      <x:c r="O434" s="186" t="n">
        <x:f>M434-N434</x:f>
        <x:v>230846</x:v>
      </x:c>
      <x:c r="P434" s="186" t="n">
        <x:v>126121</x:v>
      </x:c>
      <x:c r="Q434" s="186" t="n">
        <x:v>21102</x:v>
      </x:c>
      <x:c r="R434" s="186" t="n">
        <x:f>P434-Q434</x:f>
        <x:v>105019</x:v>
      </x:c>
      <x:c r="S434" s="186" t="n">
        <x:v>76231</x:v>
      </x:c>
      <x:c r="T434" s="186" t="n">
        <x:v>36475</x:v>
      </x:c>
      <x:c r="U434" s="186" t="n">
        <x:f>S434-T434</x:f>
        <x:v>39756</x:v>
      </x:c>
      <x:c r="V434" s="196" t="n">
        <x:f>IFERROR(O434/F434,"")</x:f>
        <x:v>0.3149688163871216</x:v>
      </x:c>
      <x:c r="W434" s="196" t="n">
        <x:f>IFERROR(I434/F434,"")</x:f>
        <x:v>-0.22329267843425654</x:v>
      </x:c>
    </x:row>
    <x:row r="435">
      <x:c r="A435" s="186" t="str">
        <x:v>Silver</x:v>
      </x:c>
      <x:c r="B435" s="187" t="n">
        <x:v>43886</x:v>
      </x:c>
      <x:c r="C435" s="187" t="n">
        <x:v>43889</x:v>
      </x:c>
      <x:c r="D435" s="186" t="str">
        <x:v>084691-SILVER</x:v>
      </x:c>
      <x:c r="E435" s="186" t="str">
        <x:v>SILVER - COMMODITY EXCHANGE INC.</x:v>
      </x:c>
      <x:c r="F435" s="186" t="n">
        <x:v>238970</x:v>
      </x:c>
      <x:c r="G435" s="186" t="n">
        <x:v>10906</x:v>
      </x:c>
      <x:c r="H435" s="186" t="n">
        <x:v>74639</x:v>
      </x:c>
      <x:c r="I435" s="186" t="n">
        <x:f>G435-H435</x:f>
        <x:v>-63733</x:v>
      </x:c>
      <x:c r="J435" s="186" t="n">
        <x:v>52183</x:v>
      </x:c>
      <x:c r="K435" s="186" t="n">
        <x:v>87810</x:v>
      </x:c>
      <x:c r="L435" s="186" t="n">
        <x:f>J435-K435</x:f>
        <x:v>-35627</x:v>
      </x:c>
      <x:c r="M435" s="186" t="n">
        <x:v>86886</x:v>
      </x:c>
      <x:c r="N435" s="186" t="n">
        <x:v>25197</x:v>
      </x:c>
      <x:c r="O435" s="186" t="n">
        <x:f>M435-N435</x:f>
        <x:v>61689</x:v>
      </x:c>
      <x:c r="P435" s="186" t="n">
        <x:v>20604</x:v>
      </x:c>
      <x:c r="Q435" s="186" t="n">
        <x:v>7500</x:v>
      </x:c>
      <x:c r="R435" s="186" t="n">
        <x:f>P435-Q435</x:f>
        <x:v>13104</x:v>
      </x:c>
      <x:c r="S435" s="186" t="n">
        <x:v>34442</x:v>
      </x:c>
      <x:c r="T435" s="186" t="n">
        <x:v>9875</x:v>
      </x:c>
      <x:c r="U435" s="186" t="n">
        <x:f>S435-T435</x:f>
        <x:v>24567</x:v>
      </x:c>
      <x:c r="V435" s="196" t="n">
        <x:f>IFERROR(O435/F435,"")</x:f>
        <x:v>0.258145373896305</x:v>
      </x:c>
      <x:c r="W435" s="196" t="n">
        <x:f>IFERROR(I435/F435,"")</x:f>
        <x:v>-0.2666987487969201</x:v>
      </x:c>
    </x:row>
    <x:row r="436">
      <x:c r="A436" s="186" t="str">
        <x:v>Gold</x:v>
      </x:c>
      <x:c r="B436" s="187" t="n">
        <x:v>43893</x:v>
      </x:c>
      <x:c r="C436" s="187" t="n">
        <x:v>43896</x:v>
      </x:c>
      <x:c r="D436" s="186" t="str">
        <x:v>088691-GOLD</x:v>
      </x:c>
      <x:c r="E436" s="186" t="str">
        <x:v>GOLD - COMMODITY EXCHANGE INC.</x:v>
      </x:c>
      <x:c r="F436" s="186" t="n">
        <x:v>691985</x:v>
      </x:c>
      <x:c r="G436" s="186" t="n">
        <x:v>18481</x:v>
      </x:c>
      <x:c r="H436" s="186" t="n">
        <x:v>178821</x:v>
      </x:c>
      <x:c r="I436" s="186" t="n">
        <x:f>G436-H436</x:f>
        <x:v>-160340</x:v>
      </x:c>
      <x:c r="J436" s="186" t="n">
        <x:v>109639</x:v>
      </x:c>
      <x:c r="K436" s="186" t="n">
        <x:v>300310</x:v>
      </x:c>
      <x:c r="L436" s="186" t="n">
        <x:f>J436-K436</x:f>
        <x:v>-190671</x:v>
      </x:c>
      <x:c r="M436" s="186" t="n">
        <x:v>242921</x:v>
      </x:c>
      <x:c r="N436" s="186" t="n">
        <x:v>27560</x:v>
      </x:c>
      <x:c r="O436" s="186" t="n">
        <x:f>M436-N436</x:f>
        <x:v>215361</x:v>
      </x:c>
      <x:c r="P436" s="186" t="n">
        <x:v>123252</x:v>
      </x:c>
      <x:c r="Q436" s="186" t="n">
        <x:v>18880</x:v>
      </x:c>
      <x:c r="R436" s="186" t="n">
        <x:f>P436-Q436</x:f>
        <x:v>104372</x:v>
      </x:c>
      <x:c r="S436" s="186" t="n">
        <x:v>62319</x:v>
      </x:c>
      <x:c r="T436" s="186" t="n">
        <x:v>31041</x:v>
      </x:c>
      <x:c r="U436" s="186" t="n">
        <x:f>S436-T436</x:f>
        <x:v>31278</x:v>
      </x:c>
      <x:c r="V436" s="196" t="n">
        <x:f>IFERROR(O436/F436,"")</x:f>
        <x:v>0.31122206406208225</x:v>
      </x:c>
      <x:c r="W436" s="196" t="n">
        <x:f>IFERROR(I436/F436,"")</x:f>
        <x:v>-0.23171022493262136</x:v>
      </x:c>
    </x:row>
    <x:row r="437">
      <x:c r="A437" s="186" t="str">
        <x:v>Silver</x:v>
      </x:c>
      <x:c r="B437" s="187" t="n">
        <x:v>43893</x:v>
      </x:c>
      <x:c r="C437" s="187" t="n">
        <x:v>43896</x:v>
      </x:c>
      <x:c r="D437" s="186" t="str">
        <x:v>084691-SILVER</x:v>
      </x:c>
      <x:c r="E437" s="186" t="str">
        <x:v>SILVER - COMMODITY EXCHANGE INC.</x:v>
      </x:c>
      <x:c r="F437" s="186" t="n">
        <x:v>196909</x:v>
      </x:c>
      <x:c r="G437" s="186" t="n">
        <x:v>8026</x:v>
      </x:c>
      <x:c r="H437" s="186" t="n">
        <x:v>64777</x:v>
      </x:c>
      <x:c r="I437" s="186" t="n">
        <x:f>G437-H437</x:f>
        <x:v>-56751</x:v>
      </x:c>
      <x:c r="J437" s="186" t="n">
        <x:v>53804</x:v>
      </x:c>
      <x:c r="K437" s="186" t="n">
        <x:v>65497</x:v>
      </x:c>
      <x:c r="L437" s="186" t="n">
        <x:f>J437-K437</x:f>
        <x:v>-11693</x:v>
      </x:c>
      <x:c r="M437" s="186" t="n">
        <x:v>57906</x:v>
      </x:c>
      <x:c r="N437" s="186" t="n">
        <x:v>28935</x:v>
      </x:c>
      <x:c r="O437" s="186" t="n">
        <x:f>M437-N437</x:f>
        <x:v>28971</x:v>
      </x:c>
      <x:c r="P437" s="186" t="n">
        <x:v>24664</x:v>
      </x:c>
      <x:c r="Q437" s="186" t="n">
        <x:v>5332</x:v>
      </x:c>
      <x:c r="R437" s="186" t="n">
        <x:f>P437-Q437</x:f>
        <x:v>19332</x:v>
      </x:c>
      <x:c r="S437" s="186" t="n">
        <x:v>28661</x:v>
      </x:c>
      <x:c r="T437" s="186" t="n">
        <x:v>8520</x:v>
      </x:c>
      <x:c r="U437" s="186" t="n">
        <x:f>S437-T437</x:f>
        <x:v>20141</x:v>
      </x:c>
      <x:c r="V437" s="196" t="n">
        <x:f>IFERROR(O437/F437,"")</x:f>
        <x:v>0.14712887679080183</x:v>
      </x:c>
      <x:c r="W437" s="196" t="n">
        <x:f>IFERROR(I437/F437,"")</x:f>
        <x:v>-0.28820927433484506</x:v>
      </x:c>
    </x:row>
    <x:row r="438">
      <x:c r="A438" s="186" t="str">
        <x:v>Gold</x:v>
      </x:c>
      <x:c r="B438" s="187" t="n">
        <x:v>43900</x:v>
      </x:c>
      <x:c r="C438" s="187" t="n">
        <x:v>43903</x:v>
      </x:c>
      <x:c r="D438" s="186" t="str">
        <x:v>088691-GOLD</x:v>
      </x:c>
      <x:c r="E438" s="186" t="str">
        <x:v>GOLD - COMMODITY EXCHANGE INC.</x:v>
      </x:c>
      <x:c r="F438" s="186" t="n">
        <x:v>633470</x:v>
      </x:c>
      <x:c r="G438" s="186" t="n">
        <x:v>30447</x:v>
      </x:c>
      <x:c r="H438" s="186" t="n">
        <x:v>171242</x:v>
      </x:c>
      <x:c r="I438" s="186" t="n">
        <x:f>G438-H438</x:f>
        <x:v>-140795</x:v>
      </x:c>
      <x:c r="J438" s="186" t="n">
        <x:v>114320</x:v>
      </x:c>
      <x:c r="K438" s="186" t="n">
        <x:v>301829</x:v>
      </x:c>
      <x:c r="L438" s="186" t="n">
        <x:f>J438-K438</x:f>
        <x:v>-187509</x:v>
      </x:c>
      <x:c r="M438" s="186" t="n">
        <x:v>220642</x:v>
      </x:c>
      <x:c r="N438" s="186" t="n">
        <x:v>10457</x:v>
      </x:c>
      <x:c r="O438" s="186" t="n">
        <x:f>M438-N438</x:f>
        <x:v>210185</x:v>
      </x:c>
      <x:c r="P438" s="186" t="n">
        <x:v>115648</x:v>
      </x:c>
      <x:c r="Q438" s="186" t="n">
        <x:v>26302</x:v>
      </x:c>
      <x:c r="R438" s="186" t="n">
        <x:f>P438-Q438</x:f>
        <x:v>89346</x:v>
      </x:c>
      <x:c r="S438" s="186" t="n">
        <x:v>60168</x:v>
      </x:c>
      <x:c r="T438" s="186" t="n">
        <x:v>31395</x:v>
      </x:c>
      <x:c r="U438" s="186" t="n">
        <x:f>S438-T438</x:f>
        <x:v>28773</x:v>
      </x:c>
      <x:c r="V438" s="196" t="n">
        <x:f>IFERROR(O438/F438,"")</x:f>
        <x:v>0.33179945380207426</x:v>
      </x:c>
      <x:c r="W438" s="196" t="n">
        <x:f>IFERROR(I438/F438,"")</x:f>
        <x:v>-0.22225993338279634</x:v>
      </x:c>
    </x:row>
    <x:row r="439">
      <x:c r="A439" s="186" t="str">
        <x:v>Silver</x:v>
      </x:c>
      <x:c r="B439" s="187" t="n">
        <x:v>43900</x:v>
      </x:c>
      <x:c r="C439" s="187" t="n">
        <x:v>43903</x:v>
      </x:c>
      <x:c r="D439" s="186" t="str">
        <x:v>084691-SILVER</x:v>
      </x:c>
      <x:c r="E439" s="186" t="str">
        <x:v>SILVER - COMMODITY EXCHANGE INC.</x:v>
      </x:c>
      <x:c r="F439" s="186" t="n">
        <x:v>187060</x:v>
      </x:c>
      <x:c r="G439" s="186" t="n">
        <x:v>9648</x:v>
      </x:c>
      <x:c r="H439" s="186" t="n">
        <x:v>60543</x:v>
      </x:c>
      <x:c r="I439" s="186" t="n">
        <x:f>G439-H439</x:f>
        <x:v>-50895</x:v>
      </x:c>
      <x:c r="J439" s="186" t="n">
        <x:v>54515</x:v>
      </x:c>
      <x:c r="K439" s="186" t="n">
        <x:v>63956</x:v>
      </x:c>
      <x:c r="L439" s="186" t="n">
        <x:f>J439-K439</x:f>
        <x:v>-9441</x:v>
      </x:c>
      <x:c r="M439" s="186" t="n">
        <x:v>52958</x:v>
      </x:c>
      <x:c r="N439" s="186" t="n">
        <x:v>26212</x:v>
      </x:c>
      <x:c r="O439" s="186" t="n">
        <x:f>M439-N439</x:f>
        <x:v>26746</x:v>
      </x:c>
      <x:c r="P439" s="186" t="n">
        <x:v>22159</x:v>
      </x:c>
      <x:c r="Q439" s="186" t="n">
        <x:v>3958</x:v>
      </x:c>
      <x:c r="R439" s="186" t="n">
        <x:f>P439-Q439</x:f>
        <x:v>18201</x:v>
      </x:c>
      <x:c r="S439" s="186" t="n">
        <x:v>24943</x:v>
      </x:c>
      <x:c r="T439" s="186" t="n">
        <x:v>9554</x:v>
      </x:c>
      <x:c r="U439" s="186" t="n">
        <x:f>S439-T439</x:f>
        <x:v>15389</x:v>
      </x:c>
      <x:c r="V439" s="196" t="n">
        <x:f>IFERROR(O439/F439,"")</x:f>
        <x:v>0.14298086175558644</x:v>
      </x:c>
      <x:c r="W439" s="196" t="n">
        <x:f>IFERROR(I439/F439,"")</x:f>
        <x:v>-0.2720784774938522</x:v>
      </x:c>
    </x:row>
    <x:row r="440">
      <x:c r="A440" s="186" t="str">
        <x:v>Gold</x:v>
      </x:c>
      <x:c r="B440" s="187" t="n">
        <x:v>43907</x:v>
      </x:c>
      <x:c r="C440" s="187" t="n">
        <x:v>43910</x:v>
      </x:c>
      <x:c r="D440" s="186" t="str">
        <x:v>088691-GOLD</x:v>
      </x:c>
      <x:c r="E440" s="186" t="str">
        <x:v>GOLD - COMMODITY EXCHANGE INC.</x:v>
      </x:c>
      <x:c r="F440" s="186" t="n">
        <x:v>573925</x:v>
      </x:c>
      <x:c r="G440" s="186" t="n">
        <x:v>28316</x:v>
      </x:c>
      <x:c r="H440" s="186" t="n">
        <x:v>161694</x:v>
      </x:c>
      <x:c r="I440" s="186" t="n">
        <x:f>G440-H440</x:f>
        <x:v>-133378</x:v>
      </x:c>
      <x:c r="J440" s="186" t="n">
        <x:v>95537</x:v>
      </x:c>
      <x:c r="K440" s="186" t="n">
        <x:v>263868</x:v>
      </x:c>
      <x:c r="L440" s="186" t="n">
        <x:f>J440-K440</x:f>
        <x:v>-168331</x:v>
      </x:c>
      <x:c r="M440" s="186" t="n">
        <x:v>164979</x:v>
      </x:c>
      <x:c r="N440" s="186" t="n">
        <x:v>10900</x:v>
      </x:c>
      <x:c r="O440" s="186" t="n">
        <x:f>M440-N440</x:f>
        <x:v>154079</x:v>
      </x:c>
      <x:c r="P440" s="186" t="n">
        <x:v>152426</x:v>
      </x:c>
      <x:c r="Q440" s="186" t="n">
        <x:v>24589</x:v>
      </x:c>
      <x:c r="R440" s="186" t="n">
        <x:f>P440-Q440</x:f>
        <x:v>127837</x:v>
      </x:c>
      <x:c r="S440" s="186" t="n">
        <x:v>51321</x:v>
      </x:c>
      <x:c r="T440" s="186" t="n">
        <x:v>31528</x:v>
      </x:c>
      <x:c r="U440" s="186" t="n">
        <x:f>S440-T440</x:f>
        <x:v>19793</x:v>
      </x:c>
      <x:c r="V440" s="196" t="n">
        <x:f>IFERROR(O440/F440,"")</x:f>
        <x:v>0.2684653918194886</x:v>
      </x:c>
      <x:c r="W440" s="196" t="n">
        <x:f>IFERROR(I440/F440,"")</x:f>
        <x:v>-0.2323962190181644</x:v>
      </x:c>
    </x:row>
    <x:row r="441">
      <x:c r="A441" s="186" t="str">
        <x:v>Silver</x:v>
      </x:c>
      <x:c r="B441" s="187" t="n">
        <x:v>43907</x:v>
      </x:c>
      <x:c r="C441" s="187" t="n">
        <x:v>43910</x:v>
      </x:c>
      <x:c r="D441" s="186" t="str">
        <x:v>084691-SILVER</x:v>
      </x:c>
      <x:c r="E441" s="186" t="str">
        <x:v>SILVER - COMMODITY EXCHANGE INC.</x:v>
      </x:c>
      <x:c r="F441" s="186" t="n">
        <x:v>166682</x:v>
      </x:c>
      <x:c r="G441" s="186" t="n">
        <x:v>9947</x:v>
      </x:c>
      <x:c r="H441" s="186" t="n">
        <x:v>60072</x:v>
      </x:c>
      <x:c r="I441" s="186" t="n">
        <x:f>G441-H441</x:f>
        <x:v>-50125</x:v>
      </x:c>
      <x:c r="J441" s="186" t="n">
        <x:v>50279</x:v>
      </x:c>
      <x:c r="K441" s="186" t="n">
        <x:v>54801</x:v>
      </x:c>
      <x:c r="L441" s="186" t="n">
        <x:f>J441-K441</x:f>
        <x:v>-4522</x:v>
      </x:c>
      <x:c r="M441" s="186" t="n">
        <x:v>37409</x:v>
      </x:c>
      <x:c r="N441" s="186" t="n">
        <x:v>15471</x:v>
      </x:c>
      <x:c r="O441" s="186" t="n">
        <x:f>M441-N441</x:f>
        <x:v>21938</x:v>
      </x:c>
      <x:c r="P441" s="186" t="n">
        <x:v>23806</x:v>
      </x:c>
      <x:c r="Q441" s="186" t="n">
        <x:v>3776</x:v>
      </x:c>
      <x:c r="R441" s="186" t="n">
        <x:f>P441-Q441</x:f>
        <x:v>20030</x:v>
      </x:c>
      <x:c r="S441" s="186" t="n">
        <x:v>22681</x:v>
      </x:c>
      <x:c r="T441" s="186" t="n">
        <x:v>10002</x:v>
      </x:c>
      <x:c r="U441" s="186" t="n">
        <x:f>S441-T441</x:f>
        <x:v>12679</x:v>
      </x:c>
      <x:c r="V441" s="196" t="n">
        <x:f>IFERROR(O441/F441,"")</x:f>
        <x:v>0.1316158913379969</x:v>
      </x:c>
      <x:c r="W441" s="196" t="n">
        <x:f>IFERROR(I441/F441,"")</x:f>
        <x:v>-0.30072233354531386</x:v>
      </x:c>
    </x:row>
    <x:row r="442">
      <x:c r="A442" s="186" t="str">
        <x:v>Gold</x:v>
      </x:c>
      <x:c r="B442" s="187" t="n">
        <x:v>43914</x:v>
      </x:c>
      <x:c r="C442" s="187" t="n">
        <x:v>43917</x:v>
      </x:c>
      <x:c r="D442" s="186" t="str">
        <x:v>088691-GOLD</x:v>
      </x:c>
      <x:c r="E442" s="186" t="str">
        <x:v>GOLD - COMMODITY EXCHANGE INC.</x:v>
      </x:c>
      <x:c r="F442" s="186" t="n">
        <x:v>547334</x:v>
      </x:c>
      <x:c r="G442" s="186" t="n">
        <x:v>22853</x:v>
      </x:c>
      <x:c r="H442" s="186" t="n">
        <x:v>157635</x:v>
      </x:c>
      <x:c r="I442" s="186" t="n">
        <x:f>G442-H442</x:f>
        <x:v>-134782</x:v>
      </x:c>
      <x:c r="J442" s="186" t="n">
        <x:v>92974</x:v>
      </x:c>
      <x:c r="K442" s="186" t="n">
        <x:v>270015</x:v>
      </x:c>
      <x:c r="L442" s="186" t="n">
        <x:f>J442-K442</x:f>
        <x:v>-177041</x:v>
      </x:c>
      <x:c r="M442" s="186" t="n">
        <x:v>158965</x:v>
      </x:c>
      <x:c r="N442" s="186" t="n">
        <x:v>1556</x:v>
      </x:c>
      <x:c r="O442" s="186" t="n">
        <x:f>M442-N442</x:f>
        <x:v>157409</x:v>
      </x:c>
      <x:c r="P442" s="186" t="n">
        <x:v>158963</x:v>
      </x:c>
      <x:c r="Q442" s="186" t="n">
        <x:v>28006</x:v>
      </x:c>
      <x:c r="R442" s="186" t="n">
        <x:f>P442-Q442</x:f>
        <x:v>130957</x:v>
      </x:c>
      <x:c r="S442" s="186" t="n">
        <x:v>49816</x:v>
      </x:c>
      <x:c r="T442" s="186" t="n">
        <x:v>26359</x:v>
      </x:c>
      <x:c r="U442" s="186" t="n">
        <x:f>S442-T442</x:f>
        <x:v>23457</x:v>
      </x:c>
      <x:c r="V442" s="196" t="n">
        <x:f>IFERROR(O442/F442,"")</x:f>
        <x:v>0.28759221974151067</x:v>
      </x:c>
      <x:c r="W442" s="196" t="n">
        <x:f>IFERROR(I442/F442,"")</x:f>
        <x:v>-0.24625183160556444</x:v>
      </x:c>
    </x:row>
    <x:row r="443">
      <x:c r="A443" s="186" t="str">
        <x:v>Silver</x:v>
      </x:c>
      <x:c r="B443" s="187" t="n">
        <x:v>43914</x:v>
      </x:c>
      <x:c r="C443" s="187" t="n">
        <x:v>43917</x:v>
      </x:c>
      <x:c r="D443" s="186" t="str">
        <x:v>084691-SILVER</x:v>
      </x:c>
      <x:c r="E443" s="186" t="str">
        <x:v>SILVER - COMMODITY EXCHANGE INC.</x:v>
      </x:c>
      <x:c r="F443" s="186" t="n">
        <x:v>150700</x:v>
      </x:c>
      <x:c r="G443" s="186" t="n">
        <x:v>9301</x:v>
      </x:c>
      <x:c r="H443" s="186" t="n">
        <x:v>53442</x:v>
      </x:c>
      <x:c r="I443" s="186" t="n">
        <x:f>G443-H443</x:f>
        <x:v>-44141</x:v>
      </x:c>
      <x:c r="J443" s="186" t="n">
        <x:v>47718</x:v>
      </x:c>
      <x:c r="K443" s="186" t="n">
        <x:v>48257</x:v>
      </x:c>
      <x:c r="L443" s="186" t="n">
        <x:f>J443-K443</x:f>
        <x:v>-539</x:v>
      </x:c>
      <x:c r="M443" s="186" t="n">
        <x:v>30238</x:v>
      </x:c>
      <x:c r="N443" s="186" t="n">
        <x:v>16227</x:v>
      </x:c>
      <x:c r="O443" s="186" t="n">
        <x:f>M443-N443</x:f>
        <x:v>14011</x:v>
      </x:c>
      <x:c r="P443" s="186" t="n">
        <x:v>22839</x:v>
      </x:c>
      <x:c r="Q443" s="186" t="n">
        <x:v>3163</x:v>
      </x:c>
      <x:c r="R443" s="186" t="n">
        <x:f>P443-Q443</x:f>
        <x:v>19676</x:v>
      </x:c>
      <x:c r="S443" s="186" t="n">
        <x:v>21976</x:v>
      </x:c>
      <x:c r="T443" s="186" t="n">
        <x:v>10983</x:v>
      </x:c>
      <x:c r="U443" s="186" t="n">
        <x:f>S443-T443</x:f>
        <x:v>10993</x:v>
      </x:c>
      <x:c r="V443" s="196" t="n">
        <x:f>IFERROR(O443/F443,"")</x:f>
        <x:v>0.09297279362972793</x:v>
      </x:c>
      <x:c r="W443" s="196" t="n">
        <x:f>IFERROR(I443/F443,"")</x:f>
        <x:v>-0.29290643662906435</x:v>
      </x:c>
    </x:row>
    <x:row r="444">
      <x:c r="A444" s="186" t="str">
        <x:v>Gold</x:v>
      </x:c>
      <x:c r="B444" s="187" t="n">
        <x:v>43921</x:v>
      </x:c>
      <x:c r="C444" s="187" t="n">
        <x:v>43924</x:v>
      </x:c>
      <x:c r="D444" s="186" t="str">
        <x:v>088691-GOLD</x:v>
      </x:c>
      <x:c r="E444" s="186" t="str">
        <x:v>GOLD - COMMODITY EXCHANGE INC.</x:v>
      </x:c>
      <x:c r="F444" s="186" t="n">
        <x:v>495652</x:v>
      </x:c>
      <x:c r="G444" s="186" t="n">
        <x:v>25659</x:v>
      </x:c>
      <x:c r="H444" s="186" t="n">
        <x:v>137868</x:v>
      </x:c>
      <x:c r="I444" s="186" t="n">
        <x:f>G444-H444</x:f>
        <x:v>-112209</x:v>
      </x:c>
      <x:c r="J444" s="186" t="n">
        <x:v>81549</x:v>
      </x:c>
      <x:c r="K444" s="186" t="n">
        <x:v>253299</x:v>
      </x:c>
      <x:c r="L444" s="186" t="n">
        <x:f>J444-K444</x:f>
        <x:v>-171750</x:v>
      </x:c>
      <x:c r="M444" s="186" t="n">
        <x:v>156820</x:v>
      </x:c>
      <x:c r="N444" s="186" t="n">
        <x:v>4222</x:v>
      </x:c>
      <x:c r="O444" s="186" t="n">
        <x:f>M444-N444</x:f>
        <x:v>152598</x:v>
      </x:c>
      <x:c r="P444" s="186" t="n">
        <x:v>130709</x:v>
      </x:c>
      <x:c r="Q444" s="186" t="n">
        <x:v>24458</x:v>
      </x:c>
      <x:c r="R444" s="186" t="n">
        <x:f>P444-Q444</x:f>
        <x:v>106251</x:v>
      </x:c>
      <x:c r="S444" s="186" t="n">
        <x:v>47696</x:v>
      </x:c>
      <x:c r="T444" s="186" t="n">
        <x:v>22586</x:v>
      </x:c>
      <x:c r="U444" s="186" t="n">
        <x:f>S444-T444</x:f>
        <x:v>25110</x:v>
      </x:c>
      <x:c r="V444" s="196" t="n">
        <x:f>IFERROR(O444/F444,"")</x:f>
        <x:v>0.3078732659204442</x:v>
      </x:c>
      <x:c r="W444" s="196" t="n">
        <x:f>IFERROR(I444/F444,"")</x:f>
        <x:v>-0.22638665838128363</x:v>
      </x:c>
    </x:row>
    <x:row r="445">
      <x:c r="A445" s="186" t="str">
        <x:v>Silver</x:v>
      </x:c>
      <x:c r="B445" s="187" t="n">
        <x:v>43921</x:v>
      </x:c>
      <x:c r="C445" s="187" t="n">
        <x:v>43924</x:v>
      </x:c>
      <x:c r="D445" s="186" t="str">
        <x:v>084691-SILVER</x:v>
      </x:c>
      <x:c r="E445" s="186" t="str">
        <x:v>SILVER - COMMODITY EXCHANGE INC.</x:v>
      </x:c>
      <x:c r="F445" s="186" t="n">
        <x:v>139256</x:v>
      </x:c>
      <x:c r="G445" s="186" t="n">
        <x:v>8516</x:v>
      </x:c>
      <x:c r="H445" s="186" t="n">
        <x:v>50400</x:v>
      </x:c>
      <x:c r="I445" s="186" t="n">
        <x:f>G445-H445</x:f>
        <x:v>-41884</x:v>
      </x:c>
      <x:c r="J445" s="186" t="n">
        <x:v>49619</x:v>
      </x:c>
      <x:c r="K445" s="186" t="n">
        <x:v>49035</x:v>
      </x:c>
      <x:c r="L445" s="186" t="n">
        <x:f>J445-K445</x:f>
        <x:v>584</x:v>
      </x:c>
      <x:c r="M445" s="186" t="n">
        <x:v>30406</x:v>
      </x:c>
      <x:c r="N445" s="186" t="n">
        <x:v>12432</x:v>
      </x:c>
      <x:c r="O445" s="186" t="n">
        <x:f>M445-N445</x:f>
        <x:v>17974</x:v>
      </x:c>
      <x:c r="P445" s="186" t="n">
        <x:v>16644</x:v>
      </x:c>
      <x:c r="Q445" s="186" t="n">
        <x:v>3740</x:v>
      </x:c>
      <x:c r="R445" s="186" t="n">
        <x:f>P445-Q445</x:f>
        <x:v>12904</x:v>
      </x:c>
      <x:c r="S445" s="186" t="n">
        <x:v>20051</x:v>
      </x:c>
      <x:c r="T445" s="186" t="n">
        <x:v>9629</x:v>
      </x:c>
      <x:c r="U445" s="186" t="n">
        <x:f>S445-T445</x:f>
        <x:v>10422</x:v>
      </x:c>
      <x:c r="V445" s="196" t="n">
        <x:f>IFERROR(O445/F445,"")</x:f>
        <x:v>0.12907163784684322</x:v>
      </x:c>
      <x:c r="W445" s="196" t="n">
        <x:f>IFERROR(I445/F445,"")</x:f>
        <x:v>-0.3007698052507612</x:v>
      </x:c>
    </x:row>
    <x:row r="446">
      <x:c r="A446" s="186" t="str">
        <x:v>Gold</x:v>
      </x:c>
      <x:c r="B446" s="187" t="n">
        <x:v>43928</x:v>
      </x:c>
      <x:c r="C446" s="187" t="n">
        <x:v>43931</x:v>
      </x:c>
      <x:c r="D446" s="186" t="str">
        <x:v>088691-GOLD</x:v>
      </x:c>
      <x:c r="E446" s="186" t="str">
        <x:v>GOLD - COMMODITY EXCHANGE INC.</x:v>
      </x:c>
      <x:c r="F446" s="186" t="n">
        <x:v>480050</x:v>
      </x:c>
      <x:c r="G446" s="186" t="n">
        <x:v>19757</x:v>
      </x:c>
      <x:c r="H446" s="186" t="n">
        <x:v>129690</x:v>
      </x:c>
      <x:c r="I446" s="186" t="n">
        <x:f>G446-H446</x:f>
        <x:v>-109933</x:v>
      </x:c>
      <x:c r="J446" s="186" t="n">
        <x:v>80746</x:v>
      </x:c>
      <x:c r="K446" s="186" t="n">
        <x:v>246424</x:v>
      </x:c>
      <x:c r="L446" s="186" t="n">
        <x:f>J446-K446</x:f>
        <x:v>-165678</x:v>
      </x:c>
      <x:c r="M446" s="186" t="n">
        <x:v>157005</x:v>
      </x:c>
      <x:c r="N446" s="186" t="n">
        <x:v>4523</x:v>
      </x:c>
      <x:c r="O446" s="186" t="n">
        <x:f>M446-N446</x:f>
        <x:v>152482</x:v>
      </x:c>
      <x:c r="P446" s="186" t="n">
        <x:v>122875</x:v>
      </x:c>
      <x:c r="Q446" s="186" t="n">
        <x:v>26415</x:v>
      </x:c>
      <x:c r="R446" s="186" t="n">
        <x:f>P446-Q446</x:f>
        <x:v>96460</x:v>
      </x:c>
      <x:c r="S446" s="186" t="n">
        <x:v>51464</x:v>
      </x:c>
      <x:c r="T446" s="186" t="n">
        <x:v>24795</x:v>
      </x:c>
      <x:c r="U446" s="186" t="n">
        <x:f>S446-T446</x:f>
        <x:v>26669</x:v>
      </x:c>
      <x:c r="V446" s="196" t="n">
        <x:f>IFERROR(O446/F446,"")</x:f>
        <x:v>0.3176377460681179</x:v>
      </x:c>
      <x:c r="W446" s="196" t="n">
        <x:f>IFERROR(I446/F446,"")</x:f>
        <x:v>-0.22900322883033017</x:v>
      </x:c>
    </x:row>
    <x:row r="447">
      <x:c r="A447" s="186" t="str">
        <x:v>Silver</x:v>
      </x:c>
      <x:c r="B447" s="187" t="n">
        <x:v>43928</x:v>
      </x:c>
      <x:c r="C447" s="187" t="n">
        <x:v>43931</x:v>
      </x:c>
      <x:c r="D447" s="186" t="str">
        <x:v>084691-SILVER</x:v>
      </x:c>
      <x:c r="E447" s="186" t="str">
        <x:v>SILVER - COMMODITY EXCHANGE INC.</x:v>
      </x:c>
      <x:c r="F447" s="186" t="n">
        <x:v>138974</x:v>
      </x:c>
      <x:c r="G447" s="186" t="n">
        <x:v>8926</x:v>
      </x:c>
      <x:c r="H447" s="186" t="n">
        <x:v>51882</x:v>
      </x:c>
      <x:c r="I447" s="186" t="n">
        <x:f>G447-H447</x:f>
        <x:v>-42956</x:v>
      </x:c>
      <x:c r="J447" s="186" t="n">
        <x:v>49700</x:v>
      </x:c>
      <x:c r="K447" s="186" t="n">
        <x:v>49731</x:v>
      </x:c>
      <x:c r="L447" s="186" t="n">
        <x:f>J447-K447</x:f>
        <x:v>-31</x:v>
      </x:c>
      <x:c r="M447" s="186" t="n">
        <x:v>30348</x:v>
      </x:c>
      <x:c r="N447" s="186" t="n">
        <x:v>13726</x:v>
      </x:c>
      <x:c r="O447" s="186" t="n">
        <x:f>M447-N447</x:f>
        <x:v>16622</x:v>
      </x:c>
      <x:c r="P447" s="186" t="n">
        <x:v>16123</x:v>
      </x:c>
      <x:c r="Q447" s="186" t="n">
        <x:v>3028</x:v>
      </x:c>
      <x:c r="R447" s="186" t="n">
        <x:f>P447-Q447</x:f>
        <x:v>13095</x:v>
      </x:c>
      <x:c r="S447" s="186" t="n">
        <x:v>22096</x:v>
      </x:c>
      <x:c r="T447" s="186" t="n">
        <x:v>8826</x:v>
      </x:c>
      <x:c r="U447" s="186" t="n">
        <x:f>S447-T447</x:f>
        <x:v>13270</x:v>
      </x:c>
      <x:c r="V447" s="196" t="n">
        <x:f>IFERROR(O447/F447,"")</x:f>
        <x:v>0.11960510599104869</x:v>
      </x:c>
      <x:c r="W447" s="196" t="n">
        <x:f>IFERROR(I447/F447,"")</x:f>
        <x:v>-0.30909378732712595</x:v>
      </x:c>
    </x:row>
    <x:row r="448">
      <x:c r="A448" s="186" t="str">
        <x:v>Gold</x:v>
      </x:c>
      <x:c r="B448" s="187" t="n">
        <x:v>43935</x:v>
      </x:c>
      <x:c r="C448" s="187" t="n">
        <x:v>43938</x:v>
      </x:c>
      <x:c r="D448" s="186" t="str">
        <x:v>088691-GOLD</x:v>
      </x:c>
      <x:c r="E448" s="186" t="str">
        <x:v>GOLD - COMMODITY EXCHANGE INC.</x:v>
      </x:c>
      <x:c r="F448" s="186" t="n">
        <x:v>489965</x:v>
      </x:c>
      <x:c r="G448" s="186" t="n">
        <x:v>19415</x:v>
      </x:c>
      <x:c r="H448" s="186" t="n">
        <x:v>127666</x:v>
      </x:c>
      <x:c r="I448" s="186" t="n">
        <x:f>G448-H448</x:f>
        <x:v>-108251</x:v>
      </x:c>
      <x:c r="J448" s="186" t="n">
        <x:v>78256</x:v>
      </x:c>
      <x:c r="K448" s="186" t="n">
        <x:v>250413</x:v>
      </x:c>
      <x:c r="L448" s="186" t="n">
        <x:f>J448-K448</x:f>
        <x:v>-172157</x:v>
      </x:c>
      <x:c r="M448" s="186" t="n">
        <x:v>162412</x:v>
      </x:c>
      <x:c r="N448" s="186" t="n">
        <x:v>7168</x:v>
      </x:c>
      <x:c r="O448" s="186" t="n">
        <x:f>M448-N448</x:f>
        <x:v>155244</x:v>
      </x:c>
      <x:c r="P448" s="186" t="n">
        <x:v>124205</x:v>
      </x:c>
      <x:c r="Q448" s="186" t="n">
        <x:v>26948</x:v>
      </x:c>
      <x:c r="R448" s="186" t="n">
        <x:f>P448-Q448</x:f>
        <x:v>97257</x:v>
      </x:c>
      <x:c r="S448" s="186" t="n">
        <x:v>53171</x:v>
      </x:c>
      <x:c r="T448" s="186" t="n">
        <x:v>25264</x:v>
      </x:c>
      <x:c r="U448" s="186" t="n">
        <x:f>S448-T448</x:f>
        <x:v>27907</x:v>
      </x:c>
      <x:c r="V448" s="196" t="n">
        <x:f>IFERROR(O448/F448,"")</x:f>
        <x:v>0.316847121733185</x:v>
      </x:c>
      <x:c r="W448" s="196" t="n">
        <x:f>IFERROR(I448/F448,"")</x:f>
        <x:v>-0.2209361893196453</x:v>
      </x:c>
    </x:row>
    <x:row r="449">
      <x:c r="A449" s="186" t="str">
        <x:v>Silver</x:v>
      </x:c>
      <x:c r="B449" s="187" t="n">
        <x:v>43935</x:v>
      </x:c>
      <x:c r="C449" s="187" t="n">
        <x:v>43938</x:v>
      </x:c>
      <x:c r="D449" s="186" t="str">
        <x:v>084691-SILVER</x:v>
      </x:c>
      <x:c r="E449" s="186" t="str">
        <x:v>SILVER - COMMODITY EXCHANGE INC.</x:v>
      </x:c>
      <x:c r="F449" s="186" t="n">
        <x:v>143477</x:v>
      </x:c>
      <x:c r="G449" s="186" t="n">
        <x:v>10925</x:v>
      </x:c>
      <x:c r="H449" s="186" t="n">
        <x:v>53793</x:v>
      </x:c>
      <x:c r="I449" s="186" t="n">
        <x:f>G449-H449</x:f>
        <x:v>-42868</x:v>
      </x:c>
      <x:c r="J449" s="186" t="n">
        <x:v>49743</x:v>
      </x:c>
      <x:c r="K449" s="186" t="n">
        <x:v>50331</x:v>
      </x:c>
      <x:c r="L449" s="186" t="n">
        <x:f>J449-K449</x:f>
        <x:v>-588</x:v>
      </x:c>
      <x:c r="M449" s="186" t="n">
        <x:v>29960</x:v>
      </x:c>
      <x:c r="N449" s="186" t="n">
        <x:v>14512</x:v>
      </x:c>
      <x:c r="O449" s="186" t="n">
        <x:f>M449-N449</x:f>
        <x:v>15448</x:v>
      </x:c>
      <x:c r="P449" s="186" t="n">
        <x:v>18043</x:v>
      </x:c>
      <x:c r="Q449" s="186" t="n">
        <x:v>2937</x:v>
      </x:c>
      <x:c r="R449" s="186" t="n">
        <x:f>P449-Q449</x:f>
        <x:v>15106</x:v>
      </x:c>
      <x:c r="S449" s="186" t="n">
        <x:v>24118</x:v>
      </x:c>
      <x:c r="T449" s="186" t="n">
        <x:v>11216</x:v>
      </x:c>
      <x:c r="U449" s="186" t="n">
        <x:f>S449-T449</x:f>
        <x:v>12902</x:v>
      </x:c>
      <x:c r="V449" s="196" t="n">
        <x:f>IFERROR(O449/F449,"")</x:f>
        <x:v>0.10766882496846185</x:v>
      </x:c>
      <x:c r="W449" s="196" t="n">
        <x:f>IFERROR(I449/F449,"")</x:f>
        <x:v>-0.2987795953358378</x:v>
      </x:c>
    </x:row>
    <x:row r="450">
      <x:c r="A450" s="186" t="str">
        <x:v>Gold</x:v>
      </x:c>
      <x:c r="B450" s="187" t="n">
        <x:v>43942</x:v>
      </x:c>
      <x:c r="C450" s="187" t="n">
        <x:v>43945</x:v>
      </x:c>
      <x:c r="D450" s="186" t="str">
        <x:v>088691-GOLD</x:v>
      </x:c>
      <x:c r="E450" s="186" t="str">
        <x:v>GOLD - COMMODITY EXCHANGE INC.</x:v>
      </x:c>
      <x:c r="F450" s="186" t="n">
        <x:v>493158</x:v>
      </x:c>
      <x:c r="G450" s="186" t="n">
        <x:v>18506</x:v>
      </x:c>
      <x:c r="H450" s="186" t="n">
        <x:v>126959</x:v>
      </x:c>
      <x:c r="I450" s="186" t="n">
        <x:f>G450-H450</x:f>
        <x:v>-108453</x:v>
      </x:c>
      <x:c r="J450" s="186" t="n">
        <x:v>76849</x:v>
      </x:c>
      <x:c r="K450" s="186" t="n">
        <x:v>248469</x:v>
      </x:c>
      <x:c r="L450" s="186" t="n">
        <x:f>J450-K450</x:f>
        <x:v>-171620</x:v>
      </x:c>
      <x:c r="M450" s="186" t="n">
        <x:v>155492</x:v>
      </x:c>
      <x:c r="N450" s="186" t="n">
        <x:v>9221</x:v>
      </x:c>
      <x:c r="O450" s="186" t="n">
        <x:f>M450-N450</x:f>
        <x:v>146271</x:v>
      </x:c>
      <x:c r="P450" s="186" t="n">
        <x:v>126771</x:v>
      </x:c>
      <x:c r="Q450" s="186" t="n">
        <x:v>23471</x:v>
      </x:c>
      <x:c r="R450" s="186" t="n">
        <x:f>P450-Q450</x:f>
        <x:v>103300</x:v>
      </x:c>
      <x:c r="S450" s="186" t="n">
        <x:v>53158</x:v>
      </x:c>
      <x:c r="T450" s="186" t="n">
        <x:v>22656</x:v>
      </x:c>
      <x:c r="U450" s="186" t="n">
        <x:f>S450-T450</x:f>
        <x:v>30502</x:v>
      </x:c>
      <x:c r="V450" s="196" t="n">
        <x:f>IFERROR(O450/F450,"")</x:f>
        <x:v>0.29660068375652426</x:v>
      </x:c>
      <x:c r="W450" s="196" t="n">
        <x:f>IFERROR(I450/F450,"")</x:f>
        <x:v>-0.21991532125606802</x:v>
      </x:c>
    </x:row>
    <x:row r="451">
      <x:c r="A451" s="186" t="str">
        <x:v>Silver</x:v>
      </x:c>
      <x:c r="B451" s="187" t="n">
        <x:v>43942</x:v>
      </x:c>
      <x:c r="C451" s="187" t="n">
        <x:v>43945</x:v>
      </x:c>
      <x:c r="D451" s="186" t="str">
        <x:v>084691-SILVER</x:v>
      </x:c>
      <x:c r="E451" s="186" t="str">
        <x:v>SILVER - COMMODITY EXCHANGE INC.</x:v>
      </x:c>
      <x:c r="F451" s="186" t="n">
        <x:v>139607</x:v>
      </x:c>
      <x:c r="G451" s="186" t="n">
        <x:v>11536</x:v>
      </x:c>
      <x:c r="H451" s="186" t="n">
        <x:v>50104</x:v>
      </x:c>
      <x:c r="I451" s="186" t="n">
        <x:f>G451-H451</x:f>
        <x:v>-38568</x:v>
      </x:c>
      <x:c r="J451" s="186" t="n">
        <x:v>48538</x:v>
      </x:c>
      <x:c r="K451" s="186" t="n">
        <x:v>49305</x:v>
      </x:c>
      <x:c r="L451" s="186" t="n">
        <x:f>J451-K451</x:f>
        <x:v>-767</x:v>
      </x:c>
      <x:c r="M451" s="186" t="n">
        <x:v>29186</x:v>
      </x:c>
      <x:c r="N451" s="186" t="n">
        <x:v>15395</x:v>
      </x:c>
      <x:c r="O451" s="186" t="n">
        <x:f>M451-N451</x:f>
        <x:v>13791</x:v>
      </x:c>
      <x:c r="P451" s="186" t="n">
        <x:v>17502</x:v>
      </x:c>
      <x:c r="Q451" s="186" t="n">
        <x:v>2785</x:v>
      </x:c>
      <x:c r="R451" s="186" t="n">
        <x:f>P451-Q451</x:f>
        <x:v>14717</x:v>
      </x:c>
      <x:c r="S451" s="186" t="n">
        <x:v>21903</x:v>
      </x:c>
      <x:c r="T451" s="186" t="n">
        <x:v>11076</x:v>
      </x:c>
      <x:c r="U451" s="186" t="n">
        <x:f>S451-T451</x:f>
        <x:v>10827</x:v>
      </x:c>
      <x:c r="V451" s="196" t="n">
        <x:f>IFERROR(O451/F451,"")</x:f>
        <x:v>0.09878444490605771</x:v>
      </x:c>
      <x:c r="W451" s="196" t="n">
        <x:f>IFERROR(I451/F451,"")</x:f>
        <x:v>-0.27626121899331696</x:v>
      </x:c>
    </x:row>
    <x:row r="452">
      <x:c r="A452" s="186" t="str">
        <x:v>Gold</x:v>
      </x:c>
      <x:c r="B452" s="187" t="n">
        <x:v>43949</x:v>
      </x:c>
      <x:c r="C452" s="187" t="n">
        <x:v>43952</x:v>
      </x:c>
      <x:c r="D452" s="186" t="str">
        <x:v>088691-GOLD</x:v>
      </x:c>
      <x:c r="E452" s="186" t="str">
        <x:v>GOLD - COMMODITY EXCHANGE INC.</x:v>
      </x:c>
      <x:c r="F452" s="186" t="n">
        <x:v>500816</x:v>
      </x:c>
      <x:c r="G452" s="186" t="n">
        <x:v>17954</x:v>
      </x:c>
      <x:c r="H452" s="186" t="n">
        <x:v>130880</x:v>
      </x:c>
      <x:c r="I452" s="186" t="n">
        <x:f>G452-H452</x:f>
        <x:v>-112926</x:v>
      </x:c>
      <x:c r="J452" s="186" t="n">
        <x:v>74946</x:v>
      </x:c>
      <x:c r="K452" s="186" t="n">
        <x:v>255649</x:v>
      </x:c>
      <x:c r="L452" s="186" t="n">
        <x:f>J452-K452</x:f>
        <x:v>-180703</x:v>
      </x:c>
      <x:c r="M452" s="186" t="n">
        <x:v>154025</x:v>
      </x:c>
      <x:c r="N452" s="186" t="n">
        <x:v>7619</x:v>
      </x:c>
      <x:c r="O452" s="186" t="n">
        <x:f>M452-N452</x:f>
        <x:v>146406</x:v>
      </x:c>
      <x:c r="P452" s="186" t="n">
        <x:v>133357</x:v>
      </x:c>
      <x:c r="Q452" s="186" t="n">
        <x:v>17034</x:v>
      </x:c>
      <x:c r="R452" s="186" t="n">
        <x:f>P452-Q452</x:f>
        <x:v>116323</x:v>
      </x:c>
      <x:c r="S452" s="186" t="n">
        <x:v>54084</x:v>
      </x:c>
      <x:c r="T452" s="186" t="n">
        <x:v>23184</x:v>
      </x:c>
      <x:c r="U452" s="186" t="n">
        <x:f>S452-T452</x:f>
        <x:v>30900</x:v>
      </x:c>
      <x:c r="V452" s="196" t="n">
        <x:f>IFERROR(O452/F452,"")</x:f>
        <x:v>0.2923349094278138</x:v>
      </x:c>
      <x:c r="W452" s="196" t="n">
        <x:f>IFERROR(I452/F452,"")</x:f>
        <x:v>-0.2254840100955241</x:v>
      </x:c>
    </x:row>
    <x:row r="453">
      <x:c r="A453" s="186" t="str">
        <x:v>Silver</x:v>
      </x:c>
      <x:c r="B453" s="187" t="n">
        <x:v>43949</x:v>
      </x:c>
      <x:c r="C453" s="187" t="n">
        <x:v>43952</x:v>
      </x:c>
      <x:c r="D453" s="186" t="str">
        <x:v>084691-SILVER</x:v>
      </x:c>
      <x:c r="E453" s="186" t="str">
        <x:v>SILVER - COMMODITY EXCHANGE INC.</x:v>
      </x:c>
      <x:c r="F453" s="186" t="n">
        <x:v>138349</x:v>
      </x:c>
      <x:c r="G453" s="186" t="n">
        <x:v>10257</x:v>
      </x:c>
      <x:c r="H453" s="186" t="n">
        <x:v>47253</x:v>
      </x:c>
      <x:c r="I453" s="186" t="n">
        <x:f>G453-H453</x:f>
        <x:v>-36996</x:v>
      </x:c>
      <x:c r="J453" s="186" t="n">
        <x:v>47736</x:v>
      </x:c>
      <x:c r="K453" s="186" t="n">
        <x:v>47597</x:v>
      </x:c>
      <x:c r="L453" s="186" t="n">
        <x:f>J453-K453</x:f>
        <x:v>139</x:v>
      </x:c>
      <x:c r="M453" s="186" t="n">
        <x:v>30971</x:v>
      </x:c>
      <x:c r="N453" s="186" t="n">
        <x:v>16482</x:v>
      </x:c>
      <x:c r="O453" s="186" t="n">
        <x:f>M453-N453</x:f>
        <x:v>14489</x:v>
      </x:c>
      <x:c r="P453" s="186" t="n">
        <x:v>14049</x:v>
      </x:c>
      <x:c r="Q453" s="186" t="n">
        <x:v>3033</x:v>
      </x:c>
      <x:c r="R453" s="186" t="n">
        <x:f>P453-Q453</x:f>
        <x:v>11016</x:v>
      </x:c>
      <x:c r="S453" s="186" t="n">
        <x:v>21333</x:v>
      </x:c>
      <x:c r="T453" s="186" t="n">
        <x:v>9981</x:v>
      </x:c>
      <x:c r="U453" s="186" t="n">
        <x:f>S453-T453</x:f>
        <x:v>11352</x:v>
      </x:c>
      <x:c r="V453" s="196" t="n">
        <x:f>IFERROR(O453/F453,"")</x:f>
        <x:v>0.10472789828621819</x:v>
      </x:c>
      <x:c r="W453" s="196" t="n">
        <x:f>IFERROR(I453/F453,"")</x:f>
        <x:v>-0.2674106787905948</x:v>
      </x:c>
    </x:row>
    <x:row r="454">
      <x:c r="A454" s="186" t="str">
        <x:v>Gold</x:v>
      </x:c>
      <x:c r="B454" s="187" t="n">
        <x:v>43956</x:v>
      </x:c>
      <x:c r="C454" s="187" t="n">
        <x:v>43959</x:v>
      </x:c>
      <x:c r="D454" s="186" t="str">
        <x:v>088691-GOLD</x:v>
      </x:c>
      <x:c r="E454" s="186" t="str">
        <x:v>GOLD - COMMODITY EXCHANGE INC.</x:v>
      </x:c>
      <x:c r="F454" s="186" t="n">
        <x:v>490343</x:v>
      </x:c>
      <x:c r="G454" s="186" t="n">
        <x:v>17834</x:v>
      </x:c>
      <x:c r="H454" s="186" t="n">
        <x:v>126428</x:v>
      </x:c>
      <x:c r="I454" s="186" t="n">
        <x:f>G454-H454</x:f>
        <x:v>-108594</x:v>
      </x:c>
      <x:c r="J454" s="186" t="n">
        <x:v>76763</x:v>
      </x:c>
      <x:c r="K454" s="186" t="n">
        <x:v>249805</x:v>
      </x:c>
      <x:c r="L454" s="186" t="n">
        <x:f>J454-K454</x:f>
        <x:v>-173042</x:v>
      </x:c>
      <x:c r="M454" s="186" t="n">
        <x:v>142326</x:v>
      </x:c>
      <x:c r="N454" s="186" t="n">
        <x:v>9085</x:v>
      </x:c>
      <x:c r="O454" s="186" t="n">
        <x:f>M454-N454</x:f>
        <x:v>133241</x:v>
      </x:c>
      <x:c r="P454" s="186" t="n">
        <x:v>133245</x:v>
      </x:c>
      <x:c r="Q454" s="186" t="n">
        <x:v>16482</x:v>
      </x:c>
      <x:c r="R454" s="186" t="n">
        <x:f>P454-Q454</x:f>
        <x:v>116763</x:v>
      </x:c>
      <x:c r="S454" s="186" t="n">
        <x:v>54717</x:v>
      </x:c>
      <x:c r="T454" s="186" t="n">
        <x:v>23085</x:v>
      </x:c>
      <x:c r="U454" s="186" t="n">
        <x:f>S454-T454</x:f>
        <x:v>31632</x:v>
      </x:c>
      <x:c r="V454" s="196" t="n">
        <x:f>IFERROR(O454/F454,"")</x:f>
        <x:v>0.27173019702534756</x:v>
      </x:c>
      <x:c r="W454" s="196" t="n">
        <x:f>IFERROR(I454/F454,"")</x:f>
        <x:v>-0.22146538239558838</x:v>
      </x:c>
    </x:row>
    <x:row r="455">
      <x:c r="A455" s="186" t="str">
        <x:v>Silver</x:v>
      </x:c>
      <x:c r="B455" s="187" t="n">
        <x:v>43956</x:v>
      </x:c>
      <x:c r="C455" s="187" t="n">
        <x:v>43959</x:v>
      </x:c>
      <x:c r="D455" s="186" t="str">
        <x:v>084691-SILVER</x:v>
      </x:c>
      <x:c r="E455" s="186" t="str">
        <x:v>SILVER - COMMODITY EXCHANGE INC.</x:v>
      </x:c>
      <x:c r="F455" s="186" t="n">
        <x:v>132573</x:v>
      </x:c>
      <x:c r="G455" s="186" t="n">
        <x:v>11189</x:v>
      </x:c>
      <x:c r="H455" s="186" t="n">
        <x:v>46683</x:v>
      </x:c>
      <x:c r="I455" s="186" t="n">
        <x:f>G455-H455</x:f>
        <x:v>-35494</x:v>
      </x:c>
      <x:c r="J455" s="186" t="n">
        <x:v>46850</x:v>
      </x:c>
      <x:c r="K455" s="186" t="n">
        <x:v>45304</x:v>
      </x:c>
      <x:c r="L455" s="186" t="n">
        <x:f>J455-K455</x:f>
        <x:v>1546</x:v>
      </x:c>
      <x:c r="M455" s="186" t="n">
        <x:v>28398</x:v>
      </x:c>
      <x:c r="N455" s="186" t="n">
        <x:v>17931</x:v>
      </x:c>
      <x:c r="O455" s="186" t="n">
        <x:f>M455-N455</x:f>
        <x:v>10467</x:v>
      </x:c>
      <x:c r="P455" s="186" t="n">
        <x:v>15654</x:v>
      </x:c>
      <x:c r="Q455" s="186" t="n">
        <x:v>3206</x:v>
      </x:c>
      <x:c r="R455" s="186" t="n">
        <x:f>P455-Q455</x:f>
        <x:v>12448</x:v>
      </x:c>
      <x:c r="S455" s="186" t="n">
        <x:v>20670</x:v>
      </x:c>
      <x:c r="T455" s="186" t="n">
        <x:v>9637</x:v>
      </x:c>
      <x:c r="U455" s="186" t="n">
        <x:f>S455-T455</x:f>
        <x:v>11033</x:v>
      </x:c>
      <x:c r="V455" s="196" t="n">
        <x:f>IFERROR(O455/F455,"")</x:f>
        <x:v>0.07895272793102667</x:v>
      </x:c>
      <x:c r="W455" s="196" t="n">
        <x:f>IFERROR(I455/F455,"")</x:f>
        <x:v>-0.2677317402487686</x:v>
      </x:c>
    </x:row>
    <x:row r="456">
      <x:c r="A456" s="186" t="str">
        <x:v>Gold</x:v>
      </x:c>
      <x:c r="B456" s="187" t="n">
        <x:v>43963</x:v>
      </x:c>
      <x:c r="C456" s="187" t="n">
        <x:v>43966</x:v>
      </x:c>
      <x:c r="D456" s="186" t="str">
        <x:v>088691-GOLD</x:v>
      </x:c>
      <x:c r="E456" s="186" t="str">
        <x:v>GOLD - COMMODITY EXCHANGE INC.</x:v>
      </x:c>
      <x:c r="F456" s="186" t="n">
        <x:v>496739</x:v>
      </x:c>
      <x:c r="G456" s="186" t="n">
        <x:v>22089</x:v>
      </x:c>
      <x:c r="H456" s="186" t="n">
        <x:v>127265</x:v>
      </x:c>
      <x:c r="I456" s="186" t="n">
        <x:f>G456-H456</x:f>
        <x:v>-105176</x:v>
      </x:c>
      <x:c r="J456" s="186" t="n">
        <x:v>78459</x:v>
      </x:c>
      <x:c r="K456" s="186" t="n">
        <x:v>251816</x:v>
      </x:c>
      <x:c r="L456" s="186" t="n">
        <x:f>J456-K456</x:f>
        <x:v>-173357</x:v>
      </x:c>
      <x:c r="M456" s="186" t="n">
        <x:v>144015</x:v>
      </x:c>
      <x:c r="N456" s="186" t="n">
        <x:v>21798</x:v>
      </x:c>
      <x:c r="O456" s="186" t="n">
        <x:f>M456-N456</x:f>
        <x:v>122217</x:v>
      </x:c>
      <x:c r="P456" s="186" t="n">
        <x:v>133756</x:v>
      </x:c>
      <x:c r="Q456" s="186" t="n">
        <x:v>13145</x:v>
      </x:c>
      <x:c r="R456" s="186" t="n">
        <x:f>P456-Q456</x:f>
        <x:v>120611</x:v>
      </x:c>
      <x:c r="S456" s="186" t="n">
        <x:v>57787</x:v>
      </x:c>
      <x:c r="T456" s="186" t="n">
        <x:v>22082</x:v>
      </x:c>
      <x:c r="U456" s="186" t="n">
        <x:f>S456-T456</x:f>
        <x:v>35705</x:v>
      </x:c>
      <x:c r="V456" s="196" t="n">
        <x:f>IFERROR(O456/F456,"")</x:f>
        <x:v>0.24603866416770176</x:v>
      </x:c>
      <x:c r="W456" s="196" t="n">
        <x:f>IFERROR(I456/F456,"")</x:f>
        <x:v>-0.21173292211805395</x:v>
      </x:c>
    </x:row>
    <x:row r="457">
      <x:c r="A457" s="186" t="str">
        <x:v>Silver</x:v>
      </x:c>
      <x:c r="B457" s="187" t="n">
        <x:v>43963</x:v>
      </x:c>
      <x:c r="C457" s="187" t="n">
        <x:v>43966</x:v>
      </x:c>
      <x:c r="D457" s="186" t="str">
        <x:v>084691-SILVER</x:v>
      </x:c>
      <x:c r="E457" s="186" t="str">
        <x:v>SILVER - COMMODITY EXCHANGE INC.</x:v>
      </x:c>
      <x:c r="F457" s="186" t="n">
        <x:v>135987</x:v>
      </x:c>
      <x:c r="G457" s="186" t="n">
        <x:v>10032</x:v>
      </x:c>
      <x:c r="H457" s="186" t="n">
        <x:v>48522</x:v>
      </x:c>
      <x:c r="I457" s="186" t="n">
        <x:f>G457-H457</x:f>
        <x:v>-38490</x:v>
      </x:c>
      <x:c r="J457" s="186" t="n">
        <x:v>46930</x:v>
      </x:c>
      <x:c r="K457" s="186" t="n">
        <x:v>49121</x:v>
      </x:c>
      <x:c r="L457" s="186" t="n">
        <x:f>J457-K457</x:f>
        <x:v>-2191</x:v>
      </x:c>
      <x:c r="M457" s="186" t="n">
        <x:v>29123</x:v>
      </x:c>
      <x:c r="N457" s="186" t="n">
        <x:v>15180</x:v>
      </x:c>
      <x:c r="O457" s="186" t="n">
        <x:f>M457-N457</x:f>
        <x:v>13943</x:v>
      </x:c>
      <x:c r="P457" s="186" t="n">
        <x:v>15634</x:v>
      </x:c>
      <x:c r="Q457" s="186" t="n">
        <x:v>3804</x:v>
      </x:c>
      <x:c r="R457" s="186" t="n">
        <x:f>P457-Q457</x:f>
        <x:v>11830</x:v>
      </x:c>
      <x:c r="S457" s="186" t="n">
        <x:v>23852</x:v>
      </x:c>
      <x:c r="T457" s="186" t="n">
        <x:v>8944</x:v>
      </x:c>
      <x:c r="U457" s="186" t="n">
        <x:f>S457-T457</x:f>
        <x:v>14908</x:v>
      </x:c>
      <x:c r="V457" s="196" t="n">
        <x:f>IFERROR(O457/F457,"")</x:f>
        <x:v>0.10253185966305603</x:v>
      </x:c>
      <x:c r="W457" s="196" t="n">
        <x:f>IFERROR(I457/F457,"")</x:f>
        <x:v>-0.28304176134483444</x:v>
      </x:c>
    </x:row>
    <x:row r="458">
      <x:c r="A458" s="186" t="str">
        <x:v>Gold</x:v>
      </x:c>
      <x:c r="B458" s="187" t="n">
        <x:v>43970</x:v>
      </x:c>
      <x:c r="C458" s="187" t="n">
        <x:v>43973</x:v>
      </x:c>
      <x:c r="D458" s="186" t="str">
        <x:v>088691-GOLD</x:v>
      </x:c>
      <x:c r="E458" s="186" t="str">
        <x:v>GOLD - COMMODITY EXCHANGE INC.</x:v>
      </x:c>
      <x:c r="F458" s="186" t="n">
        <x:v>528205</x:v>
      </x:c>
      <x:c r="G458" s="186" t="n">
        <x:v>21879</x:v>
      </x:c>
      <x:c r="H458" s="186" t="n">
        <x:v>129189</x:v>
      </x:c>
      <x:c r="I458" s="186" t="n">
        <x:f>G458-H458</x:f>
        <x:v>-107310</x:v>
      </x:c>
      <x:c r="J458" s="186" t="n">
        <x:v>79365</x:v>
      </x:c>
      <x:c r="K458" s="186" t="n">
        <x:v>262229</x:v>
      </x:c>
      <x:c r="L458" s="186" t="n">
        <x:f>J458-K458</x:f>
        <x:v>-182864</x:v>
      </x:c>
      <x:c r="M458" s="186" t="n">
        <x:v>153961</x:v>
      </x:c>
      <x:c r="N458" s="186" t="n">
        <x:v>26897</x:v>
      </x:c>
      <x:c r="O458" s="186" t="n">
        <x:f>M458-N458</x:f>
        <x:v>127064</x:v>
      </x:c>
      <x:c r="P458" s="186" t="n">
        <x:v>141433</x:v>
      </x:c>
      <x:c r="Q458" s="186" t="n">
        <x:v>16709</x:v>
      </x:c>
      <x:c r="R458" s="186" t="n">
        <x:f>P458-Q458</x:f>
        <x:v>124724</x:v>
      </x:c>
      <x:c r="S458" s="186" t="n">
        <x:v>59851</x:v>
      </x:c>
      <x:c r="T458" s="186" t="n">
        <x:v>21465</x:v>
      </x:c>
      <x:c r="U458" s="186" t="n">
        <x:f>S458-T458</x:f>
        <x:v>38386</x:v>
      </x:c>
      <x:c r="V458" s="196" t="n">
        <x:f>IFERROR(O458/F458,"")</x:f>
        <x:v>0.24055811664031956</x:v>
      </x:c>
      <x:c r="W458" s="196" t="n">
        <x:f>IFERROR(I458/F458,"")</x:f>
        <x:v>-0.20315975804848496</x:v>
      </x:c>
    </x:row>
    <x:row r="459">
      <x:c r="A459" s="186" t="str">
        <x:v>Silver</x:v>
      </x:c>
      <x:c r="B459" s="187" t="n">
        <x:v>43970</x:v>
      </x:c>
      <x:c r="C459" s="187" t="n">
        <x:v>43973</x:v>
      </x:c>
      <x:c r="D459" s="186" t="str">
        <x:v>084691-SILVER</x:v>
      </x:c>
      <x:c r="E459" s="186" t="str">
        <x:v>SILVER - COMMODITY EXCHANGE INC.</x:v>
      </x:c>
      <x:c r="F459" s="186" t="n">
        <x:v>151890</x:v>
      </x:c>
      <x:c r="G459" s="186" t="n">
        <x:v>10796</x:v>
      </x:c>
      <x:c r="H459" s="186" t="n">
        <x:v>53346</x:v>
      </x:c>
      <x:c r="I459" s="186" t="n">
        <x:f>G459-H459</x:f>
        <x:v>-42550</x:v>
      </x:c>
      <x:c r="J459" s="186" t="n">
        <x:v>50549</x:v>
      </x:c>
      <x:c r="K459" s="186" t="n">
        <x:v>52888</x:v>
      </x:c>
      <x:c r="L459" s="186" t="n">
        <x:f>J459-K459</x:f>
        <x:v>-2339</x:v>
      </x:c>
      <x:c r="M459" s="186" t="n">
        <x:v>37565</x:v>
      </x:c>
      <x:c r="N459" s="186" t="n">
        <x:v>16099</x:v>
      </x:c>
      <x:c r="O459" s="186" t="n">
        <x:f>M459-N459</x:f>
        <x:v>21466</x:v>
      </x:c>
      <x:c r="P459" s="186" t="n">
        <x:v>16826</x:v>
      </x:c>
      <x:c r="Q459" s="186" t="n">
        <x:v>7364</x:v>
      </x:c>
      <x:c r="R459" s="186" t="n">
        <x:f>P459-Q459</x:f>
        <x:v>9462</x:v>
      </x:c>
      <x:c r="S459" s="186" t="n">
        <x:v>25755</x:v>
      </x:c>
      <x:c r="T459" s="186" t="n">
        <x:v>11794</x:v>
      </x:c>
      <x:c r="U459" s="186" t="n">
        <x:f>S459-T459</x:f>
        <x:v>13961</x:v>
      </x:c>
      <x:c r="V459" s="196" t="n">
        <x:f>IFERROR(O459/F459,"")</x:f>
        <x:v>0.14132595957600896</x:v>
      </x:c>
      <x:c r="W459" s="196" t="n">
        <x:f>IFERROR(I459/F459,"")</x:f>
        <x:v>-0.28013694120745275</x:v>
      </x:c>
    </x:row>
    <x:row r="460">
      <x:c r="A460" s="186" t="str">
        <x:v>Gold</x:v>
      </x:c>
      <x:c r="B460" s="187" t="n">
        <x:v>43977</x:v>
      </x:c>
      <x:c r="C460" s="187" t="n">
        <x:v>43980</x:v>
      </x:c>
      <x:c r="D460" s="186" t="str">
        <x:v>088691-GOLD</x:v>
      </x:c>
      <x:c r="E460" s="186" t="str">
        <x:v>GOLD - COMMODITY EXCHANGE INC.</x:v>
      </x:c>
      <x:c r="F460" s="186" t="n">
        <x:v>519374</x:v>
      </x:c>
      <x:c r="G460" s="186" t="n">
        <x:v>16983</x:v>
      </x:c>
      <x:c r="H460" s="186" t="n">
        <x:v>105449</x:v>
      </x:c>
      <x:c r="I460" s="186" t="n">
        <x:f>G460-H460</x:f>
        <x:v>-88466</x:v>
      </x:c>
      <x:c r="J460" s="186" t="n">
        <x:v>77107</x:v>
      </x:c>
      <x:c r="K460" s="186" t="n">
        <x:v>262963</x:v>
      </x:c>
      <x:c r="L460" s="186" t="n">
        <x:f>J460-K460</x:f>
        <x:v>-185856</x:v>
      </x:c>
      <x:c r="M460" s="186" t="n">
        <x:v>145566</x:v>
      </x:c>
      <x:c r="N460" s="186" t="n">
        <x:v>32485</x:v>
      </x:c>
      <x:c r="O460" s="186" t="n">
        <x:f>M460-N460</x:f>
        <x:v>113081</x:v>
      </x:c>
      <x:c r="P460" s="186" t="n">
        <x:v>142582</x:v>
      </x:c>
      <x:c r="Q460" s="186" t="n">
        <x:v>17749</x:v>
      </x:c>
      <x:c r="R460" s="186" t="n">
        <x:f>P460-Q460</x:f>
        <x:v>124833</x:v>
      </x:c>
      <x:c r="S460" s="186" t="n">
        <x:v>59298</x:v>
      </x:c>
      <x:c r="T460" s="186" t="n">
        <x:v>22890</x:v>
      </x:c>
      <x:c r="U460" s="186" t="n">
        <x:f>S460-T460</x:f>
        <x:v>36408</x:v>
      </x:c>
      <x:c r="V460" s="196" t="n">
        <x:f>IFERROR(O460/F460,"")</x:f>
        <x:v>0.21772556962805223</x:v>
      </x:c>
      <x:c r="W460" s="196" t="n">
        <x:f>IFERROR(I460/F460,"")</x:f>
        <x:v>-0.17033197657179605</x:v>
      </x:c>
    </x:row>
    <x:row r="461">
      <x:c r="A461" s="186" t="str">
        <x:v>Silver</x:v>
      </x:c>
      <x:c r="B461" s="187" t="n">
        <x:v>43977</x:v>
      </x:c>
      <x:c r="C461" s="187" t="n">
        <x:v>43980</x:v>
      </x:c>
      <x:c r="D461" s="186" t="str">
        <x:v>084691-SILVER</x:v>
      </x:c>
      <x:c r="E461" s="186" t="str">
        <x:v>SILVER - COMMODITY EXCHANGE INC.</x:v>
      </x:c>
      <x:c r="F461" s="186" t="n">
        <x:v>158185</x:v>
      </x:c>
      <x:c r="G461" s="186" t="n">
        <x:v>10466</x:v>
      </x:c>
      <x:c r="H461" s="186" t="n">
        <x:v>54406</x:v>
      </x:c>
      <x:c r="I461" s="186" t="n">
        <x:f>G461-H461</x:f>
        <x:v>-43940</x:v>
      </x:c>
      <x:c r="J461" s="186" t="n">
        <x:v>49417</x:v>
      </x:c>
      <x:c r="K461" s="186" t="n">
        <x:v>56069</x:v>
      </x:c>
      <x:c r="L461" s="186" t="n">
        <x:f>J461-K461</x:f>
        <x:v>-6652</x:v>
      </x:c>
      <x:c r="M461" s="186" t="n">
        <x:v>40777</x:v>
      </x:c>
      <x:c r="N461" s="186" t="n">
        <x:v>14670</x:v>
      </x:c>
      <x:c r="O461" s="186" t="n">
        <x:f>M461-N461</x:f>
        <x:v>26107</x:v>
      </x:c>
      <x:c r="P461" s="186" t="n">
        <x:v>20748</x:v>
      </x:c>
      <x:c r="Q461" s="186" t="n">
        <x:v>9666</x:v>
      </x:c>
      <x:c r="R461" s="186" t="n">
        <x:f>P461-Q461</x:f>
        <x:v>11082</x:v>
      </x:c>
      <x:c r="S461" s="186" t="n">
        <x:v>24929</x:v>
      </x:c>
      <x:c r="T461" s="186" t="n">
        <x:v>11526</x:v>
      </x:c>
      <x:c r="U461" s="186" t="n">
        <x:f>S461-T461</x:f>
        <x:v>13403</x:v>
      </x:c>
      <x:c r="V461" s="196" t="n">
        <x:f>IFERROR(O461/F461,"")</x:f>
        <x:v>0.16504093308467932</x:v>
      </x:c>
      <x:c r="W461" s="196" t="n">
        <x:f>IFERROR(I461/F461,"")</x:f>
        <x:v>-0.27777602174668903</x:v>
      </x:c>
    </x:row>
    <x:row r="462">
      <x:c r="A462" s="186" t="str">
        <x:v>Gold</x:v>
      </x:c>
      <x:c r="B462" s="187" t="n">
        <x:v>43984</x:v>
      </x:c>
      <x:c r="C462" s="187" t="n">
        <x:v>43987</x:v>
      </x:c>
      <x:c r="D462" s="186" t="str">
        <x:v>088691-GOLD</x:v>
      </x:c>
      <x:c r="E462" s="186" t="str">
        <x:v>GOLD - COMMODITY EXCHANGE INC.</x:v>
      </x:c>
      <x:c r="F462" s="186" t="n">
        <x:v>475745</x:v>
      </x:c>
      <x:c r="G462" s="186" t="n">
        <x:v>17550</x:v>
      </x:c>
      <x:c r="H462" s="186" t="n">
        <x:v>99413</x:v>
      </x:c>
      <x:c r="I462" s="186" t="n">
        <x:f>G462-H462</x:f>
        <x:v>-81863</x:v>
      </x:c>
      <x:c r="J462" s="186" t="n">
        <x:v>75127</x:v>
      </x:c>
      <x:c r="K462" s="186" t="n">
        <x:v>249887</x:v>
      </x:c>
      <x:c r="L462" s="186" t="n">
        <x:f>J462-K462</x:f>
        <x:v>-174760</x:v>
      </x:c>
      <x:c r="M462" s="186" t="n">
        <x:v>133655</x:v>
      </x:c>
      <x:c r="N462" s="186" t="n">
        <x:v>33300</x:v>
      </x:c>
      <x:c r="O462" s="186" t="n">
        <x:f>M462-N462</x:f>
        <x:v>100355</x:v>
      </x:c>
      <x:c r="P462" s="186" t="n">
        <x:v>138541</x:v>
      </x:c>
      <x:c r="Q462" s="186" t="n">
        <x:v>19862</x:v>
      </x:c>
      <x:c r="R462" s="186" t="n">
        <x:f>P462-Q462</x:f>
        <x:v>118679</x:v>
      </x:c>
      <x:c r="S462" s="186" t="n">
        <x:v>57888</x:v>
      </x:c>
      <x:c r="T462" s="186" t="n">
        <x:v>20299</x:v>
      </x:c>
      <x:c r="U462" s="186" t="n">
        <x:f>S462-T462</x:f>
        <x:v>37589</x:v>
      </x:c>
      <x:c r="V462" s="196" t="n">
        <x:f>IFERROR(O462/F462,"")</x:f>
        <x:v>0.210942837024036</x:v>
      </x:c>
      <x:c r="W462" s="196" t="n">
        <x:f>IFERROR(I462/F462,"")</x:f>
        <x:v>-0.17207327454833998</x:v>
      </x:c>
    </x:row>
    <x:row r="463">
      <x:c r="A463" s="186" t="str">
        <x:v>Silver</x:v>
      </x:c>
      <x:c r="B463" s="187" t="n">
        <x:v>43984</x:v>
      </x:c>
      <x:c r="C463" s="187" t="n">
        <x:v>43987</x:v>
      </x:c>
      <x:c r="D463" s="186" t="str">
        <x:v>084691-SILVER</x:v>
      </x:c>
      <x:c r="E463" s="186" t="str">
        <x:v>SILVER - COMMODITY EXCHANGE INC.</x:v>
      </x:c>
      <x:c r="F463" s="186" t="n">
        <x:v>169670</x:v>
      </x:c>
      <x:c r="G463" s="186" t="n">
        <x:v>10983</x:v>
      </x:c>
      <x:c r="H463" s="186" t="n">
        <x:v>57995</x:v>
      </x:c>
      <x:c r="I463" s="186" t="n">
        <x:f>G463-H463</x:f>
        <x:v>-47012</x:v>
      </x:c>
      <x:c r="J463" s="186" t="n">
        <x:v>50261</x:v>
      </x:c>
      <x:c r="K463" s="186" t="n">
        <x:v>57196</x:v>
      </x:c>
      <x:c r="L463" s="186" t="n">
        <x:f>J463-K463</x:f>
        <x:v>-6935</x:v>
      </x:c>
      <x:c r="M463" s="186" t="n">
        <x:v>43751</x:v>
      </x:c>
      <x:c r="N463" s="186" t="n">
        <x:v>17033</x:v>
      </x:c>
      <x:c r="O463" s="186" t="n">
        <x:f>M463-N463</x:f>
        <x:v>26718</x:v>
      </x:c>
      <x:c r="P463" s="186" t="n">
        <x:v>21246</x:v>
      </x:c>
      <x:c r="Q463" s="186" t="n">
        <x:v>10740</x:v>
      </x:c>
      <x:c r="R463" s="186" t="n">
        <x:f>P463-Q463</x:f>
        <x:v>10506</x:v>
      </x:c>
      <x:c r="S463" s="186" t="n">
        <x:v>27516</x:v>
      </x:c>
      <x:c r="T463" s="186" t="n">
        <x:v>10793</x:v>
      </x:c>
      <x:c r="U463" s="186" t="n">
        <x:f>S463-T463</x:f>
        <x:v>16723</x:v>
      </x:c>
      <x:c r="V463" s="196" t="n">
        <x:f>IFERROR(O463/F463,"")</x:f>
        <x:v>0.15747038368597865</x:v>
      </x:c>
      <x:c r="W463" s="196" t="n">
        <x:f>IFERROR(I463/F463,"")</x:f>
        <x:v>-0.27707903577532855</x:v>
      </x:c>
    </x:row>
    <x:row r="464">
      <x:c r="A464" s="186" t="str">
        <x:v>Gold</x:v>
      </x:c>
      <x:c r="B464" s="187" t="n">
        <x:v>43991</x:v>
      </x:c>
      <x:c r="C464" s="187" t="n">
        <x:v>43994</x:v>
      </x:c>
      <x:c r="D464" s="186" t="str">
        <x:v>088691-GOLD</x:v>
      </x:c>
      <x:c r="E464" s="186" t="str">
        <x:v>GOLD - COMMODITY EXCHANGE INC.</x:v>
      </x:c>
      <x:c r="F464" s="186" t="n">
        <x:v>475661</x:v>
      </x:c>
      <x:c r="G464" s="186" t="n">
        <x:v>18289</x:v>
      </x:c>
      <x:c r="H464" s="186" t="n">
        <x:v>101180</x:v>
      </x:c>
      <x:c r="I464" s="186" t="n">
        <x:f>G464-H464</x:f>
        <x:v>-82891</x:v>
      </x:c>
      <x:c r="J464" s="186" t="n">
        <x:v>76023</x:v>
      </x:c>
      <x:c r="K464" s="186" t="n">
        <x:v>236589</x:v>
      </x:c>
      <x:c r="L464" s="186" t="n">
        <x:f>J464-K464</x:f>
        <x:v>-160566</x:v>
      </x:c>
      <x:c r="M464" s="186" t="n">
        <x:v>126407</x:v>
      </x:c>
      <x:c r="N464" s="186" t="n">
        <x:v>35230</x:v>
      </x:c>
      <x:c r="O464" s="186" t="n">
        <x:f>M464-N464</x:f>
        <x:v>91177</x:v>
      </x:c>
      <x:c r="P464" s="186" t="n">
        <x:v>137565</x:v>
      </x:c>
      <x:c r="Q464" s="186" t="n">
        <x:v>20129</x:v>
      </x:c>
      <x:c r="R464" s="186" t="n">
        <x:f>P464-Q464</x:f>
        <x:v>117436</x:v>
      </x:c>
      <x:c r="S464" s="186" t="n">
        <x:v>54930</x:v>
      </x:c>
      <x:c r="T464" s="186" t="n">
        <x:v>20086</x:v>
      </x:c>
      <x:c r="U464" s="186" t="n">
        <x:f>S464-T464</x:f>
        <x:v>34844</x:v>
      </x:c>
      <x:c r="V464" s="196" t="n">
        <x:f>IFERROR(O464/F464,"")</x:f>
        <x:v>0.19168483436733305</x:v>
      </x:c>
      <x:c r="W464" s="196" t="n">
        <x:f>IFERROR(I464/F464,"")</x:f>
        <x:v>-0.17426486510350858</x:v>
      </x:c>
    </x:row>
    <x:row r="465">
      <x:c r="A465" s="186" t="str">
        <x:v>Silver</x:v>
      </x:c>
      <x:c r="B465" s="187" t="n">
        <x:v>43991</x:v>
      </x:c>
      <x:c r="C465" s="187" t="n">
        <x:v>43994</x:v>
      </x:c>
      <x:c r="D465" s="186" t="str">
        <x:v>084691-SILVER</x:v>
      </x:c>
      <x:c r="E465" s="186" t="str">
        <x:v>SILVER - COMMODITY EXCHANGE INC.</x:v>
      </x:c>
      <x:c r="F465" s="186" t="n">
        <x:v>175240</x:v>
      </x:c>
      <x:c r="G465" s="186" t="n">
        <x:v>11886</x:v>
      </x:c>
      <x:c r="H465" s="186" t="n">
        <x:v>56276</x:v>
      </x:c>
      <x:c r="I465" s="186" t="n">
        <x:f>G465-H465</x:f>
        <x:v>-44390</x:v>
      </x:c>
      <x:c r="J465" s="186" t="n">
        <x:v>49904</x:v>
      </x:c>
      <x:c r="K465" s="186" t="n">
        <x:v>55685</x:v>
      </x:c>
      <x:c r="L465" s="186" t="n">
        <x:f>J465-K465</x:f>
        <x:v>-5781</x:v>
      </x:c>
      <x:c r="M465" s="186" t="n">
        <x:v>44266</x:v>
      </x:c>
      <x:c r="N465" s="186" t="n">
        <x:v>21244</x:v>
      </x:c>
      <x:c r="O465" s="186" t="n">
        <x:f>M465-N465</x:f>
        <x:v>23022</x:v>
      </x:c>
      <x:c r="P465" s="186" t="n">
        <x:v>21394</x:v>
      </x:c>
      <x:c r="Q465" s="186" t="n">
        <x:v>11051</x:v>
      </x:c>
      <x:c r="R465" s="186" t="n">
        <x:f>P465-Q465</x:f>
        <x:v>10343</x:v>
      </x:c>
      <x:c r="S465" s="186" t="n">
        <x:v>27098</x:v>
      </x:c>
      <x:c r="T465" s="186" t="n">
        <x:v>10292</x:v>
      </x:c>
      <x:c r="U465" s="186" t="n">
        <x:f>S465-T465</x:f>
        <x:v>16806</x:v>
      </x:c>
      <x:c r="V465" s="196" t="n">
        <x:f>IFERROR(O465/F465,"")</x:f>
        <x:v>0.1313741154987446</x:v>
      </x:c>
      <x:c r="W465" s="196" t="n">
        <x:f>IFERROR(I465/F465,"")</x:f>
        <x:v>-0.2533097466331888</x:v>
      </x:c>
    </x:row>
    <x:row r="466">
      <x:c r="A466" s="186" t="str">
        <x:v>Gold</x:v>
      </x:c>
      <x:c r="B466" s="187" t="n">
        <x:v>43998</x:v>
      </x:c>
      <x:c r="C466" s="187" t="n">
        <x:v>44001</x:v>
      </x:c>
      <x:c r="D466" s="186" t="str">
        <x:v>088691-GOLD</x:v>
      </x:c>
      <x:c r="E466" s="186" t="str">
        <x:v>GOLD - COMMODITY EXCHANGE INC.</x:v>
      </x:c>
      <x:c r="F466" s="186" t="n">
        <x:v>489563</x:v>
      </x:c>
      <x:c r="G466" s="186" t="n">
        <x:v>17761</x:v>
      </x:c>
      <x:c r="H466" s="186" t="n">
        <x:v>105338</x:v>
      </x:c>
      <x:c r="I466" s="186" t="n">
        <x:f>G466-H466</x:f>
        <x:v>-87577</x:v>
      </x:c>
      <x:c r="J466" s="186" t="n">
        <x:v>76758</x:v>
      </x:c>
      <x:c r="K466" s="186" t="n">
        <x:v>247201</x:v>
      </x:c>
      <x:c r="L466" s="186" t="n">
        <x:f>J466-K466</x:f>
        <x:v>-170443</x:v>
      </x:c>
      <x:c r="M466" s="186" t="n">
        <x:v>135945</x:v>
      </x:c>
      <x:c r="N466" s="186" t="n">
        <x:v>31257</x:v>
      </x:c>
      <x:c r="O466" s="186" t="n">
        <x:f>M466-N466</x:f>
        <x:v>104688</x:v>
      </x:c>
      <x:c r="P466" s="186" t="n">
        <x:v>141450</x:v>
      </x:c>
      <x:c r="Q466" s="186" t="n">
        <x:v>21790</x:v>
      </x:c>
      <x:c r="R466" s="186" t="n">
        <x:f>P466-Q466</x:f>
        <x:v>119660</x:v>
      </x:c>
      <x:c r="S466" s="186" t="n">
        <x:v>55159</x:v>
      </x:c>
      <x:c r="T466" s="186" t="n">
        <x:v>21487</x:v>
      </x:c>
      <x:c r="U466" s="186" t="n">
        <x:f>S466-T466</x:f>
        <x:v>33672</x:v>
      </x:c>
      <x:c r="V466" s="196" t="n">
        <x:f>IFERROR(O466/F466,"")</x:f>
        <x:v>0.21383968968243106</x:v>
      </x:c>
      <x:c r="W466" s="196" t="n">
        <x:f>IFERROR(I466/F466,"")</x:f>
        <x:v>-0.17888811041684113</x:v>
      </x:c>
    </x:row>
    <x:row r="467">
      <x:c r="A467" s="186" t="str">
        <x:v>Silver</x:v>
      </x:c>
      <x:c r="B467" s="187" t="n">
        <x:v>43998</x:v>
      </x:c>
      <x:c r="C467" s="187" t="n">
        <x:v>44001</x:v>
      </x:c>
      <x:c r="D467" s="186" t="str">
        <x:v>084691-SILVER</x:v>
      </x:c>
      <x:c r="E467" s="186" t="str">
        <x:v>SILVER - COMMODITY EXCHANGE INC.</x:v>
      </x:c>
      <x:c r="F467" s="186" t="n">
        <x:v>174386</x:v>
      </x:c>
      <x:c r="G467" s="186" t="n">
        <x:v>12863</x:v>
      </x:c>
      <x:c r="H467" s="186" t="n">
        <x:v>59034</x:v>
      </x:c>
      <x:c r="I467" s="186" t="n">
        <x:f>G467-H467</x:f>
        <x:v>-46171</x:v>
      </x:c>
      <x:c r="J467" s="186" t="n">
        <x:v>50467</x:v>
      </x:c>
      <x:c r="K467" s="186" t="n">
        <x:v>53326</x:v>
      </x:c>
      <x:c r="L467" s="186" t="n">
        <x:f>J467-K467</x:f>
        <x:v>-2859</x:v>
      </x:c>
      <x:c r="M467" s="186" t="n">
        <x:v>47457</x:v>
      </x:c>
      <x:c r="N467" s="186" t="n">
        <x:v>20219</x:v>
      </x:c>
      <x:c r="O467" s="186" t="n">
        <x:f>M467-N467</x:f>
        <x:v>27238</x:v>
      </x:c>
      <x:c r="P467" s="186" t="n">
        <x:v>19207</x:v>
      </x:c>
      <x:c r="Q467" s="186" t="n">
        <x:v>9823</x:v>
      </x:c>
      <x:c r="R467" s="186" t="n">
        <x:f>P467-Q467</x:f>
        <x:v>9384</x:v>
      </x:c>
      <x:c r="S467" s="186" t="n">
        <x:v>25479</x:v>
      </x:c>
      <x:c r="T467" s="186" t="n">
        <x:v>13071</x:v>
      </x:c>
      <x:c r="U467" s="186" t="n">
        <x:f>S467-T467</x:f>
        <x:v>12408</x:v>
      </x:c>
      <x:c r="V467" s="196" t="n">
        <x:f>IFERROR(O467/F467,"")</x:f>
        <x:v>0.15619373114814264</x:v>
      </x:c>
      <x:c r="W467" s="196" t="n">
        <x:f>IFERROR(I467/F467,"")</x:f>
        <x:v>-0.2647632264057895</x:v>
      </x:c>
    </x:row>
    <x:row r="468">
      <x:c r="A468" s="186" t="str">
        <x:v>Gold</x:v>
      </x:c>
      <x:c r="B468" s="187" t="n">
        <x:v>44005</x:v>
      </x:c>
      <x:c r="C468" s="187" t="n">
        <x:v>44008</x:v>
      </x:c>
      <x:c r="D468" s="186" t="str">
        <x:v>088691-GOLD</x:v>
      </x:c>
      <x:c r="E468" s="186" t="str">
        <x:v>GOLD - COMMODITY EXCHANGE INC.</x:v>
      </x:c>
      <x:c r="F468" s="186" t="n">
        <x:v>532101</x:v>
      </x:c>
      <x:c r="G468" s="186" t="n">
        <x:v>17771</x:v>
      </x:c>
      <x:c r="H468" s="186" t="n">
        <x:v>111941</x:v>
      </x:c>
      <x:c r="I468" s="186" t="n">
        <x:f>G468-H468</x:f>
        <x:v>-94170</x:v>
      </x:c>
      <x:c r="J468" s="186" t="n">
        <x:v>74444</x:v>
      </x:c>
      <x:c r="K468" s="186" t="n">
        <x:v>267566</x:v>
      </x:c>
      <x:c r="L468" s="186" t="n">
        <x:f>J468-K468</x:f>
        <x:v>-193122</x:v>
      </x:c>
      <x:c r="M468" s="186" t="n">
        <x:v>161593</x:v>
      </x:c>
      <x:c r="N468" s="186" t="n">
        <x:v>32078</x:v>
      </x:c>
      <x:c r="O468" s="186" t="n">
        <x:f>M468-N468</x:f>
        <x:v>129515</x:v>
      </x:c>
      <x:c r="P468" s="186" t="n">
        <x:v>146866</x:v>
      </x:c>
      <x:c r="Q468" s="186" t="n">
        <x:v>24424</x:v>
      </x:c>
      <x:c r="R468" s="186" t="n">
        <x:f>P468-Q468</x:f>
        <x:v>122442</x:v>
      </x:c>
      <x:c r="S468" s="186" t="n">
        <x:v>61677</x:v>
      </x:c>
      <x:c r="T468" s="186" t="n">
        <x:v>26342</x:v>
      </x:c>
      <x:c r="U468" s="186" t="n">
        <x:f>S468-T468</x:f>
        <x:v>35335</x:v>
      </x:c>
      <x:c r="V468" s="196" t="n">
        <x:f>IFERROR(O468/F468,"")</x:f>
        <x:v>0.24340303814501382</x:v>
      </x:c>
      <x:c r="W468" s="196" t="n">
        <x:f>IFERROR(I468/F468,"")</x:f>
        <x:v>-0.1769776790496541</x:v>
      </x:c>
    </x:row>
    <x:row r="469">
      <x:c r="A469" s="186" t="str">
        <x:v>Silver</x:v>
      </x:c>
      <x:c r="B469" s="187" t="n">
        <x:v>44005</x:v>
      </x:c>
      <x:c r="C469" s="187" t="n">
        <x:v>44008</x:v>
      </x:c>
      <x:c r="D469" s="186" t="str">
        <x:v>084691-SILVER</x:v>
      </x:c>
      <x:c r="E469" s="186" t="str">
        <x:v>SILVER - COMMODITY EXCHANGE INC.</x:v>
      </x:c>
      <x:c r="F469" s="186" t="n">
        <x:v>183444</x:v>
      </x:c>
      <x:c r="G469" s="186" t="n">
        <x:v>11769</x:v>
      </x:c>
      <x:c r="H469" s="186" t="n">
        <x:v>60264</x:v>
      </x:c>
      <x:c r="I469" s="186" t="n">
        <x:f>G469-H469</x:f>
        <x:v>-48495</x:v>
      </x:c>
      <x:c r="J469" s="186" t="n">
        <x:v>51143</x:v>
      </x:c>
      <x:c r="K469" s="186" t="n">
        <x:v>53485</x:v>
      </x:c>
      <x:c r="L469" s="186" t="n">
        <x:f>J469-K469</x:f>
        <x:v>-2342</x:v>
      </x:c>
      <x:c r="M469" s="186" t="n">
        <x:v>51295</x:v>
      </x:c>
      <x:c r="N469" s="186" t="n">
        <x:v>22552</x:v>
      </x:c>
      <x:c r="O469" s="186" t="n">
        <x:f>M469-N469</x:f>
        <x:v>28743</x:v>
      </x:c>
      <x:c r="P469" s="186" t="n">
        <x:v>20564</x:v>
      </x:c>
      <x:c r="Q469" s="186" t="n">
        <x:v>11384</x:v>
      </x:c>
      <x:c r="R469" s="186" t="n">
        <x:f>P469-Q469</x:f>
        <x:v>9180</x:v>
      </x:c>
      <x:c r="S469" s="186" t="n">
        <x:v>25667</x:v>
      </x:c>
      <x:c r="T469" s="186" t="n">
        <x:v>12753</x:v>
      </x:c>
      <x:c r="U469" s="186" t="n">
        <x:f>S469-T469</x:f>
        <x:v>12914</x:v>
      </x:c>
      <x:c r="V469" s="196" t="n">
        <x:f>IFERROR(O469/F469,"")</x:f>
        <x:v>0.15668541898344998</x:v>
      </x:c>
      <x:c r="W469" s="196" t="n">
        <x:f>IFERROR(I469/F469,"")</x:f>
        <x:v>-0.2643586053509518</x:v>
      </x:c>
    </x:row>
    <x:row r="470">
      <x:c r="A470" s="186" t="str">
        <x:v>Gold</x:v>
      </x:c>
      <x:c r="B470" s="187" t="n">
        <x:v>44012</x:v>
      </x:c>
      <x:c r="C470" s="187" t="n">
        <x:v>44015</x:v>
      </x:c>
      <x:c r="D470" s="186" t="str">
        <x:v>088691-GOLD</x:v>
      </x:c>
      <x:c r="E470" s="186" t="str">
        <x:v>GOLD - COMMODITY EXCHANGE INC.</x:v>
      </x:c>
      <x:c r="F470" s="186" t="n">
        <x:v>561628</x:v>
      </x:c>
      <x:c r="G470" s="186" t="n">
        <x:v>19798</x:v>
      </x:c>
      <x:c r="H470" s="186" t="n">
        <x:v>115221</x:v>
      </x:c>
      <x:c r="I470" s="186" t="n">
        <x:f>G470-H470</x:f>
        <x:v>-95423</x:v>
      </x:c>
      <x:c r="J470" s="186" t="n">
        <x:v>75447</x:v>
      </x:c>
      <x:c r="K470" s="186" t="n">
        <x:v>281487</x:v>
      </x:c>
      <x:c r="L470" s="186" t="n">
        <x:f>J470-K470</x:f>
        <x:v>-206040</x:v>
      </x:c>
      <x:c r="M470" s="186" t="n">
        <x:v>173526</x:v>
      </x:c>
      <x:c r="N470" s="186" t="n">
        <x:v>34971</x:v>
      </x:c>
      <x:c r="O470" s="186" t="n">
        <x:f>M470-N470</x:f>
        <x:v>138555</x:v>
      </x:c>
      <x:c r="P470" s="186" t="n">
        <x:v>155416</x:v>
      </x:c>
      <x:c r="Q470" s="186" t="n">
        <x:v>27301</x:v>
      </x:c>
      <x:c r="R470" s="186" t="n">
        <x:f>P470-Q470</x:f>
        <x:v>128115</x:v>
      </x:c>
      <x:c r="S470" s="186" t="n">
        <x:v>62121</x:v>
      </x:c>
      <x:c r="T470" s="186" t="n">
        <x:v>27328</x:v>
      </x:c>
      <x:c r="U470" s="186" t="n">
        <x:f>S470-T470</x:f>
        <x:v>34793</x:v>
      </x:c>
      <x:c r="V470" s="196" t="n">
        <x:f>IFERROR(O470/F470,"")</x:f>
        <x:v>0.2467024436103613</x:v>
      </x:c>
      <x:c r="W470" s="196" t="n">
        <x:f>IFERROR(I470/F470,"")</x:f>
        <x:v>-0.1699042782767241</x:v>
      </x:c>
    </x:row>
    <x:row r="471">
      <x:c r="A471" s="186" t="str">
        <x:v>Silver</x:v>
      </x:c>
      <x:c r="B471" s="187" t="n">
        <x:v>44012</x:v>
      </x:c>
      <x:c r="C471" s="187" t="n">
        <x:v>44015</x:v>
      </x:c>
      <x:c r="D471" s="186" t="str">
        <x:v>084691-SILVER</x:v>
      </x:c>
      <x:c r="E471" s="186" t="str">
        <x:v>SILVER - COMMODITY EXCHANGE INC.</x:v>
      </x:c>
      <x:c r="F471" s="186" t="n">
        <x:v>169418</x:v>
      </x:c>
      <x:c r="G471" s="186" t="n">
        <x:v>6076</x:v>
      </x:c>
      <x:c r="H471" s="186" t="n">
        <x:v>49490</x:v>
      </x:c>
      <x:c r="I471" s="186" t="n">
        <x:f>G471-H471</x:f>
        <x:v>-43414</x:v>
      </x:c>
      <x:c r="J471" s="186" t="n">
        <x:v>46145</x:v>
      </x:c>
      <x:c r="K471" s="186" t="n">
        <x:v>53005</x:v>
      </x:c>
      <x:c r="L471" s="186" t="n">
        <x:f>J471-K471</x:f>
        <x:v>-6860</x:v>
      </x:c>
      <x:c r="M471" s="186" t="n">
        <x:v>59931</x:v>
      </x:c>
      <x:c r="N471" s="186" t="n">
        <x:v>24781</x:v>
      </x:c>
      <x:c r="O471" s="186" t="n">
        <x:f>M471-N471</x:f>
        <x:v>35150</x:v>
      </x:c>
      <x:c r="P471" s="186" t="n">
        <x:v>18815</x:v>
      </x:c>
      <x:c r="Q471" s="186" t="n">
        <x:v>16364</x:v>
      </x:c>
      <x:c r="R471" s="186" t="n">
        <x:f>P471-Q471</x:f>
        <x:v>2451</x:v>
      </x:c>
      <x:c r="S471" s="186" t="n">
        <x:v>25337</x:v>
      </x:c>
      <x:c r="T471" s="186" t="n">
        <x:v>12664</x:v>
      </x:c>
      <x:c r="U471" s="186" t="n">
        <x:f>S471-T471</x:f>
        <x:v>12673</x:v>
      </x:c>
      <x:c r="V471" s="196" t="n">
        <x:f>IFERROR(O471/F471,"")</x:f>
        <x:v>0.20747500265615224</x:v>
      </x:c>
      <x:c r="W471" s="196" t="n">
        <x:f>IFERROR(I471/F471,"")</x:f>
        <x:v>-0.25625376288233837</x:v>
      </x:c>
    </x:row>
    <x:row r="472">
      <x:c r="A472" s="186" t="str">
        <x:v>Gold</x:v>
      </x:c>
      <x:c r="B472" s="187" t="n">
        <x:v>44019</x:v>
      </x:c>
      <x:c r="C472" s="187" t="n">
        <x:v>44022</x:v>
      </x:c>
      <x:c r="D472" s="186" t="str">
        <x:v>088691-GOLD</x:v>
      </x:c>
      <x:c r="E472" s="186" t="str">
        <x:v>GOLD - COMMODITY EXCHANGE INC.</x:v>
      </x:c>
      <x:c r="F472" s="186" t="n">
        <x:v>572776</x:v>
      </x:c>
      <x:c r="G472" s="186" t="n">
        <x:v>20352</x:v>
      </x:c>
      <x:c r="H472" s="186" t="n">
        <x:v>112705</x:v>
      </x:c>
      <x:c r="I472" s="186" t="n">
        <x:f>G472-H472</x:f>
        <x:v>-92353</x:v>
      </x:c>
      <x:c r="J472" s="186" t="n">
        <x:v>72947</x:v>
      </x:c>
      <x:c r="K472" s="186" t="n">
        <x:v>283186</x:v>
      </x:c>
      <x:c r="L472" s="186" t="n">
        <x:f>J472-K472</x:f>
        <x:v>-210239</x:v>
      </x:c>
      <x:c r="M472" s="186" t="n">
        <x:v>179810</x:v>
      </x:c>
      <x:c r="N472" s="186" t="n">
        <x:v>40467</x:v>
      </x:c>
      <x:c r="O472" s="186" t="n">
        <x:f>M472-N472</x:f>
        <x:v>139343</x:v>
      </x:c>
      <x:c r="P472" s="186" t="n">
        <x:v>157220</x:v>
      </x:c>
      <x:c r="Q472" s="186" t="n">
        <x:v>29205</x:v>
      </x:c>
      <x:c r="R472" s="186" t="n">
        <x:f>P472-Q472</x:f>
        <x:v>128015</x:v>
      </x:c>
      <x:c r="S472" s="186" t="n">
        <x:v>63292</x:v>
      </x:c>
      <x:c r="T472" s="186" t="n">
        <x:v>28058</x:v>
      </x:c>
      <x:c r="U472" s="186" t="n">
        <x:f>S472-T472</x:f>
        <x:v>35234</x:v>
      </x:c>
      <x:c r="V472" s="196" t="n">
        <x:f>IFERROR(O472/F472,"")</x:f>
        <x:v>0.2432766037683143</x:v>
      </x:c>
      <x:c r="W472" s="196" t="n">
        <x:f>IFERROR(I472/F472,"")</x:f>
        <x:v>-0.16123755185273125</x:v>
      </x:c>
    </x:row>
    <x:row r="473">
      <x:c r="A473" s="186" t="str">
        <x:v>Silver</x:v>
      </x:c>
      <x:c r="B473" s="187" t="n">
        <x:v>44019</x:v>
      </x:c>
      <x:c r="C473" s="187" t="n">
        <x:v>44022</x:v>
      </x:c>
      <x:c r="D473" s="186" t="str">
        <x:v>084691-SILVER</x:v>
      </x:c>
      <x:c r="E473" s="186" t="str">
        <x:v>SILVER - COMMODITY EXCHANGE INC.</x:v>
      </x:c>
      <x:c r="F473" s="186" t="n">
        <x:v>169513</x:v>
      </x:c>
      <x:c r="G473" s="186" t="n">
        <x:v>6059</x:v>
      </x:c>
      <x:c r="H473" s="186" t="n">
        <x:v>48441</x:v>
      </x:c>
      <x:c r="I473" s="186" t="n">
        <x:f>G473-H473</x:f>
        <x:v>-42382</x:v>
      </x:c>
      <x:c r="J473" s="186" t="n">
        <x:v>43179</x:v>
      </x:c>
      <x:c r="K473" s="186" t="n">
        <x:v>53439</x:v>
      </x:c>
      <x:c r="L473" s="186" t="n">
        <x:f>J473-K473</x:f>
        <x:v>-10260</x:v>
      </x:c>
      <x:c r="M473" s="186" t="n">
        <x:v>62211</x:v>
      </x:c>
      <x:c r="N473" s="186" t="n">
        <x:v>26195</x:v>
      </x:c>
      <x:c r="O473" s="186" t="n">
        <x:f>M473-N473</x:f>
        <x:v>36016</x:v>
      </x:c>
      <x:c r="P473" s="186" t="n">
        <x:v>18530</x:v>
      </x:c>
      <x:c r="Q473" s="186" t="n">
        <x:v>16721</x:v>
      </x:c>
      <x:c r="R473" s="186" t="n">
        <x:f>P473-Q473</x:f>
        <x:v>1809</x:v>
      </x:c>
      <x:c r="S473" s="186" t="n">
        <x:v>26510</x:v>
      </x:c>
      <x:c r="T473" s="186" t="n">
        <x:v>11693</x:v>
      </x:c>
      <x:c r="U473" s="186" t="n">
        <x:f>S473-T473</x:f>
        <x:v>14817</x:v>
      </x:c>
      <x:c r="V473" s="196" t="n">
        <x:f>IFERROR(O473/F473,"")</x:f>
        <x:v>0.21246748037023708</x:v>
      </x:c>
      <x:c r="W473" s="196" t="n">
        <x:f>IFERROR(I473/F473,"")</x:f>
        <x:v>-0.2500221221971176</x:v>
      </x:c>
    </x:row>
    <x:row r="474">
      <x:c r="A474" s="186" t="str">
        <x:v>Gold</x:v>
      </x:c>
      <x:c r="B474" s="187" t="n">
        <x:v>44026</x:v>
      </x:c>
      <x:c r="C474" s="187" t="n">
        <x:v>44029</x:v>
      </x:c>
      <x:c r="D474" s="186" t="str">
        <x:v>088691-GOLD</x:v>
      </x:c>
      <x:c r="E474" s="186" t="str">
        <x:v>GOLD - COMMODITY EXCHANGE INC.</x:v>
      </x:c>
      <x:c r="F474" s="186" t="n">
        <x:v>580175</x:v>
      </x:c>
      <x:c r="G474" s="186" t="n">
        <x:v>22532</x:v>
      </x:c>
      <x:c r="H474" s="186" t="n">
        <x:v>118784</x:v>
      </x:c>
      <x:c r="I474" s="186" t="n">
        <x:f>G474-H474</x:f>
        <x:v>-96252</x:v>
      </x:c>
      <x:c r="J474" s="186" t="n">
        <x:v>73071</x:v>
      </x:c>
      <x:c r="K474" s="186" t="n">
        <x:v>278837</x:v>
      </x:c>
      <x:c r="L474" s="186" t="n">
        <x:f>J474-K474</x:f>
        <x:v>-205766</x:v>
      </x:c>
      <x:c r="M474" s="186" t="n">
        <x:v>177400</x:v>
      </x:c>
      <x:c r="N474" s="186" t="n">
        <x:v>42427</x:v>
      </x:c>
      <x:c r="O474" s="186" t="n">
        <x:f>M474-N474</x:f>
        <x:v>134973</x:v>
      </x:c>
      <x:c r="P474" s="186" t="n">
        <x:v>152805</x:v>
      </x:c>
      <x:c r="Q474" s="186" t="n">
        <x:v>25350</x:v>
      </x:c>
      <x:c r="R474" s="186" t="n">
        <x:f>P474-Q474</x:f>
        <x:v>127455</x:v>
      </x:c>
      <x:c r="S474" s="186" t="n">
        <x:v>64465</x:v>
      </x:c>
      <x:c r="T474" s="186" t="n">
        <x:v>24875</x:v>
      </x:c>
      <x:c r="U474" s="186" t="n">
        <x:f>S474-T474</x:f>
        <x:v>39590</x:v>
      </x:c>
      <x:c r="V474" s="196" t="n">
        <x:f>IFERROR(O474/F474,"")</x:f>
        <x:v>0.23264187529624683</x:v>
      </x:c>
      <x:c r="W474" s="196" t="n">
        <x:f>IFERROR(I474/F474,"")</x:f>
        <x:v>-0.165901667600293</x:v>
      </x:c>
    </x:row>
    <x:row r="475">
      <x:c r="A475" s="186" t="str">
        <x:v>Silver</x:v>
      </x:c>
      <x:c r="B475" s="187" t="n">
        <x:v>44026</x:v>
      </x:c>
      <x:c r="C475" s="187" t="n">
        <x:v>44029</x:v>
      </x:c>
      <x:c r="D475" s="186" t="str">
        <x:v>084691-SILVER</x:v>
      </x:c>
      <x:c r="E475" s="186" t="str">
        <x:v>SILVER - COMMODITY EXCHANGE INC.</x:v>
      </x:c>
      <x:c r="F475" s="186" t="n">
        <x:v>178367</x:v>
      </x:c>
      <x:c r="G475" s="186" t="n">
        <x:v>5375</x:v>
      </x:c>
      <x:c r="H475" s="186" t="n">
        <x:v>53927</x:v>
      </x:c>
      <x:c r="I475" s="186" t="n">
        <x:f>G475-H475</x:f>
        <x:v>-48552</x:v>
      </x:c>
      <x:c r="J475" s="186" t="n">
        <x:v>42917</x:v>
      </x:c>
      <x:c r="K475" s="186" t="n">
        <x:v>54560</x:v>
      </x:c>
      <x:c r="L475" s="186" t="n">
        <x:f>J475-K475</x:f>
        <x:v>-11643</x:v>
      </x:c>
      <x:c r="M475" s="186" t="n">
        <x:v>65615</x:v>
      </x:c>
      <x:c r="N475" s="186" t="n">
        <x:v>22988</x:v>
      </x:c>
      <x:c r="O475" s="186" t="n">
        <x:f>M475-N475</x:f>
        <x:v>42627</x:v>
      </x:c>
      <x:c r="P475" s="186" t="n">
        <x:v>20064</x:v>
      </x:c>
      <x:c r="Q475" s="186" t="n">
        <x:v>18822</x:v>
      </x:c>
      <x:c r="R475" s="186" t="n">
        <x:f>P475-Q475</x:f>
        <x:v>1242</x:v>
      </x:c>
      <x:c r="S475" s="186" t="n">
        <x:v>28574</x:v>
      </x:c>
      <x:c r="T475" s="186" t="n">
        <x:v>12248</x:v>
      </x:c>
      <x:c r="U475" s="186" t="n">
        <x:f>S475-T475</x:f>
        <x:v>16326</x:v>
      </x:c>
      <x:c r="V475" s="196" t="n">
        <x:f>IFERROR(O475/F475,"")</x:f>
        <x:v>0.23898478978734855</x:v>
      </x:c>
      <x:c r="W475" s="196" t="n">
        <x:f>IFERROR(I475/F475,"")</x:f>
        <x:v>-0.2722028177858012</x:v>
      </x:c>
    </x:row>
    <x:row r="476">
      <x:c r="A476" s="186" t="str">
        <x:v>Gold</x:v>
      </x:c>
      <x:c r="B476" s="187" t="n">
        <x:v>44033</x:v>
      </x:c>
      <x:c r="C476" s="187" t="n">
        <x:v>44036</x:v>
      </x:c>
      <x:c r="D476" s="186" t="str">
        <x:v>088691-GOLD</x:v>
      </x:c>
      <x:c r="E476" s="186" t="str">
        <x:v>GOLD - COMMODITY EXCHANGE INC.</x:v>
      </x:c>
      <x:c r="F476" s="186" t="n">
        <x:v>603138</x:v>
      </x:c>
      <x:c r="G476" s="186" t="n">
        <x:v>23045</x:v>
      </x:c>
      <x:c r="H476" s="186" t="n">
        <x:v>123303</x:v>
      </x:c>
      <x:c r="I476" s="186" t="n">
        <x:f>G476-H476</x:f>
        <x:v>-100258</x:v>
      </x:c>
      <x:c r="J476" s="186" t="n">
        <x:v>71634</x:v>
      </x:c>
      <x:c r="K476" s="186" t="n">
        <x:v>275235</x:v>
      </x:c>
      <x:c r="L476" s="186" t="n">
        <x:f>J476-K476</x:f>
        <x:v>-203601</x:v>
      </x:c>
      <x:c r="M476" s="186" t="n">
        <x:v>181256</x:v>
      </x:c>
      <x:c r="N476" s="186" t="n">
        <x:v>40987</x:v>
      </x:c>
      <x:c r="O476" s="186" t="n">
        <x:f>M476-N476</x:f>
        <x:v>140269</x:v>
      </x:c>
      <x:c r="P476" s="186" t="n">
        <x:v>152981</x:v>
      </x:c>
      <x:c r="Q476" s="186" t="n">
        <x:v>26814</x:v>
      </x:c>
      <x:c r="R476" s="186" t="n">
        <x:f>P476-Q476</x:f>
        <x:v>126167</x:v>
      </x:c>
      <x:c r="S476" s="186" t="n">
        <x:v>67224</x:v>
      </x:c>
      <x:c r="T476" s="186" t="n">
        <x:v>29801</x:v>
      </x:c>
      <x:c r="U476" s="186" t="n">
        <x:f>S476-T476</x:f>
        <x:v>37423</x:v>
      </x:c>
      <x:c r="V476" s="196" t="n">
        <x:f>IFERROR(O476/F476,"")</x:f>
        <x:v>0.23256534988675892</x:v>
      </x:c>
      <x:c r="W476" s="196" t="n">
        <x:f>IFERROR(I476/F476,"")</x:f>
        <x:v>-0.1662272978986567</x:v>
      </x:c>
    </x:row>
    <x:row r="477">
      <x:c r="A477" s="186" t="str">
        <x:v>Silver</x:v>
      </x:c>
      <x:c r="B477" s="187" t="n">
        <x:v>44033</x:v>
      </x:c>
      <x:c r="C477" s="187" t="n">
        <x:v>44036</x:v>
      </x:c>
      <x:c r="D477" s="186" t="str">
        <x:v>084691-SILVER</x:v>
      </x:c>
      <x:c r="E477" s="186" t="str">
        <x:v>SILVER - COMMODITY EXCHANGE INC.</x:v>
      </x:c>
      <x:c r="F477" s="186" t="n">
        <x:v>185745</x:v>
      </x:c>
      <x:c r="G477" s="186" t="n">
        <x:v>7003</x:v>
      </x:c>
      <x:c r="H477" s="186" t="n">
        <x:v>55515</x:v>
      </x:c>
      <x:c r="I477" s="186" t="n">
        <x:f>G477-H477</x:f>
        <x:v>-48512</x:v>
      </x:c>
      <x:c r="J477" s="186" t="n">
        <x:v>42085</x:v>
      </x:c>
      <x:c r="K477" s="186" t="n">
        <x:v>55542</x:v>
      </x:c>
      <x:c r="L477" s="186" t="n">
        <x:f>J477-K477</x:f>
        <x:v>-13457</x:v>
      </x:c>
      <x:c r="M477" s="186" t="n">
        <x:v>71496</x:v>
      </x:c>
      <x:c r="N477" s="186" t="n">
        <x:v>22840</x:v>
      </x:c>
      <x:c r="O477" s="186" t="n">
        <x:f>M477-N477</x:f>
        <x:v>48656</x:v>
      </x:c>
      <x:c r="P477" s="186" t="n">
        <x:v>18514</x:v>
      </x:c>
      <x:c r="Q477" s="186" t="n">
        <x:v>20415</x:v>
      </x:c>
      <x:c r="R477" s="186" t="n">
        <x:f>P477-Q477</x:f>
        <x:v>-1901</x:v>
      </x:c>
      <x:c r="S477" s="186" t="n">
        <x:v>29952</x:v>
      </x:c>
      <x:c r="T477" s="186" t="n">
        <x:v>14738</x:v>
      </x:c>
      <x:c r="U477" s="186" t="n">
        <x:f>S477-T477</x:f>
        <x:v>15214</x:v>
      </x:c>
      <x:c r="V477" s="196" t="n">
        <x:f>IFERROR(O477/F477,"")</x:f>
        <x:v>0.2619505235672562</x:v>
      </x:c>
      <x:c r="W477" s="196" t="n">
        <x:f>IFERROR(I477/F477,"")</x:f>
        <x:v>-0.26117526716735306</x:v>
      </x:c>
    </x:row>
    <x:row r="478">
      <x:c r="A478" s="186" t="str">
        <x:v>Gold</x:v>
      </x:c>
      <x:c r="B478" s="187" t="n">
        <x:v>44040</x:v>
      </x:c>
      <x:c r="C478" s="187" t="n">
        <x:v>44043</x:v>
      </x:c>
      <x:c r="D478" s="186" t="str">
        <x:v>088691-GOLD</x:v>
      </x:c>
      <x:c r="E478" s="186" t="str">
        <x:v>GOLD - COMMODITY EXCHANGE INC.</x:v>
      </x:c>
      <x:c r="F478" s="186" t="n">
        <x:v>598629</x:v>
      </x:c>
      <x:c r="G478" s="186" t="n">
        <x:v>20494</x:v>
      </x:c>
      <x:c r="H478" s="186" t="n">
        <x:v>110969</x:v>
      </x:c>
      <x:c r="I478" s="186" t="n">
        <x:f>G478-H478</x:f>
        <x:v>-90475</x:v>
      </x:c>
      <x:c r="J478" s="186" t="n">
        <x:v>74894</x:v>
      </x:c>
      <x:c r="K478" s="186" t="n">
        <x:v>262796</x:v>
      </x:c>
      <x:c r="L478" s="186" t="n">
        <x:f>J478-K478</x:f>
        <x:v>-187902</x:v>
      </x:c>
      <x:c r="M478" s="186" t="n">
        <x:v>159894</x:v>
      </x:c>
      <x:c r="N478" s="186" t="n">
        <x:v>42758</x:v>
      </x:c>
      <x:c r="O478" s="186" t="n">
        <x:f>M478-N478</x:f>
        <x:v>117136</x:v>
      </x:c>
      <x:c r="P478" s="186" t="n">
        <x:v>152694</x:v>
      </x:c>
      <x:c r="Q478" s="186" t="n">
        <x:v>33029</x:v>
      </x:c>
      <x:c r="R478" s="186" t="n">
        <x:f>P478-Q478</x:f>
        <x:v>119665</x:v>
      </x:c>
      <x:c r="S478" s="186" t="n">
        <x:v>65401</x:v>
      </x:c>
      <x:c r="T478" s="186" t="n">
        <x:v>23825</x:v>
      </x:c>
      <x:c r="U478" s="186" t="n">
        <x:f>S478-T478</x:f>
        <x:v>41576</x:v>
      </x:c>
      <x:c r="V478" s="196" t="n">
        <x:f>IFERROR(O478/F478,"")</x:f>
        <x:v>0.19567378125683854</x:v>
      </x:c>
      <x:c r="W478" s="196" t="n">
        <x:f>IFERROR(I478/F478,"")</x:f>
        <x:v>-0.15113701474535982</x:v>
      </x:c>
    </x:row>
    <x:row r="479">
      <x:c r="A479" s="186" t="str">
        <x:v>Silver</x:v>
      </x:c>
      <x:c r="B479" s="187" t="n">
        <x:v>44040</x:v>
      </x:c>
      <x:c r="C479" s="187" t="n">
        <x:v>44043</x:v>
      </x:c>
      <x:c r="D479" s="186" t="str">
        <x:v>084691-SILVER</x:v>
      </x:c>
      <x:c r="E479" s="186" t="str">
        <x:v>SILVER - COMMODITY EXCHANGE INC.</x:v>
      </x:c>
      <x:c r="F479" s="186" t="n">
        <x:v>184020</x:v>
      </x:c>
      <x:c r="G479" s="186" t="n">
        <x:v>9459</x:v>
      </x:c>
      <x:c r="H479" s="186" t="n">
        <x:v>51606</x:v>
      </x:c>
      <x:c r="I479" s="186" t="n">
        <x:f>G479-H479</x:f>
        <x:v>-42147</x:v>
      </x:c>
      <x:c r="J479" s="186" t="n">
        <x:v>45534</x:v>
      </x:c>
      <x:c r="K479" s="186" t="n">
        <x:v>50871</x:v>
      </x:c>
      <x:c r="L479" s="186" t="n">
        <x:f>J479-K479</x:f>
        <x:v>-5337</x:v>
      </x:c>
      <x:c r="M479" s="186" t="n">
        <x:v>57957</x:v>
      </x:c>
      <x:c r="N479" s="186" t="n">
        <x:v>25182</x:v>
      </x:c>
      <x:c r="O479" s="186" t="n">
        <x:f>M479-N479</x:f>
        <x:v>32775</x:v>
      </x:c>
      <x:c r="P479" s="186" t="n">
        <x:v>16444</x:v>
      </x:c>
      <x:c r="Q479" s="186" t="n">
        <x:v>21911</x:v>
      </x:c>
      <x:c r="R479" s="186" t="n">
        <x:f>P479-Q479</x:f>
        <x:v>-5467</x:v>
      </x:c>
      <x:c r="S479" s="186" t="n">
        <x:v>30996</x:v>
      </x:c>
      <x:c r="T479" s="186" t="n">
        <x:v>10820</x:v>
      </x:c>
      <x:c r="U479" s="186" t="n">
        <x:f>S479-T479</x:f>
        <x:v>20176</x:v>
      </x:c>
      <x:c r="V479" s="196" t="n">
        <x:f>IFERROR(O479/F479,"")</x:f>
        <x:v>0.17810564069122922</x:v>
      </x:c>
      <x:c r="W479" s="196" t="n">
        <x:f>IFERROR(I479/F479,"")</x:f>
        <x:v>-0.22903488751222692</x:v>
      </x:c>
    </x:row>
    <x:row r="480">
      <x:c r="A480" s="186" t="str">
        <x:v>Gold</x:v>
      </x:c>
      <x:c r="B480" s="187" t="n">
        <x:v>44047</x:v>
      </x:c>
      <x:c r="C480" s="187" t="n">
        <x:v>44050</x:v>
      </x:c>
      <x:c r="D480" s="186" t="str">
        <x:v>088691-GOLD</x:v>
      </x:c>
      <x:c r="E480" s="186" t="str">
        <x:v>GOLD - COMMODITY EXCHANGE INC.</x:v>
      </x:c>
      <x:c r="F480" s="186" t="n">
        <x:v>561837</x:v>
      </x:c>
      <x:c r="G480" s="186" t="n">
        <x:v>19158</x:v>
      </x:c>
      <x:c r="H480" s="186" t="n">
        <x:v>116748</x:v>
      </x:c>
      <x:c r="I480" s="186" t="n">
        <x:f>G480-H480</x:f>
        <x:v>-97590</x:v>
      </x:c>
      <x:c r="J480" s="186" t="n">
        <x:v>79645</x:v>
      </x:c>
      <x:c r="K480" s="186" t="n">
        <x:v>258400</x:v>
      </x:c>
      <x:c r="L480" s="186" t="n">
        <x:f>J480-K480</x:f>
        <x:v>-178755</x:v>
      </x:c>
      <x:c r="M480" s="186" t="n">
        <x:v>165357</x:v>
      </x:c>
      <x:c r="N480" s="186" t="n">
        <x:v>51885</x:v>
      </x:c>
      <x:c r="O480" s="186" t="n">
        <x:f>M480-N480</x:f>
        <x:v>113472</x:v>
      </x:c>
      <x:c r="P480" s="186" t="n">
        <x:v>156490</x:v>
      </x:c>
      <x:c r="Q480" s="186" t="n">
        <x:v>31216</x:v>
      </x:c>
      <x:c r="R480" s="186" t="n">
        <x:f>P480-Q480</x:f>
        <x:v>125274</x:v>
      </x:c>
      <x:c r="S480" s="186" t="n">
        <x:v>67427</x:v>
      </x:c>
      <x:c r="T480" s="186" t="n">
        <x:v>29828</x:v>
      </x:c>
      <x:c r="U480" s="186" t="n">
        <x:f>S480-T480</x:f>
        <x:v>37599</x:v>
      </x:c>
      <x:c r="V480" s="196" t="n">
        <x:f>IFERROR(O480/F480,"")</x:f>
        <x:v>0.20196605065170148</x:v>
      </x:c>
      <x:c r="W480" s="196" t="n">
        <x:f>IFERROR(I480/F480,"")</x:f>
        <x:v>-0.17369806545314745</x:v>
      </x:c>
    </x:row>
    <x:row r="481">
      <x:c r="A481" s="186" t="str">
        <x:v>Silver</x:v>
      </x:c>
      <x:c r="B481" s="187" t="n">
        <x:v>44047</x:v>
      </x:c>
      <x:c r="C481" s="187" t="n">
        <x:v>44050</x:v>
      </x:c>
      <x:c r="D481" s="186" t="str">
        <x:v>084691-SILVER</x:v>
      </x:c>
      <x:c r="E481" s="186" t="str">
        <x:v>SILVER - COMMODITY EXCHANGE INC.</x:v>
      </x:c>
      <x:c r="F481" s="186" t="n">
        <x:v>205527</x:v>
      </x:c>
      <x:c r="G481" s="186" t="n">
        <x:v>11200</x:v>
      </x:c>
      <x:c r="H481" s="186" t="n">
        <x:v>57411</x:v>
      </x:c>
      <x:c r="I481" s="186" t="n">
        <x:f>G481-H481</x:f>
        <x:v>-46211</x:v>
      </x:c>
      <x:c r="J481" s="186" t="n">
        <x:v>46019</x:v>
      </x:c>
      <x:c r="K481" s="186" t="n">
        <x:v>50978</x:v>
      </x:c>
      <x:c r="L481" s="186" t="n">
        <x:f>J481-K481</x:f>
        <x:v>-4959</x:v>
      </x:c>
      <x:c r="M481" s="186" t="n">
        <x:v>57977</x:v>
      </x:c>
      <x:c r="N481" s="186" t="n">
        <x:v>25850</x:v>
      </x:c>
      <x:c r="O481" s="186" t="n">
        <x:f>M481-N481</x:f>
        <x:v>32127</x:v>
      </x:c>
      <x:c r="P481" s="186" t="n">
        <x:v>17521</x:v>
      </x:c>
      <x:c r="Q481" s="186" t="n">
        <x:v>19759</x:v>
      </x:c>
      <x:c r="R481" s="186" t="n">
        <x:f>P481-Q481</x:f>
        <x:v>-2238</x:v>
      </x:c>
      <x:c r="S481" s="186" t="n">
        <x:v>32783</x:v>
      </x:c>
      <x:c r="T481" s="186" t="n">
        <x:v>11502</x:v>
      </x:c>
      <x:c r="U481" s="186" t="n">
        <x:f>S481-T481</x:f>
        <x:v>21281</x:v>
      </x:c>
      <x:c r="V481" s="196" t="n">
        <x:f>IFERROR(O481/F481,"")</x:f>
        <x:v>0.156315228656089</x:v>
      </x:c>
      <x:c r="W481" s="196" t="n">
        <x:f>IFERROR(I481/F481,"")</x:f>
        <x:v>-0.22484150500907424</x:v>
      </x:c>
    </x:row>
    <x:row r="482">
      <x:c r="A482" s="186" t="str">
        <x:v>Gold</x:v>
      </x:c>
      <x:c r="B482" s="187" t="n">
        <x:v>44054</x:v>
      </x:c>
      <x:c r="C482" s="187" t="n">
        <x:v>44057</x:v>
      </x:c>
      <x:c r="D482" s="186" t="str">
        <x:v>088691-GOLD</x:v>
      </x:c>
      <x:c r="E482" s="186" t="str">
        <x:v>GOLD - COMMODITY EXCHANGE INC.</x:v>
      </x:c>
      <x:c r="F482" s="186" t="n">
        <x:v>553345</x:v>
      </x:c>
      <x:c r="G482" s="186" t="n">
        <x:v>20119</x:v>
      </x:c>
      <x:c r="H482" s="186" t="n">
        <x:v>113766</x:v>
      </x:c>
      <x:c r="I482" s="186" t="n">
        <x:f>G482-H482</x:f>
        <x:v>-93647</x:v>
      </x:c>
      <x:c r="J482" s="186" t="n">
        <x:v>81712</x:v>
      </x:c>
      <x:c r="K482" s="186" t="n">
        <x:v>256396</x:v>
      </x:c>
      <x:c r="L482" s="186" t="n">
        <x:f>J482-K482</x:f>
        <x:v>-174684</x:v>
      </x:c>
      <x:c r="M482" s="186" t="n">
        <x:v>155418</x:v>
      </x:c>
      <x:c r="N482" s="186" t="n">
        <x:v>57726</x:v>
      </x:c>
      <x:c r="O482" s="186" t="n">
        <x:f>M482-N482</x:f>
        <x:v>97692</x:v>
      </x:c>
      <x:c r="P482" s="186" t="n">
        <x:v>151449</x:v>
      </x:c>
      <x:c r="Q482" s="186" t="n">
        <x:v>25088</x:v>
      </x:c>
      <x:c r="R482" s="186" t="n">
        <x:f>P482-Q482</x:f>
        <x:v>126361</x:v>
      </x:c>
      <x:c r="S482" s="186" t="n">
        <x:v>68072</x:v>
      </x:c>
      <x:c r="T482" s="186" t="n">
        <x:v>23794</x:v>
      </x:c>
      <x:c r="U482" s="186" t="n">
        <x:f>S482-T482</x:f>
        <x:v>44278</x:v>
      </x:c>
      <x:c r="V482" s="196" t="n">
        <x:f>IFERROR(O482/F482,"")</x:f>
        <x:v>0.17654808482953674</x:v>
      </x:c>
      <x:c r="W482" s="196" t="n">
        <x:f>IFERROR(I482/F482,"")</x:f>
        <x:v>-0.1692379979940182</x:v>
      </x:c>
    </x:row>
    <x:row r="483">
      <x:c r="A483" s="186" t="str">
        <x:v>Silver</x:v>
      </x:c>
      <x:c r="B483" s="187" t="n">
        <x:v>44054</x:v>
      </x:c>
      <x:c r="C483" s="187" t="n">
        <x:v>44057</x:v>
      </x:c>
      <x:c r="D483" s="186" t="str">
        <x:v>084691-SILVER</x:v>
      </x:c>
      <x:c r="E483" s="186" t="str">
        <x:v>SILVER - COMMODITY EXCHANGE INC.</x:v>
      </x:c>
      <x:c r="F483" s="186" t="n">
        <x:v>198069</x:v>
      </x:c>
      <x:c r="G483" s="186" t="n">
        <x:v>11014</x:v>
      </x:c>
      <x:c r="H483" s="186" t="n">
        <x:v>52938</x:v>
      </x:c>
      <x:c r="I483" s="186" t="n">
        <x:f>G483-H483</x:f>
        <x:v>-41924</x:v>
      </x:c>
      <x:c r="J483" s="186" t="n">
        <x:v>45616</x:v>
      </x:c>
      <x:c r="K483" s="186" t="n">
        <x:v>49352</x:v>
      </x:c>
      <x:c r="L483" s="186" t="n">
        <x:f>J483-K483</x:f>
        <x:v>-3736</x:v>
      </x:c>
      <x:c r="M483" s="186" t="n">
        <x:v>51351</x:v>
      </x:c>
      <x:c r="N483" s="186" t="n">
        <x:v>27373</x:v>
      </x:c>
      <x:c r="O483" s="186" t="n">
        <x:f>M483-N483</x:f>
        <x:v>23978</x:v>
      </x:c>
      <x:c r="P483" s="186" t="n">
        <x:v>16077</x:v>
      </x:c>
      <x:c r="Q483" s="186" t="n">
        <x:v>16487</x:v>
      </x:c>
      <x:c r="R483" s="186" t="n">
        <x:f>P483-Q483</x:f>
        <x:v>-410</x:v>
      </x:c>
      <x:c r="S483" s="186" t="n">
        <x:v>33122</x:v>
      </x:c>
      <x:c r="T483" s="186" t="n">
        <x:v>11030</x:v>
      </x:c>
      <x:c r="U483" s="186" t="n">
        <x:f>S483-T483</x:f>
        <x:v>22092</x:v>
      </x:c>
      <x:c r="V483" s="196" t="n">
        <x:f>IFERROR(O483/F483,"")</x:f>
        <x:v>0.12105882293544169</x:v>
      </x:c>
      <x:c r="W483" s="196" t="n">
        <x:f>IFERROR(I483/F483,"")</x:f>
        <x:v>-0.211663612175555</x:v>
      </x:c>
    </x:row>
    <x:row r="484">
      <x:c r="A484" s="186" t="str">
        <x:v>Gold</x:v>
      </x:c>
      <x:c r="B484" s="187" t="n">
        <x:v>44061</x:v>
      </x:c>
      <x:c r="C484" s="187" t="n">
        <x:v>44064</x:v>
      </x:c>
      <x:c r="D484" s="186" t="str">
        <x:v>088691-GOLD</x:v>
      </x:c>
      <x:c r="E484" s="186" t="str">
        <x:v>GOLD - COMMODITY EXCHANGE INC.</x:v>
      </x:c>
      <x:c r="F484" s="186" t="n">
        <x:v>544010</x:v>
      </x:c>
      <x:c r="G484" s="186" t="n">
        <x:v>19419</x:v>
      </x:c>
      <x:c r="H484" s="186" t="n">
        <x:v>110411</x:v>
      </x:c>
      <x:c r="I484" s="186" t="n">
        <x:f>G484-H484</x:f>
        <x:v>-90992</x:v>
      </x:c>
      <x:c r="J484" s="186" t="n">
        <x:v>82563</x:v>
      </x:c>
      <x:c r="K484" s="186" t="n">
        <x:v>259342</x:v>
      </x:c>
      <x:c r="L484" s="186" t="n">
        <x:f>J484-K484</x:f>
        <x:v>-176779</x:v>
      </x:c>
      <x:c r="M484" s="186" t="n">
        <x:v>151016</x:v>
      </x:c>
      <x:c r="N484" s="186" t="n">
        <x:v>55578</x:v>
      </x:c>
      <x:c r="O484" s="186" t="n">
        <x:f>M484-N484</x:f>
        <x:v>95438</x:v>
      </x:c>
      <x:c r="P484" s="186" t="n">
        <x:v>151353</x:v>
      </x:c>
      <x:c r="Q484" s="186" t="n">
        <x:v>23273</x:v>
      </x:c>
      <x:c r="R484" s="186" t="n">
        <x:f>P484-Q484</x:f>
        <x:v>128080</x:v>
      </x:c>
      <x:c r="S484" s="186" t="n">
        <x:v>66953</x:v>
      </x:c>
      <x:c r="T484" s="186" t="n">
        <x:v>22700</x:v>
      </x:c>
      <x:c r="U484" s="186" t="n">
        <x:f>S484-T484</x:f>
        <x:v>44253</x:v>
      </x:c>
      <x:c r="V484" s="196" t="n">
        <x:f>IFERROR(O484/F484,"")</x:f>
        <x:v>0.17543427510523704</x:v>
      </x:c>
      <x:c r="W484" s="196" t="n">
        <x:f>IFERROR(I484/F484,"")</x:f>
        <x:v>-0.16726163122001433</x:v>
      </x:c>
    </x:row>
    <x:row r="485">
      <x:c r="A485" s="186" t="str">
        <x:v>Silver</x:v>
      </x:c>
      <x:c r="B485" s="187" t="n">
        <x:v>44061</x:v>
      </x:c>
      <x:c r="C485" s="187" t="n">
        <x:v>44064</x:v>
      </x:c>
      <x:c r="D485" s="186" t="str">
        <x:v>084691-SILVER</x:v>
      </x:c>
      <x:c r="E485" s="186" t="str">
        <x:v>SILVER - COMMODITY EXCHANGE INC.</x:v>
      </x:c>
      <x:c r="F485" s="186" t="n">
        <x:v>194897</x:v>
      </x:c>
      <x:c r="G485" s="186" t="n">
        <x:v>9506</x:v>
      </x:c>
      <x:c r="H485" s="186" t="n">
        <x:v>53404</x:v>
      </x:c>
      <x:c r="I485" s="186" t="n">
        <x:f>G485-H485</x:f>
        <x:v>-43898</x:v>
      </x:c>
      <x:c r="J485" s="186" t="n">
        <x:v>45936</x:v>
      </x:c>
      <x:c r="K485" s="186" t="n">
        <x:v>46166</x:v>
      </x:c>
      <x:c r="L485" s="186" t="n">
        <x:f>J485-K485</x:f>
        <x:v>-230</x:v>
      </x:c>
      <x:c r="M485" s="186" t="n">
        <x:v>58680</x:v>
      </x:c>
      <x:c r="N485" s="186" t="n">
        <x:v>26423</x:v>
      </x:c>
      <x:c r="O485" s="186" t="n">
        <x:f>M485-N485</x:f>
        <x:v>32257</x:v>
      </x:c>
      <x:c r="P485" s="186" t="n">
        <x:v>12603</x:v>
      </x:c>
      <x:c r="Q485" s="186" t="n">
        <x:v>18304</x:v>
      </x:c>
      <x:c r="R485" s="186" t="n">
        <x:f>P485-Q485</x:f>
        <x:v>-5701</x:v>
      </x:c>
      <x:c r="S485" s="186" t="n">
        <x:v>30101</x:v>
      </x:c>
      <x:c r="T485" s="186" t="n">
        <x:v>12529</x:v>
      </x:c>
      <x:c r="U485" s="186" t="n">
        <x:f>S485-T485</x:f>
        <x:v>17572</x:v>
      </x:c>
      <x:c r="V485" s="196" t="n">
        <x:f>IFERROR(O485/F485,"")</x:f>
        <x:v>0.1655079349605176</x:v>
      </x:c>
      <x:c r="W485" s="196" t="n">
        <x:f>IFERROR(I485/F485,"")</x:f>
        <x:v>-0.22523692001416132</x:v>
      </x:c>
    </x:row>
    <x:row r="486">
      <x:c r="A486" s="186" t="str">
        <x:v>Gold</x:v>
      </x:c>
      <x:c r="B486" s="187" t="n">
        <x:v>44068</x:v>
      </x:c>
      <x:c r="C486" s="187" t="n">
        <x:v>44071</x:v>
      </x:c>
      <x:c r="D486" s="186" t="str">
        <x:v>088691-GOLD</x:v>
      </x:c>
      <x:c r="E486" s="186" t="str">
        <x:v>GOLD - COMMODITY EXCHANGE INC.</x:v>
      </x:c>
      <x:c r="F486" s="186" t="n">
        <x:v>549282</x:v>
      </x:c>
      <x:c r="G486" s="186" t="n">
        <x:v>21545</x:v>
      </x:c>
      <x:c r="H486" s="186" t="n">
        <x:v>114604</x:v>
      </x:c>
      <x:c r="I486" s="186" t="n">
        <x:f>G486-H486</x:f>
        <x:v>-93059</x:v>
      </x:c>
      <x:c r="J486" s="186" t="n">
        <x:v>83785</x:v>
      </x:c>
      <x:c r="K486" s="186" t="n">
        <x:v>257171</x:v>
      </x:c>
      <x:c r="L486" s="186" t="n">
        <x:f>J486-K486</x:f>
        <x:v>-173386</x:v>
      </x:c>
      <x:c r="M486" s="186" t="n">
        <x:v>145055</x:v>
      </x:c>
      <x:c r="N486" s="186" t="n">
        <x:v>58206</x:v>
      </x:c>
      <x:c r="O486" s="186" t="n">
        <x:f>M486-N486</x:f>
        <x:v>86849</x:v>
      </x:c>
      <x:c r="P486" s="186" t="n">
        <x:v>156504</x:v>
      </x:c>
      <x:c r="Q486" s="186" t="n">
        <x:v>22315</x:v>
      </x:c>
      <x:c r="R486" s="186" t="n">
        <x:f>P486-Q486</x:f>
        <x:v>134189</x:v>
      </x:c>
      <x:c r="S486" s="186" t="n">
        <x:v>66385</x:v>
      </x:c>
      <x:c r="T486" s="186" t="n">
        <x:v>20978</x:v>
      </x:c>
      <x:c r="U486" s="186" t="n">
        <x:f>S486-T486</x:f>
        <x:v>45407</x:v>
      </x:c>
      <x:c r="V486" s="196" t="n">
        <x:f>IFERROR(O486/F486,"")</x:f>
        <x:v>0.15811368295338277</x:v>
      </x:c>
      <x:c r="W486" s="196" t="n">
        <x:f>IFERROR(I486/F486,"")</x:f>
        <x:v>-0.16941935108013734</x:v>
      </x:c>
    </x:row>
    <x:row r="487">
      <x:c r="A487" s="186" t="str">
        <x:v>Silver</x:v>
      </x:c>
      <x:c r="B487" s="187" t="n">
        <x:v>44068</x:v>
      </x:c>
      <x:c r="C487" s="187" t="n">
        <x:v>44071</x:v>
      </x:c>
      <x:c r="D487" s="186" t="str">
        <x:v>084691-SILVER</x:v>
      </x:c>
      <x:c r="E487" s="186" t="str">
        <x:v>SILVER - COMMODITY EXCHANGE INC.</x:v>
      </x:c>
      <x:c r="F487" s="186" t="n">
        <x:v>187631</x:v>
      </x:c>
      <x:c r="G487" s="186" t="n">
        <x:v>8029</x:v>
      </x:c>
      <x:c r="H487" s="186" t="n">
        <x:v>55058</x:v>
      </x:c>
      <x:c r="I487" s="186" t="n">
        <x:f>G487-H487</x:f>
        <x:v>-47029</x:v>
      </x:c>
      <x:c r="J487" s="186" t="n">
        <x:v>42682</x:v>
      </x:c>
      <x:c r="K487" s="186" t="n">
        <x:v>43435</x:v>
      </x:c>
      <x:c r="L487" s="186" t="n">
        <x:f>J487-K487</x:f>
        <x:v>-753</x:v>
      </x:c>
      <x:c r="M487" s="186" t="n">
        <x:v>61800</x:v>
      </x:c>
      <x:c r="N487" s="186" t="n">
        <x:v>23720</x:v>
      </x:c>
      <x:c r="O487" s="186" t="n">
        <x:f>M487-N487</x:f>
        <x:v>38080</x:v>
      </x:c>
      <x:c r="P487" s="186" t="n">
        <x:v>12511</x:v>
      </x:c>
      <x:c r="Q487" s="186" t="n">
        <x:v>19254</x:v>
      </x:c>
      <x:c r="R487" s="186" t="n">
        <x:f>P487-Q487</x:f>
        <x:v>-6743</x:v>
      </x:c>
      <x:c r="S487" s="186" t="n">
        <x:v>28165</x:v>
      </x:c>
      <x:c r="T487" s="186" t="n">
        <x:v>11720</x:v>
      </x:c>
      <x:c r="U487" s="186" t="n">
        <x:f>S487-T487</x:f>
        <x:v>16445</x:v>
      </x:c>
      <x:c r="V487" s="196" t="n">
        <x:f>IFERROR(O487/F487,"")</x:f>
        <x:v>0.2029515378588826</x:v>
      </x:c>
      <x:c r="W487" s="196" t="n">
        <x:f>IFERROR(I487/F487,"")</x:f>
        <x:v>-0.25064621517766256</x:v>
      </x:c>
    </x:row>
    <x:row r="488">
      <x:c r="A488" s="186" t="str">
        <x:v>Gold</x:v>
      </x:c>
      <x:c r="B488" s="187" t="n">
        <x:v>44075</x:v>
      </x:c>
      <x:c r="C488" s="187" t="n">
        <x:v>44078</x:v>
      </x:c>
      <x:c r="D488" s="186" t="str">
        <x:v>088691-GOLD</x:v>
      </x:c>
      <x:c r="E488" s="186" t="str">
        <x:v>GOLD - COMMODITY EXCHANGE INC.</x:v>
      </x:c>
      <x:c r="F488" s="186" t="n">
        <x:v>547704</x:v>
      </x:c>
      <x:c r="G488" s="186" t="n">
        <x:v>17887</x:v>
      </x:c>
      <x:c r="H488" s="186" t="n">
        <x:v>115747</x:v>
      </x:c>
      <x:c r="I488" s="186" t="n">
        <x:f>G488-H488</x:f>
        <x:v>-97860</x:v>
      </x:c>
      <x:c r="J488" s="186" t="n">
        <x:v>80332</x:v>
      </x:c>
      <x:c r="K488" s="186" t="n">
        <x:v>259878</x:v>
      </x:c>
      <x:c r="L488" s="186" t="n">
        <x:f>J488-K488</x:f>
        <x:v>-179546</x:v>
      </x:c>
      <x:c r="M488" s="186" t="n">
        <x:v>147175</x:v>
      </x:c>
      <x:c r="N488" s="186" t="n">
        <x:v>49433</x:v>
      </x:c>
      <x:c r="O488" s="186" t="n">
        <x:f>M488-N488</x:f>
        <x:v>97742</x:v>
      </x:c>
      <x:c r="P488" s="186" t="n">
        <x:v>158943</x:v>
      </x:c>
      <x:c r="Q488" s="186" t="n">
        <x:v>25889</x:v>
      </x:c>
      <x:c r="R488" s="186" t="n">
        <x:f>P488-Q488</x:f>
        <x:v>133054</x:v>
      </x:c>
      <x:c r="S488" s="186" t="n">
        <x:v>69351</x:v>
      </x:c>
      <x:c r="T488" s="186" t="n">
        <x:v>22741</x:v>
      </x:c>
      <x:c r="U488" s="186" t="n">
        <x:f>S488-T488</x:f>
        <x:v>46610</x:v>
      </x:c>
      <x:c r="V488" s="196" t="n">
        <x:f>IFERROR(O488/F488,"")</x:f>
        <x:v>0.1784577070826578</x:v>
      </x:c>
      <x:c r="W488" s="196" t="n">
        <x:f>IFERROR(I488/F488,"")</x:f>
        <x:v>-0.17867315192147584</x:v>
      </x:c>
    </x:row>
    <x:row r="489">
      <x:c r="A489" s="186" t="str">
        <x:v>Silver</x:v>
      </x:c>
      <x:c r="B489" s="187" t="n">
        <x:v>44075</x:v>
      </x:c>
      <x:c r="C489" s="187" t="n">
        <x:v>44078</x:v>
      </x:c>
      <x:c r="D489" s="186" t="str">
        <x:v>084691-SILVER</x:v>
      </x:c>
      <x:c r="E489" s="186" t="str">
        <x:v>SILVER - COMMODITY EXCHANGE INC.</x:v>
      </x:c>
      <x:c r="F489" s="186" t="n">
        <x:v>166449</x:v>
      </x:c>
      <x:c r="G489" s="186" t="n">
        <x:v>8353</x:v>
      </x:c>
      <x:c r="H489" s="186" t="n">
        <x:v>58087</x:v>
      </x:c>
      <x:c r="I489" s="186" t="n">
        <x:f>G489-H489</x:f>
        <x:v>-49734</x:v>
      </x:c>
      <x:c r="J489" s="186" t="n">
        <x:v>43568</x:v>
      </x:c>
      <x:c r="K489" s="186" t="n">
        <x:v>45618</x:v>
      </x:c>
      <x:c r="L489" s="186" t="n">
        <x:f>J489-K489</x:f>
        <x:v>-2050</x:v>
      </x:c>
      <x:c r="M489" s="186" t="n">
        <x:v>61853</x:v>
      </x:c>
      <x:c r="N489" s="186" t="n">
        <x:v>24266</x:v>
      </x:c>
      <x:c r="O489" s="186" t="n">
        <x:f>M489-N489</x:f>
        <x:v>37587</x:v>
      </x:c>
      <x:c r="P489" s="186" t="n">
        <x:v>14493</x:v>
      </x:c>
      <x:c r="Q489" s="186" t="n">
        <x:v>18608</x:v>
      </x:c>
      <x:c r="R489" s="186" t="n">
        <x:f>P489-Q489</x:f>
        <x:v>-4115</x:v>
      </x:c>
      <x:c r="S489" s="186" t="n">
        <x:v>29447</x:v>
      </x:c>
      <x:c r="T489" s="186" t="n">
        <x:v>11135</x:v>
      </x:c>
      <x:c r="U489" s="186" t="n">
        <x:f>S489-T489</x:f>
        <x:v>18312</x:v>
      </x:c>
      <x:c r="V489" s="196" t="n">
        <x:f>IFERROR(O489/F489,"")</x:f>
        <x:v>0.22581691689346287</x:v>
      </x:c>
      <x:c r="W489" s="196" t="n">
        <x:f>IFERROR(I489/F489,"")</x:f>
        <x:v>-0.2987942252581872</x:v>
      </x:c>
    </x:row>
    <x:row r="490">
      <x:c r="A490" s="186" t="str">
        <x:v>Gold</x:v>
      </x:c>
      <x:c r="B490" s="187" t="n">
        <x:v>44082</x:v>
      </x:c>
      <x:c r="C490" s="187" t="n">
        <x:v>44085</x:v>
      </x:c>
      <x:c r="D490" s="186" t="str">
        <x:v>088691-GOLD</x:v>
      </x:c>
      <x:c r="E490" s="186" t="str">
        <x:v>GOLD - COMMODITY EXCHANGE INC.</x:v>
      </x:c>
      <x:c r="F490" s="186" t="n">
        <x:v>557457</x:v>
      </x:c>
      <x:c r="G490" s="186" t="n">
        <x:v>17766</x:v>
      </x:c>
      <x:c r="H490" s="186" t="n">
        <x:v>118943</x:v>
      </x:c>
      <x:c r="I490" s="186" t="n">
        <x:f>G490-H490</x:f>
        <x:v>-101177</x:v>
      </x:c>
      <x:c r="J490" s="186" t="n">
        <x:v>79781</x:v>
      </x:c>
      <x:c r="K490" s="186" t="n">
        <x:v>259644</x:v>
      </x:c>
      <x:c r="L490" s="186" t="n">
        <x:f>J490-K490</x:f>
        <x:v>-179863</x:v>
      </x:c>
      <x:c r="M490" s="186" t="n">
        <x:v>155528</x:v>
      </x:c>
      <x:c r="N490" s="186" t="n">
        <x:v>51236</x:v>
      </x:c>
      <x:c r="O490" s="186" t="n">
        <x:f>M490-N490</x:f>
        <x:v>104292</x:v>
      </x:c>
      <x:c r="P490" s="186" t="n">
        <x:v>157645</x:v>
      </x:c>
      <x:c r="Q490" s="186" t="n">
        <x:v>25464</x:v>
      </x:c>
      <x:c r="R490" s="186" t="n">
        <x:f>P490-Q490</x:f>
        <x:v>132181</x:v>
      </x:c>
      <x:c r="S490" s="186" t="n">
        <x:v>67285</x:v>
      </x:c>
      <x:c r="T490" s="186" t="n">
        <x:v>22718</x:v>
      </x:c>
      <x:c r="U490" s="186" t="n">
        <x:f>S490-T490</x:f>
        <x:v>44567</x:v>
      </x:c>
      <x:c r="V490" s="196" t="n">
        <x:f>IFERROR(O490/F490,"")</x:f>
        <x:v>0.18708528191412074</x:v>
      </x:c>
      <x:c r="W490" s="196" t="n">
        <x:f>IFERROR(I490/F490,"")</x:f>
        <x:v>-0.18149740697488775</x:v>
      </x:c>
    </x:row>
    <x:row r="491">
      <x:c r="A491" s="186" t="str">
        <x:v>Silver</x:v>
      </x:c>
      <x:c r="B491" s="187" t="n">
        <x:v>44082</x:v>
      </x:c>
      <x:c r="C491" s="187" t="n">
        <x:v>44085</x:v>
      </x:c>
      <x:c r="D491" s="186" t="str">
        <x:v>084691-SILVER</x:v>
      </x:c>
      <x:c r="E491" s="186" t="str">
        <x:v>SILVER - COMMODITY EXCHANGE INC.</x:v>
      </x:c>
      <x:c r="F491" s="186" t="n">
        <x:v>158991</x:v>
      </x:c>
      <x:c r="G491" s="186" t="n">
        <x:v>8516</x:v>
      </x:c>
      <x:c r="H491" s="186" t="n">
        <x:v>56513</x:v>
      </x:c>
      <x:c r="I491" s="186" t="n">
        <x:f>G491-H491</x:f>
        <x:v>-47997</x:v>
      </x:c>
      <x:c r="J491" s="186" t="n">
        <x:v>42884</x:v>
      </x:c>
      <x:c r="K491" s="186" t="n">
        <x:v>44006</x:v>
      </x:c>
      <x:c r="L491" s="186" t="n">
        <x:f>J491-K491</x:f>
        <x:v>-1122</x:v>
      </x:c>
      <x:c r="M491" s="186" t="n">
        <x:v>59951</x:v>
      </x:c>
      <x:c r="N491" s="186" t="n">
        <x:v>24127</x:v>
      </x:c>
      <x:c r="O491" s="186" t="n">
        <x:f>M491-N491</x:f>
        <x:v>35824</x:v>
      </x:c>
      <x:c r="P491" s="186" t="n">
        <x:v>13068</x:v>
      </x:c>
      <x:c r="Q491" s="186" t="n">
        <x:v>15412</x:v>
      </x:c>
      <x:c r="R491" s="186" t="n">
        <x:f>P491-Q491</x:f>
        <x:v>-2344</x:v>
      </x:c>
      <x:c r="S491" s="186" t="n">
        <x:v>26467</x:v>
      </x:c>
      <x:c r="T491" s="186" t="n">
        <x:v>10828</x:v>
      </x:c>
      <x:c r="U491" s="186" t="n">
        <x:f>S491-T491</x:f>
        <x:v>15639</x:v>
      </x:c>
      <x:c r="V491" s="196" t="n">
        <x:f>IFERROR(O491/F491,"")</x:f>
        <x:v>0.22532093011554113</x:v>
      </x:c>
      <x:c r="W491" s="196" t="n">
        <x:f>IFERROR(I491/F491,"")</x:f>
        <x:v>-0.30188501235919013</x:v>
      </x:c>
    </x:row>
    <x:row r="492">
      <x:c r="A492" s="186" t="str">
        <x:v>Gold</x:v>
      </x:c>
      <x:c r="B492" s="187" t="n">
        <x:v>44089</x:v>
      </x:c>
      <x:c r="C492" s="187" t="n">
        <x:v>44092</x:v>
      </x:c>
      <x:c r="D492" s="186" t="str">
        <x:v>088691-GOLD</x:v>
      </x:c>
      <x:c r="E492" s="186" t="str">
        <x:v>GOLD - COMMODITY EXCHANGE INC.</x:v>
      </x:c>
      <x:c r="F492" s="186" t="n">
        <x:v>578925</x:v>
      </x:c>
      <x:c r="G492" s="186" t="n">
        <x:v>19681</x:v>
      </x:c>
      <x:c r="H492" s="186" t="n">
        <x:v>121622</x:v>
      </x:c>
      <x:c r="I492" s="186" t="n">
        <x:f>G492-H492</x:f>
        <x:v>-101941</x:v>
      </x:c>
      <x:c r="J492" s="186" t="n">
        <x:v>81024</x:v>
      </x:c>
      <x:c r="K492" s="186" t="n">
        <x:v>264269</x:v>
      </x:c>
      <x:c r="L492" s="186" t="n">
        <x:f>J492-K492</x:f>
        <x:v>-183245</x:v>
      </x:c>
      <x:c r="M492" s="186" t="n">
        <x:v>166571</x:v>
      </x:c>
      <x:c r="N492" s="186" t="n">
        <x:v>55473</x:v>
      </x:c>
      <x:c r="O492" s="186" t="n">
        <x:f>M492-N492</x:f>
        <x:v>111098</x:v>
      </x:c>
      <x:c r="P492" s="186" t="n">
        <x:v>157941</x:v>
      </x:c>
      <x:c r="Q492" s="186" t="n">
        <x:v>28062</x:v>
      </x:c>
      <x:c r="R492" s="186" t="n">
        <x:f>P492-Q492</x:f>
        <x:v>129879</x:v>
      </x:c>
      <x:c r="S492" s="186" t="n">
        <x:v>68537</x:v>
      </x:c>
      <x:c r="T492" s="186" t="n">
        <x:v>24328</x:v>
      </x:c>
      <x:c r="U492" s="186" t="n">
        <x:f>S492-T492</x:f>
        <x:v>44209</x:v>
      </x:c>
      <x:c r="V492" s="196" t="n">
        <x:f>IFERROR(O492/F492,"")</x:f>
        <x:v>0.1919039599257244</x:v>
      </x:c>
      <x:c r="W492" s="196" t="n">
        <x:f>IFERROR(I492/F492,"")</x:f>
        <x:v>-0.1760867124411625</x:v>
      </x:c>
    </x:row>
    <x:row r="493">
      <x:c r="A493" s="186" t="str">
        <x:v>Silver</x:v>
      </x:c>
      <x:c r="B493" s="187" t="n">
        <x:v>44089</x:v>
      </x:c>
      <x:c r="C493" s="187" t="n">
        <x:v>44092</x:v>
      </x:c>
      <x:c r="D493" s="186" t="str">
        <x:v>084691-SILVER</x:v>
      </x:c>
      <x:c r="E493" s="186" t="str">
        <x:v>SILVER - COMMODITY EXCHANGE INC.</x:v>
      </x:c>
      <x:c r="F493" s="186" t="n">
        <x:v>162397</x:v>
      </x:c>
      <x:c r="G493" s="186" t="n">
        <x:v>7659</x:v>
      </x:c>
      <x:c r="H493" s="186" t="n">
        <x:v>59226</x:v>
      </x:c>
      <x:c r="I493" s="186" t="n">
        <x:f>G493-H493</x:f>
        <x:v>-51567</x:v>
      </x:c>
      <x:c r="J493" s="186" t="n">
        <x:v>41255</x:v>
      </x:c>
      <x:c r="K493" s="186" t="n">
        <x:v>45695</x:v>
      </x:c>
      <x:c r="L493" s="186" t="n">
        <x:f>J493-K493</x:f>
        <x:v>-4440</x:v>
      </x:c>
      <x:c r="M493" s="186" t="n">
        <x:v>63247</x:v>
      </x:c>
      <x:c r="N493" s="186" t="n">
        <x:v>23982</x:v>
      </x:c>
      <x:c r="O493" s="186" t="n">
        <x:f>M493-N493</x:f>
        <x:v>39265</x:v>
      </x:c>
      <x:c r="P493" s="186" t="n">
        <x:v>13757</x:v>
      </x:c>
      <x:c r="Q493" s="186" t="n">
        <x:v>14673</x:v>
      </x:c>
      <x:c r="R493" s="186" t="n">
        <x:f>P493-Q493</x:f>
        <x:v>-916</x:v>
      </x:c>
      <x:c r="S493" s="186" t="n">
        <x:v>27716</x:v>
      </x:c>
      <x:c r="T493" s="186" t="n">
        <x:v>10058</x:v>
      </x:c>
      <x:c r="U493" s="186" t="n">
        <x:f>S493-T493</x:f>
        <x:v>17658</x:v>
      </x:c>
      <x:c r="V493" s="196" t="n">
        <x:f>IFERROR(O493/F493,"")</x:f>
        <x:v>0.24178402310387506</x:v>
      </x:c>
      <x:c r="W493" s="196" t="n">
        <x:f>IFERROR(I493/F493,"")</x:f>
        <x:v>-0.3175366540022291</x:v>
      </x:c>
    </x:row>
    <x:row r="494">
      <x:c r="A494" s="186" t="str">
        <x:v>Gold</x:v>
      </x:c>
      <x:c r="B494" s="187" t="n">
        <x:v>44096</x:v>
      </x:c>
      <x:c r="C494" s="187" t="n">
        <x:v>44099</x:v>
      </x:c>
      <x:c r="D494" s="186" t="str">
        <x:v>088691-GOLD</x:v>
      </x:c>
      <x:c r="E494" s="186" t="str">
        <x:v>GOLD - COMMODITY EXCHANGE INC.</x:v>
      </x:c>
      <x:c r="F494" s="186" t="n">
        <x:v>575877</x:v>
      </x:c>
      <x:c r="G494" s="186" t="n">
        <x:v>20734</x:v>
      </x:c>
      <x:c r="H494" s="186" t="n">
        <x:v>113771</x:v>
      </x:c>
      <x:c r="I494" s="186" t="n">
        <x:f>G494-H494</x:f>
        <x:v>-93037</x:v>
      </x:c>
      <x:c r="J494" s="186" t="n">
        <x:v>83669</x:v>
      </x:c>
      <x:c r="K494" s="186" t="n">
        <x:v>257040</x:v>
      </x:c>
      <x:c r="L494" s="186" t="n">
        <x:f>J494-K494</x:f>
        <x:v>-173371</x:v>
      </x:c>
      <x:c r="M494" s="186" t="n">
        <x:v>144670</x:v>
      </x:c>
      <x:c r="N494" s="186" t="n">
        <x:v>63222</x:v>
      </x:c>
      <x:c r="O494" s="186" t="n">
        <x:f>M494-N494</x:f>
        <x:v>81448</x:v>
      </x:c>
      <x:c r="P494" s="186" t="n">
        <x:v>164345</x:v>
      </x:c>
      <x:c r="Q494" s="186" t="n">
        <x:v>26733</x:v>
      </x:c>
      <x:c r="R494" s="186" t="n">
        <x:f>P494-Q494</x:f>
        <x:v>137612</x:v>
      </x:c>
      <x:c r="S494" s="186" t="n">
        <x:v>69670</x:v>
      </x:c>
      <x:c r="T494" s="186" t="n">
        <x:v>22322</x:v>
      </x:c>
      <x:c r="U494" s="186" t="n">
        <x:f>S494-T494</x:f>
        <x:v>47348</x:v>
      </x:c>
      <x:c r="V494" s="196" t="n">
        <x:f>IFERROR(O494/F494,"")</x:f>
        <x:v>0.14143297961196574</x:v>
      </x:c>
      <x:c r="W494" s="196" t="n">
        <x:f>IFERROR(I494/F494,"")</x:f>
        <x:v>-0.16155706861013724</x:v>
      </x:c>
    </x:row>
    <x:row r="495">
      <x:c r="A495" s="186" t="str">
        <x:v>Silver</x:v>
      </x:c>
      <x:c r="B495" s="187" t="n">
        <x:v>44096</x:v>
      </x:c>
      <x:c r="C495" s="187" t="n">
        <x:v>44099</x:v>
      </x:c>
      <x:c r="D495" s="186" t="str">
        <x:v>084691-SILVER</x:v>
      </x:c>
      <x:c r="E495" s="186" t="str">
        <x:v>SILVER - COMMODITY EXCHANGE INC.</x:v>
      </x:c>
      <x:c r="F495" s="186" t="n">
        <x:v>157908</x:v>
      </x:c>
      <x:c r="G495" s="186" t="n">
        <x:v>8393</x:v>
      </x:c>
      <x:c r="H495" s="186" t="n">
        <x:v>56327</x:v>
      </x:c>
      <x:c r="I495" s="186" t="n">
        <x:f>G495-H495</x:f>
        <x:v>-47934</x:v>
      </x:c>
      <x:c r="J495" s="186" t="n">
        <x:v>39447</x:v>
      </x:c>
      <x:c r="K495" s="186" t="n">
        <x:v>44747</x:v>
      </x:c>
      <x:c r="L495" s="186" t="n">
        <x:f>J495-K495</x:f>
        <x:v>-5300</x:v>
      </x:c>
      <x:c r="M495" s="186" t="n">
        <x:v>61547</x:v>
      </x:c>
      <x:c r="N495" s="186" t="n">
        <x:v>25052</x:v>
      </x:c>
      <x:c r="O495" s="186" t="n">
        <x:f>M495-N495</x:f>
        <x:v>36495</x:v>
      </x:c>
      <x:c r="P495" s="186" t="n">
        <x:v>13462</x:v>
      </x:c>
      <x:c r="Q495" s="186" t="n">
        <x:v>11010</x:v>
      </x:c>
      <x:c r="R495" s="186" t="n">
        <x:f>P495-Q495</x:f>
        <x:v>2452</x:v>
      </x:c>
      <x:c r="S495" s="186" t="n">
        <x:v>25552</x:v>
      </x:c>
      <x:c r="T495" s="186" t="n">
        <x:v>11265</x:v>
      </x:c>
      <x:c r="U495" s="186" t="n">
        <x:f>S495-T495</x:f>
        <x:v>14287</x:v>
      </x:c>
      <x:c r="V495" s="196" t="n">
        <x:f>IFERROR(O495/F495,"")</x:f>
        <x:v>0.23111558629075157</x:v>
      </x:c>
      <x:c r="W495" s="196" t="n">
        <x:f>IFERROR(I495/F495,"")</x:f>
        <x:v>-0.30355650125389466</x:v>
      </x:c>
    </x:row>
    <x:row r="496">
      <x:c r="A496" s="186" t="str">
        <x:v>Gold</x:v>
      </x:c>
      <x:c r="B496" s="187" t="n">
        <x:v>44103</x:v>
      </x:c>
      <x:c r="C496" s="187" t="n">
        <x:v>44106</x:v>
      </x:c>
      <x:c r="D496" s="186" t="str">
        <x:v>088691-GOLD</x:v>
      </x:c>
      <x:c r="E496" s="186" t="str">
        <x:v>GOLD - COMMODITY EXCHANGE INC.</x:v>
      </x:c>
      <x:c r="F496" s="186" t="n">
        <x:v>562396</x:v>
      </x:c>
      <x:c r="G496" s="186" t="n">
        <x:v>18095</x:v>
      </x:c>
      <x:c r="H496" s="186" t="n">
        <x:v>114937</x:v>
      </x:c>
      <x:c r="I496" s="186" t="n">
        <x:f>G496-H496</x:f>
        <x:v>-96842</x:v>
      </x:c>
      <x:c r="J496" s="186" t="n">
        <x:v>80681</x:v>
      </x:c>
      <x:c r="K496" s="186" t="n">
        <x:v>270017</x:v>
      </x:c>
      <x:c r="L496" s="186" t="n">
        <x:f>J496-K496</x:f>
        <x:v>-189336</x:v>
      </x:c>
      <x:c r="M496" s="186" t="n">
        <x:v>140320</x:v>
      </x:c>
      <x:c r="N496" s="186" t="n">
        <x:v>45948</x:v>
      </x:c>
      <x:c r="O496" s="186" t="n">
        <x:f>M496-N496</x:f>
        <x:v>94372</x:v>
      </x:c>
      <x:c r="P496" s="186" t="n">
        <x:v>175786</x:v>
      </x:c>
      <x:c r="Q496" s="186" t="n">
        <x:v>26499</x:v>
      </x:c>
      <x:c r="R496" s="186" t="n">
        <x:f>P496-Q496</x:f>
        <x:v>149287</x:v>
      </x:c>
      <x:c r="S496" s="186" t="n">
        <x:v>64556</x:v>
      </x:c>
      <x:c r="T496" s="186" t="n">
        <x:v>22037</x:v>
      </x:c>
      <x:c r="U496" s="186" t="n">
        <x:f>S496-T496</x:f>
        <x:v>42519</x:v>
      </x:c>
      <x:c r="V496" s="196" t="n">
        <x:f>IFERROR(O496/F496,"")</x:f>
        <x:v>0.16780346944146118</x:v>
      </x:c>
      <x:c r="W496" s="196" t="n">
        <x:f>IFERROR(I496/F496,"")</x:f>
        <x:v>-0.17219539257035968</x:v>
      </x:c>
    </x:row>
    <x:row r="497">
      <x:c r="A497" s="186" t="str">
        <x:v>Silver</x:v>
      </x:c>
      <x:c r="B497" s="187" t="n">
        <x:v>44103</x:v>
      </x:c>
      <x:c r="C497" s="187" t="n">
        <x:v>44106</x:v>
      </x:c>
      <x:c r="D497" s="186" t="str">
        <x:v>084691-SILVER</x:v>
      </x:c>
      <x:c r="E497" s="186" t="str">
        <x:v>SILVER - COMMODITY EXCHANGE INC.</x:v>
      </x:c>
      <x:c r="F497" s="186" t="n">
        <x:v>157308</x:v>
      </x:c>
      <x:c r="G497" s="186" t="n">
        <x:v>7752</x:v>
      </x:c>
      <x:c r="H497" s="186" t="n">
        <x:v>57302</x:v>
      </x:c>
      <x:c r="I497" s="186" t="n">
        <x:f>G497-H497</x:f>
        <x:v>-49550</x:v>
      </x:c>
      <x:c r="J497" s="186" t="n">
        <x:v>40587</x:v>
      </x:c>
      <x:c r="K497" s="186" t="n">
        <x:v>44236</x:v>
      </x:c>
      <x:c r="L497" s="186" t="n">
        <x:f>J497-K497</x:f>
        <x:v>-3649</x:v>
      </x:c>
      <x:c r="M497" s="186" t="n">
        <x:v>59160</x:v>
      </x:c>
      <x:c r="N497" s="186" t="n">
        <x:v>23489</x:v>
      </x:c>
      <x:c r="O497" s="186" t="n">
        <x:f>M497-N497</x:f>
        <x:v>35671</x:v>
      </x:c>
      <x:c r="P497" s="186" t="n">
        <x:v>15471</x:v>
      </x:c>
      <x:c r="Q497" s="186" t="n">
        <x:v>10412</x:v>
      </x:c>
      <x:c r="R497" s="186" t="n">
        <x:f>P497-Q497</x:f>
        <x:v>5059</x:v>
      </x:c>
      <x:c r="S497" s="186" t="n">
        <x:v>25068</x:v>
      </x:c>
      <x:c r="T497" s="186" t="n">
        <x:v>12599</x:v>
      </x:c>
      <x:c r="U497" s="186" t="n">
        <x:f>S497-T497</x:f>
        <x:v>12469</x:v>
      </x:c>
      <x:c r="V497" s="196" t="n">
        <x:f>IFERROR(O497/F497,"")</x:f>
        <x:v>0.226758969664607</x:v>
      </x:c>
      <x:c r="W497" s="196" t="n">
        <x:f>IFERROR(I497/F497,"")</x:f>
        <x:v>-0.31498715894932233</x:v>
      </x:c>
    </x:row>
    <x:row r="498">
      <x:c r="A498" s="186" t="str">
        <x:v>Gold</x:v>
      </x:c>
      <x:c r="B498" s="187" t="n">
        <x:v>44110</x:v>
      </x:c>
      <x:c r="C498" s="187" t="n">
        <x:v>44113</x:v>
      </x:c>
      <x:c r="D498" s="186" t="str">
        <x:v>088691-GOLD</x:v>
      </x:c>
      <x:c r="E498" s="186" t="str">
        <x:v>GOLD - COMMODITY EXCHANGE INC.</x:v>
      </x:c>
      <x:c r="F498" s="186" t="n">
        <x:v>555555</x:v>
      </x:c>
      <x:c r="G498" s="186" t="n">
        <x:v>17090</x:v>
      </x:c>
      <x:c r="H498" s="186" t="n">
        <x:v>114476</x:v>
      </x:c>
      <x:c r="I498" s="186" t="n">
        <x:f>G498-H498</x:f>
        <x:v>-97386</x:v>
      </x:c>
      <x:c r="J498" s="186" t="n">
        <x:v>80604</x:v>
      </x:c>
      <x:c r="K498" s="186" t="n">
        <x:v>271686</x:v>
      </x:c>
      <x:c r="L498" s="186" t="n">
        <x:f>J498-K498</x:f>
        <x:v>-191082</x:v>
      </x:c>
      <x:c r="M498" s="186" t="n">
        <x:v>139350</x:v>
      </x:c>
      <x:c r="N498" s="186" t="n">
        <x:v>44738</x:v>
      </x:c>
      <x:c r="O498" s="186" t="n">
        <x:f>M498-N498</x:f>
        <x:v>94612</x:v>
      </x:c>
      <x:c r="P498" s="186" t="n">
        <x:v>181572</x:v>
      </x:c>
      <x:c r="Q498" s="186" t="n">
        <x:v>27597</x:v>
      </x:c>
      <x:c r="R498" s="186" t="n">
        <x:f>P498-Q498</x:f>
        <x:v>153975</x:v>
      </x:c>
      <x:c r="S498" s="186" t="n">
        <x:v>66522</x:v>
      </x:c>
      <x:c r="T498" s="186" t="n">
        <x:v>26641</x:v>
      </x:c>
      <x:c r="U498" s="186" t="n">
        <x:f>S498-T498</x:f>
        <x:v>39881</x:v>
      </x:c>
      <x:c r="V498" s="196" t="n">
        <x:f>IFERROR(O498/F498,"")</x:f>
        <x:v>0.1703017703017703</x:v>
      </x:c>
      <x:c r="W498" s="196" t="n">
        <x:f>IFERROR(I498/F498,"")</x:f>
        <x:v>-0.17529497529497529</x:v>
      </x:c>
    </x:row>
    <x:row r="499">
      <x:c r="A499" s="186" t="str">
        <x:v>Silver</x:v>
      </x:c>
      <x:c r="B499" s="187" t="n">
        <x:v>44110</x:v>
      </x:c>
      <x:c r="C499" s="187" t="n">
        <x:v>44113</x:v>
      </x:c>
      <x:c r="D499" s="186" t="str">
        <x:v>084691-SILVER</x:v>
      </x:c>
      <x:c r="E499" s="186" t="str">
        <x:v>SILVER - COMMODITY EXCHANGE INC.</x:v>
      </x:c>
      <x:c r="F499" s="186" t="n">
        <x:v>155484</x:v>
      </x:c>
      <x:c r="G499" s="186" t="n">
        <x:v>8468</x:v>
      </x:c>
      <x:c r="H499" s="186" t="n">
        <x:v>57293</x:v>
      </x:c>
      <x:c r="I499" s="186" t="n">
        <x:f>G499-H499</x:f>
        <x:v>-48825</x:v>
      </x:c>
      <x:c r="J499" s="186" t="n">
        <x:v>38732</x:v>
      </x:c>
      <x:c r="K499" s="186" t="n">
        <x:v>46103</x:v>
      </x:c>
      <x:c r="L499" s="186" t="n">
        <x:f>J499-K499</x:f>
        <x:v>-7371</x:v>
      </x:c>
      <x:c r="M499" s="186" t="n">
        <x:v>59688</x:v>
      </x:c>
      <x:c r="N499" s="186" t="n">
        <x:v>24420</x:v>
      </x:c>
      <x:c r="O499" s="186" t="n">
        <x:f>M499-N499</x:f>
        <x:v>35268</x:v>
      </x:c>
      <x:c r="P499" s="186" t="n">
        <x:v>15670</x:v>
      </x:c>
      <x:c r="Q499" s="186" t="n">
        <x:v>9681</x:v>
      </x:c>
      <x:c r="R499" s="186" t="n">
        <x:f>P499-Q499</x:f>
        <x:v>5989</x:v>
      </x:c>
      <x:c r="S499" s="186" t="n">
        <x:v>25199</x:v>
      </x:c>
      <x:c r="T499" s="186" t="n">
        <x:v>10260</x:v>
      </x:c>
      <x:c r="U499" s="186" t="n">
        <x:f>S499-T499</x:f>
        <x:v>14939</x:v>
      </x:c>
      <x:c r="V499" s="196" t="n">
        <x:f>IFERROR(O499/F499,"")</x:f>
        <x:v>0.22682719765377787</x:v>
      </x:c>
      <x:c r="W499" s="196" t="n">
        <x:f>IFERROR(I499/F499,"")</x:f>
        <x:v>-0.3140194489465154</x:v>
      </x:c>
    </x:row>
    <x:row r="500">
      <x:c r="A500" s="186" t="str">
        <x:v>Gold</x:v>
      </x:c>
      <x:c r="B500" s="187" t="n">
        <x:v>44117</x:v>
      </x:c>
      <x:c r="C500" s="187" t="n">
        <x:v>44120</x:v>
      </x:c>
      <x:c r="D500" s="186" t="str">
        <x:v>088691-GOLD</x:v>
      </x:c>
      <x:c r="E500" s="186" t="str">
        <x:v>GOLD - COMMODITY EXCHANGE INC.</x:v>
      </x:c>
      <x:c r="F500" s="186" t="n">
        <x:v>553197</x:v>
      </x:c>
      <x:c r="G500" s="186" t="n">
        <x:v>15637</x:v>
      </x:c>
      <x:c r="H500" s="186" t="n">
        <x:v>116151</x:v>
      </x:c>
      <x:c r="I500" s="186" t="n">
        <x:f>G500-H500</x:f>
        <x:v>-100514</x:v>
      </x:c>
      <x:c r="J500" s="186" t="n">
        <x:v>80511</x:v>
      </x:c>
      <x:c r="K500" s="186" t="n">
        <x:v>264652</x:v>
      </x:c>
      <x:c r="L500" s="186" t="n">
        <x:f>J500-K500</x:f>
        <x:v>-184141</x:v>
      </x:c>
      <x:c r="M500" s="186" t="n">
        <x:v>138169</x:v>
      </x:c>
      <x:c r="N500" s="186" t="n">
        <x:v>56388</x:v>
      </x:c>
      <x:c r="O500" s="186" t="n">
        <x:f>M500-N500</x:f>
        <x:v>81781</x:v>
      </x:c>
      <x:c r="P500" s="186" t="n">
        <x:v>188817</x:v>
      </x:c>
      <x:c r="Q500" s="186" t="n">
        <x:v>29927</x:v>
      </x:c>
      <x:c r="R500" s="186" t="n">
        <x:f>P500-Q500</x:f>
        <x:v>158890</x:v>
      </x:c>
      <x:c r="S500" s="186" t="n">
        <x:v>67772</x:v>
      </x:c>
      <x:c r="T500" s="186" t="n">
        <x:v>23788</x:v>
      </x:c>
      <x:c r="U500" s="186" t="n">
        <x:f>S500-T500</x:f>
        <x:v>43984</x:v>
      </x:c>
      <x:c r="V500" s="196" t="n">
        <x:f>IFERROR(O500/F500,"")</x:f>
        <x:v>0.1478334119671654</x:v>
      </x:c>
      <x:c r="W500" s="196" t="n">
        <x:f>IFERROR(I500/F500,"")</x:f>
        <x:v>-0.18169657463796804</x:v>
      </x:c>
    </x:row>
    <x:row r="501">
      <x:c r="A501" s="186" t="str">
        <x:v>Silver</x:v>
      </x:c>
      <x:c r="B501" s="187" t="n">
        <x:v>44117</x:v>
      </x:c>
      <x:c r="C501" s="187" t="n">
        <x:v>44120</x:v>
      </x:c>
      <x:c r="D501" s="186" t="str">
        <x:v>084691-SILVER</x:v>
      </x:c>
      <x:c r="E501" s="186" t="str">
        <x:v>SILVER - COMMODITY EXCHANGE INC.</x:v>
      </x:c>
      <x:c r="F501" s="186" t="n">
        <x:v>158203</x:v>
      </x:c>
      <x:c r="G501" s="186" t="n">
        <x:v>8248</x:v>
      </x:c>
      <x:c r="H501" s="186" t="n">
        <x:v>57722</x:v>
      </x:c>
      <x:c r="I501" s="186" t="n">
        <x:f>G501-H501</x:f>
        <x:v>-49474</x:v>
      </x:c>
      <x:c r="J501" s="186" t="n">
        <x:v>38880</x:v>
      </x:c>
      <x:c r="K501" s="186" t="n">
        <x:v>46354</x:v>
      </x:c>
      <x:c r="L501" s="186" t="n">
        <x:f>J501-K501</x:f>
        <x:v>-7474</x:v>
      </x:c>
      <x:c r="M501" s="186" t="n">
        <x:v>59942</x:v>
      </x:c>
      <x:c r="N501" s="186" t="n">
        <x:v>25808</x:v>
      </x:c>
      <x:c r="O501" s="186" t="n">
        <x:f>M501-N501</x:f>
        <x:v>34134</x:v>
      </x:c>
      <x:c r="P501" s="186" t="n">
        <x:v>16978</x:v>
      </x:c>
      <x:c r="Q501" s="186" t="n">
        <x:v>10324</x:v>
      </x:c>
      <x:c r="R501" s="186" t="n">
        <x:f>P501-Q501</x:f>
        <x:v>6654</x:v>
      </x:c>
      <x:c r="S501" s="186" t="n">
        <x:v>26501</x:v>
      </x:c>
      <x:c r="T501" s="186" t="n">
        <x:v>10341</x:v>
      </x:c>
      <x:c r="U501" s="186" t="n">
        <x:f>S501-T501</x:f>
        <x:v>16160</x:v>
      </x:c>
      <x:c r="V501" s="196" t="n">
        <x:f>IFERROR(O501/F501,"")</x:f>
        <x:v>0.21576076307023254</x:v>
      </x:c>
      <x:c r="W501" s="196" t="n">
        <x:f>IFERROR(I501/F501,"")</x:f>
        <x:v>-0.31272479030106887</x:v>
      </x:c>
    </x:row>
    <x:row r="502">
      <x:c r="A502" s="186" t="str">
        <x:v>Gold</x:v>
      </x:c>
      <x:c r="B502" s="187" t="n">
        <x:v>44124</x:v>
      </x:c>
      <x:c r="C502" s="187" t="n">
        <x:v>44127</x:v>
      </x:c>
      <x:c r="D502" s="186" t="str">
        <x:v>088691-GOLD</x:v>
      </x:c>
      <x:c r="E502" s="186" t="str">
        <x:v>GOLD - COMMODITY EXCHANGE INC.</x:v>
      </x:c>
      <x:c r="F502" s="186" t="n">
        <x:v>562993</x:v>
      </x:c>
      <x:c r="G502" s="186" t="n">
        <x:v>16306</x:v>
      </x:c>
      <x:c r="H502" s="186" t="n">
        <x:v>117914</x:v>
      </x:c>
      <x:c r="I502" s="186" t="n">
        <x:f>G502-H502</x:f>
        <x:v>-101608</x:v>
      </x:c>
      <x:c r="J502" s="186" t="n">
        <x:v>80534</x:v>
      </x:c>
      <x:c r="K502" s="186" t="n">
        <x:v>273050</x:v>
      </x:c>
      <x:c r="L502" s="186" t="n">
        <x:f>J502-K502</x:f>
        <x:v>-192516</x:v>
      </x:c>
      <x:c r="M502" s="186" t="n">
        <x:v>149108</x:v>
      </x:c>
      <x:c r="N502" s="186" t="n">
        <x:v>58543</x:v>
      </x:c>
      <x:c r="O502" s="186" t="n">
        <x:f>M502-N502</x:f>
        <x:v>90565</x:v>
      </x:c>
      <x:c r="P502" s="186" t="n">
        <x:v>191098</x:v>
      </x:c>
      <x:c r="Q502" s="186" t="n">
        <x:v>32059</x:v>
      </x:c>
      <x:c r="R502" s="186" t="n">
        <x:f>P502-Q502</x:f>
        <x:v>159039</x:v>
      </x:c>
      <x:c r="S502" s="186" t="n">
        <x:v>65994</x:v>
      </x:c>
      <x:c r="T502" s="186" t="n">
        <x:v>21474</x:v>
      </x:c>
      <x:c r="U502" s="186" t="n">
        <x:f>S502-T502</x:f>
        <x:v>44520</x:v>
      </x:c>
      <x:c r="V502" s="196" t="n">
        <x:f>IFERROR(O502/F502,"")</x:f>
        <x:v>0.16086345656162687</x:v>
      </x:c>
      <x:c r="W502" s="196" t="n">
        <x:f>IFERROR(I502/F502,"")</x:f>
        <x:v>-0.18047826527150426</x:v>
      </x:c>
    </x:row>
    <x:row r="503">
      <x:c r="A503" s="186" t="str">
        <x:v>Silver</x:v>
      </x:c>
      <x:c r="B503" s="187" t="n">
        <x:v>44124</x:v>
      </x:c>
      <x:c r="C503" s="187" t="n">
        <x:v>44127</x:v>
      </x:c>
      <x:c r="D503" s="186" t="str">
        <x:v>084691-SILVER</x:v>
      </x:c>
      <x:c r="E503" s="186" t="str">
        <x:v>SILVER - COMMODITY EXCHANGE INC.</x:v>
      </x:c>
      <x:c r="F503" s="186" t="n">
        <x:v>157845</x:v>
      </x:c>
      <x:c r="G503" s="186" t="n">
        <x:v>7347</x:v>
      </x:c>
      <x:c r="H503" s="186" t="n">
        <x:v>58512</x:v>
      </x:c>
      <x:c r="I503" s="186" t="n">
        <x:f>G503-H503</x:f>
        <x:v>-51165</x:v>
      </x:c>
      <x:c r="J503" s="186" t="n">
        <x:v>39024</x:v>
      </x:c>
      <x:c r="K503" s="186" t="n">
        <x:v>47359</x:v>
      </x:c>
      <x:c r="L503" s="186" t="n">
        <x:f>J503-K503</x:f>
        <x:v>-8335</x:v>
      </x:c>
      <x:c r="M503" s="186" t="n">
        <x:v>61839</x:v>
      </x:c>
      <x:c r="N503" s="186" t="n">
        <x:v>21864</x:v>
      </x:c>
      <x:c r="O503" s="186" t="n">
        <x:f>M503-N503</x:f>
        <x:v>39975</x:v>
      </x:c>
      <x:c r="P503" s="186" t="n">
        <x:v>15107</x:v>
      </x:c>
      <x:c r="Q503" s="186" t="n">
        <x:v>10356</x:v>
      </x:c>
      <x:c r="R503" s="186" t="n">
        <x:f>P503-Q503</x:f>
        <x:v>4751</x:v>
      </x:c>
      <x:c r="S503" s="186" t="n">
        <x:v>26197</x:v>
      </x:c>
      <x:c r="T503" s="186" t="n">
        <x:v>11423</x:v>
      </x:c>
      <x:c r="U503" s="186" t="n">
        <x:f>S503-T503</x:f>
        <x:v>14774</x:v>
      </x:c>
      <x:c r="V503" s="196" t="n">
        <x:f>IFERROR(O503/F503,"")</x:f>
        <x:v>0.2532547752542051</x:v>
      </x:c>
      <x:c r="W503" s="196" t="n">
        <x:f>IFERROR(I503/F503,"")</x:f>
        <x:v>-0.32414710633849664</x:v>
      </x:c>
    </x:row>
    <x:row r="504">
      <x:c r="A504" s="186" t="str">
        <x:v>Gold</x:v>
      </x:c>
      <x:c r="B504" s="187" t="n">
        <x:v>44131</x:v>
      </x:c>
      <x:c r="C504" s="187" t="n">
        <x:v>44134</x:v>
      </x:c>
      <x:c r="D504" s="186" t="str">
        <x:v>088691-GOLD</x:v>
      </x:c>
      <x:c r="E504" s="186" t="str">
        <x:v>GOLD - COMMODITY EXCHANGE INC.</x:v>
      </x:c>
      <x:c r="F504" s="186" t="n">
        <x:v>560900</x:v>
      </x:c>
      <x:c r="G504" s="186" t="n">
        <x:v>16885</x:v>
      </x:c>
      <x:c r="H504" s="186" t="n">
        <x:v>110953</x:v>
      </x:c>
      <x:c r="I504" s="186" t="n">
        <x:f>G504-H504</x:f>
        <x:v>-94068</x:v>
      </x:c>
      <x:c r="J504" s="186" t="n">
        <x:v>78297</x:v>
      </x:c>
      <x:c r="K504" s="186" t="n">
        <x:v>280691</x:v>
      </x:c>
      <x:c r="L504" s="186" t="n">
        <x:f>J504-K504</x:f>
        <x:v>-202394</x:v>
      </x:c>
      <x:c r="M504" s="186" t="n">
        <x:v>149140</x:v>
      </x:c>
      <x:c r="N504" s="186" t="n">
        <x:v>47265</x:v>
      </x:c>
      <x:c r="O504" s="186" t="n">
        <x:f>M504-N504</x:f>
        <x:v>101875</x:v>
      </x:c>
      <x:c r="P504" s="186" t="n">
        <x:v>176923</x:v>
      </x:c>
      <x:c r="Q504" s="186" t="n">
        <x:v>30164</x:v>
      </x:c>
      <x:c r="R504" s="186" t="n">
        <x:f>P504-Q504</x:f>
        <x:v>146759</x:v>
      </x:c>
      <x:c r="S504" s="186" t="n">
        <x:v>70778</x:v>
      </x:c>
      <x:c r="T504" s="186" t="n">
        <x:v>22950</x:v>
      </x:c>
      <x:c r="U504" s="186" t="n">
        <x:f>S504-T504</x:f>
        <x:v>47828</x:v>
      </x:c>
      <x:c r="V504" s="196" t="n">
        <x:f>IFERROR(O504/F504,"")</x:f>
        <x:v>0.18162774113032626</x:v>
      </x:c>
      <x:c r="W504" s="196" t="n">
        <x:f>IFERROR(I504/F504,"")</x:f>
        <x:v>-0.16770903904439294</x:v>
      </x:c>
    </x:row>
    <x:row r="505">
      <x:c r="A505" s="186" t="str">
        <x:v>Silver</x:v>
      </x:c>
      <x:c r="B505" s="187" t="n">
        <x:v>44131</x:v>
      </x:c>
      <x:c r="C505" s="187" t="n">
        <x:v>44134</x:v>
      </x:c>
      <x:c r="D505" s="186" t="str">
        <x:v>084691-SILVER</x:v>
      </x:c>
      <x:c r="E505" s="186" t="str">
        <x:v>SILVER - COMMODITY EXCHANGE INC.</x:v>
      </x:c>
      <x:c r="F505" s="186" t="n">
        <x:v>160550</x:v>
      </x:c>
      <x:c r="G505" s="186" t="n">
        <x:v>7927</x:v>
      </x:c>
      <x:c r="H505" s="186" t="n">
        <x:v>58587</x:v>
      </x:c>
      <x:c r="I505" s="186" t="n">
        <x:f>G505-H505</x:f>
        <x:v>-50660</x:v>
      </x:c>
      <x:c r="J505" s="186" t="n">
        <x:v>39476</x:v>
      </x:c>
      <x:c r="K505" s="186" t="n">
        <x:v>47902</x:v>
      </x:c>
      <x:c r="L505" s="186" t="n">
        <x:f>J505-K505</x:f>
        <x:v>-8426</x:v>
      </x:c>
      <x:c r="M505" s="186" t="n">
        <x:v>63091</x:v>
      </x:c>
      <x:c r="N505" s="186" t="n">
        <x:v>21459</x:v>
      </x:c>
      <x:c r="O505" s="186" t="n">
        <x:f>M505-N505</x:f>
        <x:v>41632</x:v>
      </x:c>
      <x:c r="P505" s="186" t="n">
        <x:v>13561</x:v>
      </x:c>
      <x:c r="Q505" s="186" t="n">
        <x:v>10562</x:v>
      </x:c>
      <x:c r="R505" s="186" t="n">
        <x:f>P505-Q505</x:f>
        <x:v>2999</x:v>
      </x:c>
      <x:c r="S505" s="186" t="n">
        <x:v>26008</x:v>
      </x:c>
      <x:c r="T505" s="186" t="n">
        <x:v>11553</x:v>
      </x:c>
      <x:c r="U505" s="186" t="n">
        <x:f>S505-T505</x:f>
        <x:v>14455</x:v>
      </x:c>
      <x:c r="V505" s="196" t="n">
        <x:f>IFERROR(O505/F505,"")</x:f>
        <x:v>0.259308626596076</x:v>
      </x:c>
      <x:c r="W505" s="196" t="n">
        <x:f>IFERROR(I505/F505,"")</x:f>
        <x:v>-0.3155403301152289</x:v>
      </x:c>
    </x:row>
    <x:row r="506">
      <x:c r="A506" s="186" t="str">
        <x:v>Gold</x:v>
      </x:c>
      <x:c r="B506" s="187" t="n">
        <x:v>44138</x:v>
      </x:c>
      <x:c r="C506" s="187" t="n">
        <x:v>44141</x:v>
      </x:c>
      <x:c r="D506" s="186" t="str">
        <x:v>088691-GOLD</x:v>
      </x:c>
      <x:c r="E506" s="186" t="str">
        <x:v>GOLD - COMMODITY EXCHANGE INC.</x:v>
      </x:c>
      <x:c r="F506" s="186" t="n">
        <x:v>544774</x:v>
      </x:c>
      <x:c r="G506" s="186" t="n">
        <x:v>15422</x:v>
      </x:c>
      <x:c r="H506" s="186" t="n">
        <x:v>108060</x:v>
      </x:c>
      <x:c r="I506" s="186" t="n">
        <x:f>G506-H506</x:f>
        <x:v>-92638</x:v>
      </x:c>
      <x:c r="J506" s="186" t="n">
        <x:v>76841</x:v>
      </x:c>
      <x:c r="K506" s="186" t="n">
        <x:v>273541</x:v>
      </x:c>
      <x:c r="L506" s="186" t="n">
        <x:f>J506-K506</x:f>
        <x:v>-196700</x:v>
      </x:c>
      <x:c r="M506" s="186" t="n">
        <x:v>140094</x:v>
      </x:c>
      <x:c r="N506" s="186" t="n">
        <x:v>49399</x:v>
      </x:c>
      <x:c r="O506" s="186" t="n">
        <x:f>M506-N506</x:f>
        <x:v>90695</x:v>
      </x:c>
      <x:c r="P506" s="186" t="n">
        <x:v>181704</x:v>
      </x:c>
      <x:c r="Q506" s="186" t="n">
        <x:v>29490</x:v>
      </x:c>
      <x:c r="R506" s="186" t="n">
        <x:f>P506-Q506</x:f>
        <x:v>152214</x:v>
      </x:c>
      <x:c r="S506" s="186" t="n">
        <x:v>66826</x:v>
      </x:c>
      <x:c r="T506" s="186" t="n">
        <x:v>20397</x:v>
      </x:c>
      <x:c r="U506" s="186" t="n">
        <x:f>S506-T506</x:f>
        <x:v>46429</x:v>
      </x:c>
      <x:c r="V506" s="196" t="n">
        <x:f>IFERROR(O506/F506,"")</x:f>
        <x:v>0.1664818805596449</x:v>
      </x:c>
      <x:c r="W506" s="196" t="n">
        <x:f>IFERROR(I506/F506,"")</x:f>
        <x:v>-0.1700484971749753</x:v>
      </x:c>
    </x:row>
    <x:row r="507">
      <x:c r="A507" s="186" t="str">
        <x:v>Silver</x:v>
      </x:c>
      <x:c r="B507" s="187" t="n">
        <x:v>44138</x:v>
      </x:c>
      <x:c r="C507" s="187" t="n">
        <x:v>44141</x:v>
      </x:c>
      <x:c r="D507" s="186" t="str">
        <x:v>084691-SILVER</x:v>
      </x:c>
      <x:c r="E507" s="186" t="str">
        <x:v>SILVER - COMMODITY EXCHANGE INC.</x:v>
      </x:c>
      <x:c r="F507" s="186" t="n">
        <x:v>153267</x:v>
      </x:c>
      <x:c r="G507" s="186" t="n">
        <x:v>7241</x:v>
      </x:c>
      <x:c r="H507" s="186" t="n">
        <x:v>56295</x:v>
      </x:c>
      <x:c r="I507" s="186" t="n">
        <x:f>G507-H507</x:f>
        <x:v>-49054</x:v>
      </x:c>
      <x:c r="J507" s="186" t="n">
        <x:v>37760</x:v>
      </x:c>
      <x:c r="K507" s="186" t="n">
        <x:v>48037</x:v>
      </x:c>
      <x:c r="L507" s="186" t="n">
        <x:f>J507-K507</x:f>
        <x:v>-10277</x:v>
      </x:c>
      <x:c r="M507" s="186" t="n">
        <x:v>59694</x:v>
      </x:c>
      <x:c r="N507" s="186" t="n">
        <x:v>19011</x:v>
      </x:c>
      <x:c r="O507" s="186" t="n">
        <x:f>M507-N507</x:f>
        <x:v>40683</x:v>
      </x:c>
      <x:c r="P507" s="186" t="n">
        <x:v>12822</x:v>
      </x:c>
      <x:c r="Q507" s="186" t="n">
        <x:v>8164</x:v>
      </x:c>
      <x:c r="R507" s="186" t="n">
        <x:f>P507-Q507</x:f>
        <x:v>4658</x:v>
      </x:c>
      <x:c r="S507" s="186" t="n">
        <x:v>26164</x:v>
      </x:c>
      <x:c r="T507" s="186" t="n">
        <x:v>12174</x:v>
      </x:c>
      <x:c r="U507" s="186" t="n">
        <x:f>S507-T507</x:f>
        <x:v>13990</x:v>
      </x:c>
      <x:c r="V507" s="196" t="n">
        <x:f>IFERROR(O507/F507,"")</x:f>
        <x:v>0.26543874415236157</x:v>
      </x:c>
      <x:c r="W507" s="196" t="n">
        <x:f>IFERROR(I507/F507,"")</x:f>
        <x:v>-0.32005585024825955</x:v>
      </x:c>
    </x:row>
    <x:row r="508">
      <x:c r="A508" s="186" t="str">
        <x:v>Gold</x:v>
      </x:c>
      <x:c r="B508" s="187" t="n">
        <x:v>44145</x:v>
      </x:c>
      <x:c r="C508" s="187" t="n">
        <x:v>44148</x:v>
      </x:c>
      <x:c r="D508" s="186" t="str">
        <x:v>088691-GOLD</x:v>
      </x:c>
      <x:c r="E508" s="186" t="str">
        <x:v>GOLD - COMMODITY EXCHANGE INC.</x:v>
      </x:c>
      <x:c r="F508" s="186" t="n">
        <x:v>547449</x:v>
      </x:c>
      <x:c r="G508" s="186" t="n">
        <x:v>15986</x:v>
      </x:c>
      <x:c r="H508" s="186" t="n">
        <x:v>108842</x:v>
      </x:c>
      <x:c r="I508" s="186" t="n">
        <x:f>G508-H508</x:f>
        <x:v>-92856</x:v>
      </x:c>
      <x:c r="J508" s="186" t="n">
        <x:v>75840</x:v>
      </x:c>
      <x:c r="K508" s="186" t="n">
        <x:v>266407</x:v>
      </x:c>
      <x:c r="L508" s="186" t="n">
        <x:f>J508-K508</x:f>
        <x:v>-190567</x:v>
      </x:c>
      <x:c r="M508" s="186" t="n">
        <x:v>130105</x:v>
      </x:c>
      <x:c r="N508" s="186" t="n">
        <x:v>50322</x:v>
      </x:c>
      <x:c r="O508" s="186" t="n">
        <x:f>M508-N508</x:f>
        <x:v>79783</x:v>
      </x:c>
      <x:c r="P508" s="186" t="n">
        <x:v>188411</x:v>
      </x:c>
      <x:c r="Q508" s="186" t="n">
        <x:v>28458</x:v>
      </x:c>
      <x:c r="R508" s="186" t="n">
        <x:f>P508-Q508</x:f>
        <x:v>159953</x:v>
      </x:c>
      <x:c r="S508" s="186" t="n">
        <x:v>64247</x:v>
      </x:c>
      <x:c r="T508" s="186" t="n">
        <x:v>20560</x:v>
      </x:c>
      <x:c r="U508" s="186" t="n">
        <x:f>S508-T508</x:f>
        <x:v>43687</x:v>
      </x:c>
      <x:c r="V508" s="196" t="n">
        <x:f>IFERROR(O508/F508,"")</x:f>
        <x:v>0.1457359498327698</x:v>
      </x:c>
      <x:c r="W508" s="196" t="n">
        <x:f>IFERROR(I508/F508,"")</x:f>
        <x:v>-0.16961579982792918</x:v>
      </x:c>
    </x:row>
    <x:row r="509">
      <x:c r="A509" s="186" t="str">
        <x:v>Silver</x:v>
      </x:c>
      <x:c r="B509" s="187" t="n">
        <x:v>44145</x:v>
      </x:c>
      <x:c r="C509" s="187" t="n">
        <x:v>44148</x:v>
      </x:c>
      <x:c r="D509" s="186" t="str">
        <x:v>084691-SILVER</x:v>
      </x:c>
      <x:c r="E509" s="186" t="str">
        <x:v>SILVER - COMMODITY EXCHANGE INC.</x:v>
      </x:c>
      <x:c r="F509" s="186" t="n">
        <x:v>155011</x:v>
      </x:c>
      <x:c r="G509" s="186" t="n">
        <x:v>7975</x:v>
      </x:c>
      <x:c r="H509" s="186" t="n">
        <x:v>57142</x:v>
      </x:c>
      <x:c r="I509" s="186" t="n">
        <x:f>G509-H509</x:f>
        <x:v>-49167</x:v>
      </x:c>
      <x:c r="J509" s="186" t="n">
        <x:v>36845</x:v>
      </x:c>
      <x:c r="K509" s="186" t="n">
        <x:v>47220</x:v>
      </x:c>
      <x:c r="L509" s="186" t="n">
        <x:f>J509-K509</x:f>
        <x:v>-10375</x:v>
      </x:c>
      <x:c r="M509" s="186" t="n">
        <x:v>59526</x:v>
      </x:c>
      <x:c r="N509" s="186" t="n">
        <x:v>18849</x:v>
      </x:c>
      <x:c r="O509" s="186" t="n">
        <x:f>M509-N509</x:f>
        <x:v>40677</x:v>
      </x:c>
      <x:c r="P509" s="186" t="n">
        <x:v>13018</x:v>
      </x:c>
      <x:c r="Q509" s="186" t="n">
        <x:v>7867</x:v>
      </x:c>
      <x:c r="R509" s="186" t="n">
        <x:f>P509-Q509</x:f>
        <x:v>5151</x:v>
      </x:c>
      <x:c r="S509" s="186" t="n">
        <x:v>26319</x:v>
      </x:c>
      <x:c r="T509" s="186" t="n">
        <x:v>12605</x:v>
      </x:c>
      <x:c r="U509" s="186" t="n">
        <x:f>S509-T509</x:f>
        <x:v>13714</x:v>
      </x:c>
      <x:c r="V509" s="196" t="n">
        <x:f>IFERROR(O509/F509,"")</x:f>
        <x:v>0.26241363516137567</x:v>
      </x:c>
      <x:c r="W509" s="196" t="n">
        <x:f>IFERROR(I509/F509,"")</x:f>
        <x:v>-0.31718394178477655</x:v>
      </x:c>
    </x:row>
    <x:row r="510">
      <x:c r="A510" s="186" t="str">
        <x:v>Gold</x:v>
      </x:c>
      <x:c r="B510" s="187" t="n">
        <x:v>44152</x:v>
      </x:c>
      <x:c r="C510" s="187" t="n">
        <x:v>44155</x:v>
      </x:c>
      <x:c r="D510" s="186" t="str">
        <x:v>088691-GOLD</x:v>
      </x:c>
      <x:c r="E510" s="186" t="str">
        <x:v>GOLD - COMMODITY EXCHANGE INC.</x:v>
      </x:c>
      <x:c r="F510" s="186" t="n">
        <x:v>557533</x:v>
      </x:c>
      <x:c r="G510" s="186" t="n">
        <x:v>16015</x:v>
      </x:c>
      <x:c r="H510" s="186" t="n">
        <x:v>113514</x:v>
      </x:c>
      <x:c r="I510" s="186" t="n">
        <x:f>G510-H510</x:f>
        <x:v>-97499</x:v>
      </x:c>
      <x:c r="J510" s="186" t="n">
        <x:v>74682</x:v>
      </x:c>
      <x:c r="K510" s="186" t="n">
        <x:v>271755</x:v>
      </x:c>
      <x:c r="L510" s="186" t="n">
        <x:f>J510-K510</x:f>
        <x:v>-197073</x:v>
      </x:c>
      <x:c r="M510" s="186" t="n">
        <x:v>139550</x:v>
      </x:c>
      <x:c r="N510" s="186" t="n">
        <x:v>49103</x:v>
      </x:c>
      <x:c r="O510" s="186" t="n">
        <x:f>M510-N510</x:f>
        <x:v>90447</x:v>
      </x:c>
      <x:c r="P510" s="186" t="n">
        <x:v>190148</x:v>
      </x:c>
      <x:c r="Q510" s="186" t="n">
        <x:v>29325</x:v>
      </x:c>
      <x:c r="R510" s="186" t="n">
        <x:f>P510-Q510</x:f>
        <x:v>160823</x:v>
      </x:c>
      <x:c r="S510" s="186" t="n">
        <x:v>64301</x:v>
      </x:c>
      <x:c r="T510" s="186" t="n">
        <x:v>20999</x:v>
      </x:c>
      <x:c r="U510" s="186" t="n">
        <x:f>S510-T510</x:f>
        <x:v>43302</x:v>
      </x:c>
      <x:c r="V510" s="196" t="n">
        <x:f>IFERROR(O510/F510,"")</x:f>
        <x:v>0.16222716861602812</x:v>
      </x:c>
      <x:c r="W510" s="196" t="n">
        <x:f>IFERROR(I510/F510,"")</x:f>
        <x:v>-0.1748757472651843</x:v>
      </x:c>
    </x:row>
    <x:row r="511">
      <x:c r="A511" s="186" t="str">
        <x:v>Silver</x:v>
      </x:c>
      <x:c r="B511" s="187" t="n">
        <x:v>44152</x:v>
      </x:c>
      <x:c r="C511" s="187" t="n">
        <x:v>44155</x:v>
      </x:c>
      <x:c r="D511" s="186" t="str">
        <x:v>084691-SILVER</x:v>
      </x:c>
      <x:c r="E511" s="186" t="str">
        <x:v>SILVER - COMMODITY EXCHANGE INC.</x:v>
      </x:c>
      <x:c r="F511" s="186" t="n">
        <x:v>160972</x:v>
      </x:c>
      <x:c r="G511" s="186" t="n">
        <x:v>8670</x:v>
      </x:c>
      <x:c r="H511" s="186" t="n">
        <x:v>58154</x:v>
      </x:c>
      <x:c r="I511" s="186" t="n">
        <x:f>G511-H511</x:f>
        <x:v>-49484</x:v>
      </x:c>
      <x:c r="J511" s="186" t="n">
        <x:v>35836</x:v>
      </x:c>
      <x:c r="K511" s="186" t="n">
        <x:v>48028</x:v>
      </x:c>
      <x:c r="L511" s="186" t="n">
        <x:f>J511-K511</x:f>
        <x:v>-12192</x:v>
      </x:c>
      <x:c r="M511" s="186" t="n">
        <x:v>63981</x:v>
      </x:c>
      <x:c r="N511" s="186" t="n">
        <x:v>20772</x:v>
      </x:c>
      <x:c r="O511" s="186" t="n">
        <x:f>M511-N511</x:f>
        <x:v>43209</x:v>
      </x:c>
      <x:c r="P511" s="186" t="n">
        <x:v>11651</x:v>
      </x:c>
      <x:c r="Q511" s="186" t="n">
        <x:v>9246</x:v>
      </x:c>
      <x:c r="R511" s="186" t="n">
        <x:f>P511-Q511</x:f>
        <x:v>2405</x:v>
      </x:c>
      <x:c r="S511" s="186" t="n">
        <x:v>26499</x:v>
      </x:c>
      <x:c r="T511" s="186" t="n">
        <x:v>10437</x:v>
      </x:c>
      <x:c r="U511" s="186" t="n">
        <x:f>S511-T511</x:f>
        <x:v>16062</x:v>
      </x:c>
      <x:c r="V511" s="196" t="n">
        <x:f>IFERROR(O511/F511,"")</x:f>
        <x:v>0.26842556469448103</x:v>
      </x:c>
      <x:c r="W511" s="196" t="n">
        <x:f>IFERROR(I511/F511,"")</x:f>
        <x:v>-0.30740749944089657</x:v>
      </x:c>
    </x:row>
    <x:row r="512">
      <x:c r="A512" s="186" t="str">
        <x:v>Gold</x:v>
      </x:c>
      <x:c r="B512" s="187" t="n">
        <x:v>44159</x:v>
      </x:c>
      <x:c r="C512" s="187" t="n">
        <x:v>44162</x:v>
      </x:c>
      <x:c r="D512" s="186" t="str">
        <x:v>088691-GOLD</x:v>
      </x:c>
      <x:c r="E512" s="186" t="str">
        <x:v>GOLD - COMMODITY EXCHANGE INC.</x:v>
      </x:c>
      <x:c r="F512" s="186" t="n">
        <x:v>555253</x:v>
      </x:c>
      <x:c r="G512" s="186" t="n">
        <x:v>16425</x:v>
      </x:c>
      <x:c r="H512" s="186" t="n">
        <x:v>112076</x:v>
      </x:c>
      <x:c r="I512" s="186" t="n">
        <x:f>G512-H512</x:f>
        <x:v>-95651</x:v>
      </x:c>
      <x:c r="J512" s="186" t="n">
        <x:v>74823</x:v>
      </x:c>
      <x:c r="K512" s="186" t="n">
        <x:v>264001</x:v>
      </x:c>
      <x:c r="L512" s="186" t="n">
        <x:f>J512-K512</x:f>
        <x:v>-189178</x:v>
      </x:c>
      <x:c r="M512" s="186" t="n">
        <x:v>137503</x:v>
      </x:c>
      <x:c r="N512" s="186" t="n">
        <x:v>52155</x:v>
      </x:c>
      <x:c r="O512" s="186" t="n">
        <x:f>M512-N512</x:f>
        <x:v>85348</x:v>
      </x:c>
      <x:c r="P512" s="186" t="n">
        <x:v>182821</x:v>
      </x:c>
      <x:c r="Q512" s="186" t="n">
        <x:v>24267</x:v>
      </x:c>
      <x:c r="R512" s="186" t="n">
        <x:f>P512-Q512</x:f>
        <x:v>158554</x:v>
      </x:c>
      <x:c r="S512" s="186" t="n">
        <x:v>65390</x:v>
      </x:c>
      <x:c r="T512" s="186" t="n">
        <x:v>24463</x:v>
      </x:c>
      <x:c r="U512" s="186" t="n">
        <x:f>S512-T512</x:f>
        <x:v>40927</x:v>
      </x:c>
      <x:c r="V512" s="196" t="n">
        <x:f>IFERROR(O512/F512,"")</x:f>
        <x:v>0.15371011052619257</x:v>
      </x:c>
      <x:c r="W512" s="196" t="n">
        <x:f>IFERROR(I512/F512,"")</x:f>
        <x:v>-0.17226561585439432</x:v>
      </x:c>
    </x:row>
    <x:row r="513">
      <x:c r="A513" s="186" t="str">
        <x:v>Silver</x:v>
      </x:c>
      <x:c r="B513" s="187" t="n">
        <x:v>44159</x:v>
      </x:c>
      <x:c r="C513" s="187" t="n">
        <x:v>44162</x:v>
      </x:c>
      <x:c r="D513" s="186" t="str">
        <x:v>084691-SILVER</x:v>
      </x:c>
      <x:c r="E513" s="186" t="str">
        <x:v>SILVER - COMMODITY EXCHANGE INC.</x:v>
      </x:c>
      <x:c r="F513" s="186" t="n">
        <x:v>162092</x:v>
      </x:c>
      <x:c r="G513" s="186" t="n">
        <x:v>8082</x:v>
      </x:c>
      <x:c r="H513" s="186" t="n">
        <x:v>57083</x:v>
      </x:c>
      <x:c r="I513" s="186" t="n">
        <x:f>G513-H513</x:f>
        <x:v>-49001</x:v>
      </x:c>
      <x:c r="J513" s="186" t="n">
        <x:v>32507</x:v>
      </x:c>
      <x:c r="K513" s="186" t="n">
        <x:v>43666</x:v>
      </x:c>
      <x:c r="L513" s="186" t="n">
        <x:f>J513-K513</x:f>
        <x:v>-11159</x:v>
      </x:c>
      <x:c r="M513" s="186" t="n">
        <x:v>62795</x:v>
      </x:c>
      <x:c r="N513" s="186" t="n">
        <x:v>21138</x:v>
      </x:c>
      <x:c r="O513" s="186" t="n">
        <x:f>M513-N513</x:f>
        <x:v>41657</x:v>
      </x:c>
      <x:c r="P513" s="186" t="n">
        <x:v>11976</x:v>
      </x:c>
      <x:c r="Q513" s="186" t="n">
        <x:v>7953</x:v>
      </x:c>
      <x:c r="R513" s="186" t="n">
        <x:f>P513-Q513</x:f>
        <x:v>4023</x:v>
      </x:c>
      <x:c r="S513" s="186" t="n">
        <x:v>25866</x:v>
      </x:c>
      <x:c r="T513" s="186" t="n">
        <x:v>11386</x:v>
      </x:c>
      <x:c r="U513" s="186" t="n">
        <x:f>S513-T513</x:f>
        <x:v>14480</x:v>
      </x:c>
      <x:c r="V513" s="196" t="n">
        <x:f>IFERROR(O513/F513,"")</x:f>
        <x:v>0.25699602694765933</x:v>
      </x:c>
      <x:c r="W513" s="196" t="n">
        <x:f>IFERROR(I513/F513,"")</x:f>
        <x:v>-0.3023036300372628</x:v>
      </x:c>
    </x:row>
    <x:row r="514">
      <x:c r="A514" s="186" t="str">
        <x:v>Gold</x:v>
      </x:c>
      <x:c r="B514" s="187" t="n">
        <x:v>44166</x:v>
      </x:c>
      <x:c r="C514" s="187" t="n">
        <x:v>44169</x:v>
      </x:c>
      <x:c r="D514" s="186" t="str">
        <x:v>088691-GOLD</x:v>
      </x:c>
      <x:c r="E514" s="186" t="str">
        <x:v>GOLD - COMMODITY EXCHANGE INC.</x:v>
      </x:c>
      <x:c r="F514" s="186" t="n">
        <x:v>538042</x:v>
      </x:c>
      <x:c r="G514" s="186" t="n">
        <x:v>18504</x:v>
      </x:c>
      <x:c r="H514" s="186" t="n">
        <x:v>119429</x:v>
      </x:c>
      <x:c r="I514" s="186" t="n">
        <x:f>G514-H514</x:f>
        <x:v>-100925</x:v>
      </x:c>
      <x:c r="J514" s="186" t="n">
        <x:v>73475</x:v>
      </x:c>
      <x:c r="K514" s="186" t="n">
        <x:v>265813</x:v>
      </x:c>
      <x:c r="L514" s="186" t="n">
        <x:f>J514-K514</x:f>
        <x:v>-192338</x:v>
      </x:c>
      <x:c r="M514" s="186" t="n">
        <x:v>134446</x:v>
      </x:c>
      <x:c r="N514" s="186" t="n">
        <x:v>48903</x:v>
      </x:c>
      <x:c r="O514" s="186" t="n">
        <x:f>M514-N514</x:f>
        <x:v>85543</x:v>
      </x:c>
      <x:c r="P514" s="186" t="n">
        <x:v>189898</x:v>
      </x:c>
      <x:c r="Q514" s="186" t="n">
        <x:v>15127</x:v>
      </x:c>
      <x:c r="R514" s="186" t="n">
        <x:f>P514-Q514</x:f>
        <x:v>174771</x:v>
      </x:c>
      <x:c r="S514" s="186" t="n">
        <x:v>55439</x:v>
      </x:c>
      <x:c r="T514" s="186" t="n">
        <x:v>22490</x:v>
      </x:c>
      <x:c r="U514" s="186" t="n">
        <x:f>S514-T514</x:f>
        <x:v>32949</x:v>
      </x:c>
      <x:c r="V514" s="196" t="n">
        <x:f>IFERROR(O514/F514,"")</x:f>
        <x:v>0.15898944692050063</x:v>
      </x:c>
      <x:c r="W514" s="196" t="n">
        <x:f>IFERROR(I514/F514,"")</x:f>
        <x:v>-0.18757829314440136</x:v>
      </x:c>
    </x:row>
    <x:row r="515">
      <x:c r="A515" s="186" t="str">
        <x:v>Silver</x:v>
      </x:c>
      <x:c r="B515" s="187" t="n">
        <x:v>44166</x:v>
      </x:c>
      <x:c r="C515" s="187" t="n">
        <x:v>44169</x:v>
      </x:c>
      <x:c r="D515" s="186" t="str">
        <x:v>084691-SILVER</x:v>
      </x:c>
      <x:c r="E515" s="186" t="str">
        <x:v>SILVER - COMMODITY EXCHANGE INC.</x:v>
      </x:c>
      <x:c r="F515" s="186" t="n">
        <x:v>152372</x:v>
      </x:c>
      <x:c r="G515" s="186" t="n">
        <x:v>8163</x:v>
      </x:c>
      <x:c r="H515" s="186" t="n">
        <x:v>60619</x:v>
      </x:c>
      <x:c r="I515" s="186" t="n">
        <x:f>G515-H515</x:f>
        <x:v>-52456</x:v>
      </x:c>
      <x:c r="J515" s="186" t="n">
        <x:v>31675</x:v>
      </x:c>
      <x:c r="K515" s="186" t="n">
        <x:v>41104</x:v>
      </x:c>
      <x:c r="L515" s="186" t="n">
        <x:f>J515-K515</x:f>
        <x:v>-9429</x:v>
      </x:c>
      <x:c r="M515" s="186" t="n">
        <x:v>64370</x:v>
      </x:c>
      <x:c r="N515" s="186" t="n">
        <x:v>21664</x:v>
      </x:c>
      <x:c r="O515" s="186" t="n">
        <x:f>M515-N515</x:f>
        <x:v>42706</x:v>
      </x:c>
      <x:c r="P515" s="186" t="n">
        <x:v>12653</x:v>
      </x:c>
      <x:c r="Q515" s="186" t="n">
        <x:v>7467</x:v>
      </x:c>
      <x:c r="R515" s="186" t="n">
        <x:f>P515-Q515</x:f>
        <x:v>5186</x:v>
      </x:c>
      <x:c r="S515" s="186" t="n">
        <x:v>24131</x:v>
      </x:c>
      <x:c r="T515" s="186" t="n">
        <x:v>10138</x:v>
      </x:c>
      <x:c r="U515" s="186" t="n">
        <x:f>S515-T515</x:f>
        <x:v>13993</x:v>
      </x:c>
      <x:c r="V515" s="196" t="n">
        <x:f>IFERROR(O515/F515,"")</x:f>
        <x:v>0.280274591132229</x:v>
      </x:c>
      <x:c r="W515" s="196" t="n">
        <x:f>IFERROR(I515/F515,"")</x:f>
        <x:v>-0.3442627254351193</x:v>
      </x:c>
    </x:row>
    <x:row r="516">
      <x:c r="A516" s="186" t="str">
        <x:v>Gold</x:v>
      </x:c>
      <x:c r="B516" s="187" t="n">
        <x:v>44173</x:v>
      </x:c>
      <x:c r="C516" s="187" t="n">
        <x:v>44176</x:v>
      </x:c>
      <x:c r="D516" s="186" t="str">
        <x:v>088691-GOLD</x:v>
      </x:c>
      <x:c r="E516" s="186" t="str">
        <x:v>GOLD - COMMODITY EXCHANGE INC.</x:v>
      </x:c>
      <x:c r="F516" s="186" t="n">
        <x:v>549520</x:v>
      </x:c>
      <x:c r="G516" s="186" t="n">
        <x:v>15367</x:v>
      </x:c>
      <x:c r="H516" s="186" t="n">
        <x:v>118240</x:v>
      </x:c>
      <x:c r="I516" s="186" t="n">
        <x:f>G516-H516</x:f>
        <x:v>-102873</x:v>
      </x:c>
      <x:c r="J516" s="186" t="n">
        <x:v>71031</x:v>
      </x:c>
      <x:c r="K516" s="186" t="n">
        <x:v>268881</x:v>
      </x:c>
      <x:c r="L516" s="186" t="n">
        <x:f>J516-K516</x:f>
        <x:v>-197850</x:v>
      </x:c>
      <x:c r="M516" s="186" t="n">
        <x:v>147844</x:v>
      </x:c>
      <x:c r="N516" s="186" t="n">
        <x:v>49033</x:v>
      </x:c>
      <x:c r="O516" s="186" t="n">
        <x:f>M516-N516</x:f>
        <x:v>98811</x:v>
      </x:c>
      <x:c r="P516" s="186" t="n">
        <x:v>190427</x:v>
      </x:c>
      <x:c r="Q516" s="186" t="n">
        <x:v>20018</x:v>
      </x:c>
      <x:c r="R516" s="186" t="n">
        <x:f>P516-Q516</x:f>
        <x:v>170409</x:v>
      </x:c>
      <x:c r="S516" s="186" t="n">
        <x:v>55752</x:v>
      </x:c>
      <x:c r="T516" s="186" t="n">
        <x:v>24249</x:v>
      </x:c>
      <x:c r="U516" s="186" t="n">
        <x:f>S516-T516</x:f>
        <x:v>31503</x:v>
      </x:c>
      <x:c r="V516" s="196" t="n">
        <x:f>IFERROR(O516/F516,"")</x:f>
        <x:v>0.17981329159994178</x:v>
      </x:c>
      <x:c r="W516" s="196" t="n">
        <x:f>IFERROR(I516/F516,"")</x:f>
        <x:v>-0.18720519726306595</x:v>
      </x:c>
    </x:row>
    <x:row r="517">
      <x:c r="A517" s="186" t="str">
        <x:v>Silver</x:v>
      </x:c>
      <x:c r="B517" s="187" t="n">
        <x:v>44173</x:v>
      </x:c>
      <x:c r="C517" s="187" t="n">
        <x:v>44176</x:v>
      </x:c>
      <x:c r="D517" s="186" t="str">
        <x:v>084691-SILVER</x:v>
      </x:c>
      <x:c r="E517" s="186" t="str">
        <x:v>SILVER - COMMODITY EXCHANGE INC.</x:v>
      </x:c>
      <x:c r="F517" s="186" t="n">
        <x:v>154821</x:v>
      </x:c>
      <x:c r="G517" s="186" t="n">
        <x:v>7424</x:v>
      </x:c>
      <x:c r="H517" s="186" t="n">
        <x:v>60711</x:v>
      </x:c>
      <x:c r="I517" s="186" t="n">
        <x:f>G517-H517</x:f>
        <x:v>-53287</x:v>
      </x:c>
      <x:c r="J517" s="186" t="n">
        <x:v>30144</x:v>
      </x:c>
      <x:c r="K517" s="186" t="n">
        <x:v>43779</x:v>
      </x:c>
      <x:c r="L517" s="186" t="n">
        <x:f>J517-K517</x:f>
        <x:v>-13635</x:v>
      </x:c>
      <x:c r="M517" s="186" t="n">
        <x:v>66057</x:v>
      </x:c>
      <x:c r="N517" s="186" t="n">
        <x:v>23275</x:v>
      </x:c>
      <x:c r="O517" s="186" t="n">
        <x:f>M517-N517</x:f>
        <x:v>42782</x:v>
      </x:c>
      <x:c r="P517" s="186" t="n">
        <x:v>13253</x:v>
      </x:c>
      <x:c r="Q517" s="186" t="n">
        <x:v>7659</x:v>
      </x:c>
      <x:c r="R517" s="186" t="n">
        <x:f>P517-Q517</x:f>
        <x:v>5594</x:v>
      </x:c>
      <x:c r="S517" s="186" t="n">
        <x:v>27611</x:v>
      </x:c>
      <x:c r="T517" s="186" t="n">
        <x:v>9065</x:v>
      </x:c>
      <x:c r="U517" s="186" t="n">
        <x:f>S517-T517</x:f>
        <x:v>18546</x:v>
      </x:c>
      <x:c r="V517" s="196" t="n">
        <x:f>IFERROR(O517/F517,"")</x:f>
        <x:v>0.2763320221416991</x:v>
      </x:c>
      <x:c r="W517" s="196" t="n">
        <x:f>IFERROR(I517/F517,"")</x:f>
        <x:v>-0.3441845744440354</x:v>
      </x:c>
    </x:row>
    <x:row r="518">
      <x:c r="A518" s="186" t="str">
        <x:v>Gold</x:v>
      </x:c>
      <x:c r="B518" s="187" t="n">
        <x:v>44180</x:v>
      </x:c>
      <x:c r="C518" s="187" t="n">
        <x:v>44183</x:v>
      </x:c>
      <x:c r="D518" s="186" t="str">
        <x:v>088691-GOLD</x:v>
      </x:c>
      <x:c r="E518" s="186" t="str">
        <x:v>GOLD - COMMODITY EXCHANGE INC.</x:v>
      </x:c>
      <x:c r="F518" s="186" t="n">
        <x:v>550366</x:v>
      </x:c>
      <x:c r="G518" s="186" t="n">
        <x:v>14192</x:v>
      </x:c>
      <x:c r="H518" s="186" t="n">
        <x:v>118294</x:v>
      </x:c>
      <x:c r="I518" s="186" t="n">
        <x:f>G518-H518</x:f>
        <x:v>-104102</x:v>
      </x:c>
      <x:c r="J518" s="186" t="n">
        <x:v>69353</x:v>
      </x:c>
      <x:c r="K518" s="186" t="n">
        <x:v>271593</x:v>
      </x:c>
      <x:c r="L518" s="186" t="n">
        <x:f>J518-K518</x:f>
        <x:v>-202240</x:v>
      </x:c>
      <x:c r="M518" s="186" t="n">
        <x:v>151901</x:v>
      </x:c>
      <x:c r="N518" s="186" t="n">
        <x:v>50022</x:v>
      </x:c>
      <x:c r="O518" s="186" t="n">
        <x:f>M518-N518</x:f>
        <x:v>101879</x:v>
      </x:c>
      <x:c r="P518" s="186" t="n">
        <x:v>188709</x:v>
      </x:c>
      <x:c r="Q518" s="186" t="n">
        <x:v>19004</x:v>
      </x:c>
      <x:c r="R518" s="186" t="n">
        <x:f>P518-Q518</x:f>
        <x:v>169705</x:v>
      </x:c>
      <x:c r="S518" s="186" t="n">
        <x:v>57079</x:v>
      </x:c>
      <x:c r="T518" s="186" t="n">
        <x:v>22321</x:v>
      </x:c>
      <x:c r="U518" s="186" t="n">
        <x:f>S518-T518</x:f>
        <x:v>34758</x:v>
      </x:c>
      <x:c r="V518" s="196" t="n">
        <x:f>IFERROR(O518/F518,"")</x:f>
        <x:v>0.18511136225711616</x:v>
      </x:c>
      <x:c r="W518" s="196" t="n">
        <x:f>IFERROR(I518/F518,"")</x:f>
        <x:v>-0.18915049258130046</x:v>
      </x:c>
    </x:row>
    <x:row r="519">
      <x:c r="A519" s="186" t="str">
        <x:v>Silver</x:v>
      </x:c>
      <x:c r="B519" s="187" t="n">
        <x:v>44180</x:v>
      </x:c>
      <x:c r="C519" s="187" t="n">
        <x:v>44183</x:v>
      </x:c>
      <x:c r="D519" s="186" t="str">
        <x:v>084691-SILVER</x:v>
      </x:c>
      <x:c r="E519" s="186" t="str">
        <x:v>SILVER - COMMODITY EXCHANGE INC.</x:v>
      </x:c>
      <x:c r="F519" s="186" t="n">
        <x:v>158268</x:v>
      </x:c>
      <x:c r="G519" s="186" t="n">
        <x:v>7675</x:v>
      </x:c>
      <x:c r="H519" s="186" t="n">
        <x:v>60833</x:v>
      </x:c>
      <x:c r="I519" s="186" t="n">
        <x:f>G519-H519</x:f>
        <x:v>-53158</x:v>
      </x:c>
      <x:c r="J519" s="186" t="n">
        <x:v>29649</x:v>
      </x:c>
      <x:c r="K519" s="186" t="n">
        <x:v>45481</x:v>
      </x:c>
      <x:c r="L519" s="186" t="n">
        <x:f>J519-K519</x:f>
        <x:v>-15832</x:v>
      </x:c>
      <x:c r="M519" s="186" t="n">
        <x:v>66679</x:v>
      </x:c>
      <x:c r="N519" s="186" t="n">
        <x:v>23499</x:v>
      </x:c>
      <x:c r="O519" s="186" t="n">
        <x:f>M519-N519</x:f>
        <x:v>43180</x:v>
      </x:c>
      <x:c r="P519" s="186" t="n">
        <x:v>14010</x:v>
      </x:c>
      <x:c r="Q519" s="186" t="n">
        <x:v>7678</x:v>
      </x:c>
      <x:c r="R519" s="186" t="n">
        <x:f>P519-Q519</x:f>
        <x:v>6332</x:v>
      </x:c>
      <x:c r="S519" s="186" t="n">
        <x:v>28350</x:v>
      </x:c>
      <x:c r="T519" s="186" t="n">
        <x:v>8872</x:v>
      </x:c>
      <x:c r="U519" s="186" t="n">
        <x:f>S519-T519</x:f>
        <x:v>19478</x:v>
      </x:c>
      <x:c r="V519" s="196" t="n">
        <x:f>IFERROR(O519/F519,"")</x:f>
        <x:v>0.2728283670735714</x:v>
      </x:c>
      <x:c r="W519" s="196" t="n">
        <x:f>IFERROR(I519/F519,"")</x:f>
        <x:v>-0.33587332878408777</x:v>
      </x:c>
    </x:row>
    <x:row r="520">
      <x:c r="A520" s="186" t="str">
        <x:v>Gold</x:v>
      </x:c>
      <x:c r="B520" s="187" t="n">
        <x:v>44186</x:v>
      </x:c>
      <x:c r="C520" s="187" t="n">
        <x:v>44189</x:v>
      </x:c>
      <x:c r="D520" s="186" t="str">
        <x:v>088691-GOLD</x:v>
      </x:c>
      <x:c r="E520" s="186" t="str">
        <x:v>GOLD - COMMODITY EXCHANGE INC.</x:v>
      </x:c>
      <x:c r="F520" s="186" t="n">
        <x:v>560769</x:v>
      </x:c>
      <x:c r="G520" s="186" t="n">
        <x:v>12636</x:v>
      </x:c>
      <x:c r="H520" s="186" t="n">
        <x:v>120377</x:v>
      </x:c>
      <x:c r="I520" s="186" t="n">
        <x:f>G520-H520</x:f>
        <x:v>-107741</x:v>
      </x:c>
      <x:c r="J520" s="186" t="n">
        <x:v>68376</x:v>
      </x:c>
      <x:c r="K520" s="186" t="n">
        <x:v>275734</x:v>
      </x:c>
      <x:c r="L520" s="186" t="n">
        <x:f>J520-K520</x:f>
        <x:v>-207358</x:v>
      </x:c>
      <x:c r="M520" s="186" t="n">
        <x:v>158194</x:v>
      </x:c>
      <x:c r="N520" s="186" t="n">
        <x:v>50070</x:v>
      </x:c>
      <x:c r="O520" s="186" t="n">
        <x:f>M520-N520</x:f>
        <x:v>108124</x:v>
      </x:c>
      <x:c r="P520" s="186" t="n">
        <x:v>191676</x:v>
      </x:c>
      <x:c r="Q520" s="186" t="n">
        <x:v>21604</x:v>
      </x:c>
      <x:c r="R520" s="186" t="n">
        <x:f>P520-Q520</x:f>
        <x:v>170072</x:v>
      </x:c>
      <x:c r="S520" s="186" t="n">
        <x:v>58780</x:v>
      </x:c>
      <x:c r="T520" s="186" t="n">
        <x:v>21877</x:v>
      </x:c>
      <x:c r="U520" s="186" t="n">
        <x:f>S520-T520</x:f>
        <x:v>36903</x:v>
      </x:c>
      <x:c r="V520" s="196" t="n">
        <x:f>IFERROR(O520/F520,"")</x:f>
        <x:v>0.1928137967683663</x:v>
      </x:c>
      <x:c r="W520" s="196" t="n">
        <x:f>IFERROR(I520/F520,"")</x:f>
        <x:v>-0.19213080608949495</x:v>
      </x:c>
    </x:row>
    <x:row r="521">
      <x:c r="A521" s="186" t="str">
        <x:v>Silver</x:v>
      </x:c>
      <x:c r="B521" s="187" t="n">
        <x:v>44186</x:v>
      </x:c>
      <x:c r="C521" s="187" t="n">
        <x:v>44189</x:v>
      </x:c>
      <x:c r="D521" s="186" t="str">
        <x:v>084691-SILVER</x:v>
      </x:c>
      <x:c r="E521" s="186" t="str">
        <x:v>SILVER - COMMODITY EXCHANGE INC.</x:v>
      </x:c>
      <x:c r="F521" s="186" t="n">
        <x:v>171398</x:v>
      </x:c>
      <x:c r="G521" s="186" t="n">
        <x:v>7792</x:v>
      </x:c>
      <x:c r="H521" s="186" t="n">
        <x:v>65291</x:v>
      </x:c>
      <x:c r="I521" s="186" t="n">
        <x:f>G521-H521</x:f>
        <x:v>-57499</x:v>
      </x:c>
      <x:c r="J521" s="186" t="n">
        <x:v>30593</x:v>
      </x:c>
      <x:c r="K521" s="186" t="n">
        <x:v>50252</x:v>
      </x:c>
      <x:c r="L521" s="186" t="n">
        <x:f>J521-K521</x:f>
        <x:v>-19659</x:v>
      </x:c>
      <x:c r="M521" s="186" t="n">
        <x:v>71548</x:v>
      </x:c>
      <x:c r="N521" s="186" t="n">
        <x:v>24304</x:v>
      </x:c>
      <x:c r="O521" s="186" t="n">
        <x:f>M521-N521</x:f>
        <x:v>47244</x:v>
      </x:c>
      <x:c r="P521" s="186" t="n">
        <x:v>18925</x:v>
      </x:c>
      <x:c r="Q521" s="186" t="n">
        <x:v>8880</x:v>
      </x:c>
      <x:c r="R521" s="186" t="n">
        <x:f>P521-Q521</x:f>
        <x:v>10045</x:v>
      </x:c>
      <x:c r="S521" s="186" t="n">
        <x:v>28804</x:v>
      </x:c>
      <x:c r="T521" s="186" t="n">
        <x:v>8935</x:v>
      </x:c>
      <x:c r="U521" s="186" t="n">
        <x:f>S521-T521</x:f>
        <x:v>19869</x:v>
      </x:c>
      <x:c r="V521" s="196" t="n">
        <x:f>IFERROR(O521/F521,"")</x:f>
        <x:v>0.27563915564942415</x:v>
      </x:c>
      <x:c r="W521" s="196" t="n">
        <x:f>IFERROR(I521/F521,"")</x:f>
        <x:v>-0.3354706589341766</x:v>
      </x:c>
    </x:row>
    <x:row r="522">
      <x:c r="A522" s="186" t="str">
        <x:v>Gold</x:v>
      </x:c>
      <x:c r="B522" s="187" t="n">
        <x:v>44194</x:v>
      </x:c>
      <x:c r="C522" s="187" t="n">
        <x:v>44197</x:v>
      </x:c>
      <x:c r="D522" s="186" t="str">
        <x:v>088691-GOLD</x:v>
      </x:c>
      <x:c r="E522" s="186" t="str">
        <x:v>GOLD - COMMODITY EXCHANGE INC.</x:v>
      </x:c>
      <x:c r="F522" s="186" t="n">
        <x:v>556414</x:v>
      </x:c>
      <x:c r="G522" s="186" t="n">
        <x:v>12327</x:v>
      </x:c>
      <x:c r="H522" s="186" t="n">
        <x:v>117811</x:v>
      </x:c>
      <x:c r="I522" s="186" t="n">
        <x:f>G522-H522</x:f>
        <x:v>-105484</x:v>
      </x:c>
      <x:c r="J522" s="186" t="n">
        <x:v>69183</x:v>
      </x:c>
      <x:c r="K522" s="186" t="n">
        <x:v>270953</x:v>
      </x:c>
      <x:c r="L522" s="186" t="n">
        <x:f>J522-K522</x:f>
        <x:v>-201770</x:v>
      </x:c>
      <x:c r="M522" s="186" t="n">
        <x:v>159673</x:v>
      </x:c>
      <x:c r="N522" s="186" t="n">
        <x:v>50678</x:v>
      </x:c>
      <x:c r="O522" s="186" t="n">
        <x:f>M522-N522</x:f>
        <x:v>108995</x:v>
      </x:c>
      <x:c r="P522" s="186" t="n">
        <x:v>182139</x:v>
      </x:c>
      <x:c r="Q522" s="186" t="n">
        <x:v>22262</x:v>
      </x:c>
      <x:c r="R522" s="186" t="n">
        <x:f>P522-Q522</x:f>
        <x:v>159877</x:v>
      </x:c>
      <x:c r="S522" s="186" t="n">
        <x:v>58726</x:v>
      </x:c>
      <x:c r="T522" s="186" t="n">
        <x:v>20344</x:v>
      </x:c>
      <x:c r="U522" s="186" t="n">
        <x:f>S522-T522</x:f>
        <x:v>38382</x:v>
      </x:c>
      <x:c r="V522" s="196" t="n">
        <x:f>IFERROR(O522/F522,"")</x:f>
        <x:v>0.19588831337816806</x:v>
      </x:c>
      <x:c r="W522" s="196" t="n">
        <x:f>IFERROR(I522/F522,"")</x:f>
        <x:v>-0.18957826366698177</x:v>
      </x:c>
    </x:row>
    <x:row r="523">
      <x:c r="A523" s="186" t="str">
        <x:v>Silver</x:v>
      </x:c>
      <x:c r="B523" s="187" t="n">
        <x:v>44194</x:v>
      </x:c>
      <x:c r="C523" s="187" t="n">
        <x:v>44197</x:v>
      </x:c>
      <x:c r="D523" s="186" t="str">
        <x:v>084691-SILVER</x:v>
      </x:c>
      <x:c r="E523" s="186" t="str">
        <x:v>SILVER - COMMODITY EXCHANGE INC.</x:v>
      </x:c>
      <x:c r="F523" s="186" t="n">
        <x:v>170057</x:v>
      </x:c>
      <x:c r="G523" s="186" t="n">
        <x:v>7925</x:v>
      </x:c>
      <x:c r="H523" s="186" t="n">
        <x:v>63215</x:v>
      </x:c>
      <x:c r="I523" s="186" t="n">
        <x:f>G523-H523</x:f>
        <x:v>-55290</x:v>
      </x:c>
      <x:c r="J523" s="186" t="n">
        <x:v>30283</x:v>
      </x:c>
      <x:c r="K523" s="186" t="n">
        <x:v>50819</x:v>
      </x:c>
      <x:c r="L523" s="186" t="n">
        <x:f>J523-K523</x:f>
        <x:v>-20536</x:v>
      </x:c>
      <x:c r="M523" s="186" t="n">
        <x:v>72144</x:v>
      </x:c>
      <x:c r="N523" s="186" t="n">
        <x:v>26138</x:v>
      </x:c>
      <x:c r="O523" s="186" t="n">
        <x:f>M523-N523</x:f>
        <x:v>46006</x:v>
      </x:c>
      <x:c r="P523" s="186" t="n">
        <x:v>16724</x:v>
      </x:c>
      <x:c r="Q523" s="186" t="n">
        <x:v>7951</x:v>
      </x:c>
      <x:c r="R523" s="186" t="n">
        <x:f>P523-Q523</x:f>
        <x:v>8773</x:v>
      </x:c>
      <x:c r="S523" s="186" t="n">
        <x:v>28971</x:v>
      </x:c>
      <x:c r="T523" s="186" t="n">
        <x:v>7924</x:v>
      </x:c>
      <x:c r="U523" s="186" t="n">
        <x:f>S523-T523</x:f>
        <x:v>21047</x:v>
      </x:c>
      <x:c r="V523" s="196" t="n">
        <x:f>IFERROR(O523/F523,"")</x:f>
        <x:v>0.2705328213481362</x:v>
      </x:c>
      <x:c r="W523" s="196" t="n">
        <x:f>IFERROR(I523/F523,"")</x:f>
        <x:v>-0.32512628118807224</x:v>
      </x:c>
    </x:row>
    <x:row r="524">
      <x:c r="A524" s="186" t="str">
        <x:v>Gold</x:v>
      </x:c>
      <x:c r="B524" s="187" t="n">
        <x:v>44201</x:v>
      </x:c>
      <x:c r="C524" s="187" t="n">
        <x:v>44204</x:v>
      </x:c>
      <x:c r="D524" s="186" t="str">
        <x:v>088691-GOLD</x:v>
      </x:c>
      <x:c r="E524" s="186" t="str">
        <x:v>GOLD - COMMODITY EXCHANGE INC.</x:v>
      </x:c>
      <x:c r="F524" s="186" t="n">
        <x:v>568888</x:v>
      </x:c>
      <x:c r="G524" s="186" t="n">
        <x:v>13307</x:v>
      </x:c>
      <x:c r="H524" s="186" t="n">
        <x:v>118767</x:v>
      </x:c>
      <x:c r="I524" s="186" t="n">
        <x:f>G524-H524</x:f>
        <x:v>-105460</x:v>
      </x:c>
      <x:c r="J524" s="186" t="n">
        <x:v>66849</x:v>
      </x:c>
      <x:c r="K524" s="186" t="n">
        <x:v>282312</x:v>
      </x:c>
      <x:c r="L524" s="186" t="n">
        <x:f>J524-K524</x:f>
        <x:v>-215463</x:v>
      </x:c>
      <x:c r="M524" s="186" t="n">
        <x:v>167096</x:v>
      </x:c>
      <x:c r="N524" s="186" t="n">
        <x:v>50527</x:v>
      </x:c>
      <x:c r="O524" s="186" t="n">
        <x:f>M524-N524</x:f>
        <x:v>116569</x:v>
      </x:c>
      <x:c r="P524" s="186" t="n">
        <x:v>182850</x:v>
      </x:c>
      <x:c r="Q524" s="186" t="n">
        <x:v>20101</x:v>
      </x:c>
      <x:c r="R524" s="186" t="n">
        <x:f>P524-Q524</x:f>
        <x:v>162749</x:v>
      </x:c>
      <x:c r="S524" s="186" t="n">
        <x:v>61730</x:v>
      </x:c>
      <x:c r="T524" s="186" t="n">
        <x:v>20125</x:v>
      </x:c>
      <x:c r="U524" s="186" t="n">
        <x:f>S524-T524</x:f>
        <x:v>41605</x:v>
      </x:c>
      <x:c r="V524" s="196" t="n">
        <x:f>IFERROR(O524/F524,"")</x:f>
        <x:v>0.20490676547932107</x:v>
      </x:c>
      <x:c r="W524" s="196" t="n">
        <x:f>IFERROR(I524/F524,"")</x:f>
        <x:v>-0.1853791959049936</x:v>
      </x:c>
    </x:row>
    <x:row r="525">
      <x:c r="A525" s="186" t="str">
        <x:v>Silver</x:v>
      </x:c>
      <x:c r="B525" s="187" t="n">
        <x:v>44201</x:v>
      </x:c>
      <x:c r="C525" s="187" t="n">
        <x:v>44204</x:v>
      </x:c>
      <x:c r="D525" s="186" t="str">
        <x:v>084691-SILVER</x:v>
      </x:c>
      <x:c r="E525" s="186" t="str">
        <x:v>SILVER - COMMODITY EXCHANGE INC.</x:v>
      </x:c>
      <x:c r="F525" s="186" t="n">
        <x:v>176005</x:v>
      </x:c>
      <x:c r="G525" s="186" t="n">
        <x:v>7521</x:v>
      </x:c>
      <x:c r="H525" s="186" t="n">
        <x:v>63523</x:v>
      </x:c>
      <x:c r="I525" s="186" t="n">
        <x:f>G525-H525</x:f>
        <x:v>-56002</x:v>
      </x:c>
      <x:c r="J525" s="186" t="n">
        <x:v>30908</x:v>
      </x:c>
      <x:c r="K525" s="186" t="n">
        <x:v>52420</x:v>
      </x:c>
      <x:c r="L525" s="186" t="n">
        <x:f>J525-K525</x:f>
        <x:v>-21512</x:v>
      </x:c>
      <x:c r="M525" s="186" t="n">
        <x:v>73290</x:v>
      </x:c>
      <x:c r="N525" s="186" t="n">
        <x:v>27400</x:v>
      </x:c>
      <x:c r="O525" s="186" t="n">
        <x:f>M525-N525</x:f>
        <x:v>45890</x:v>
      </x:c>
      <x:c r="P525" s="186" t="n">
        <x:v>17487</x:v>
      </x:c>
      <x:c r="Q525" s="186" t="n">
        <x:v>7826</x:v>
      </x:c>
      <x:c r="R525" s="186" t="n">
        <x:f>P525-Q525</x:f>
        <x:v>9661</x:v>
      </x:c>
      <x:c r="S525" s="186" t="n">
        <x:v>30481</x:v>
      </x:c>
      <x:c r="T525" s="186" t="n">
        <x:v>8518</x:v>
      </x:c>
      <x:c r="U525" s="186" t="n">
        <x:f>S525-T525</x:f>
        <x:v>21963</x:v>
      </x:c>
      <x:c r="V525" s="196" t="n">
        <x:f>IFERROR(O525/F525,"")</x:f>
        <x:v>0.26073122922644243</x:v>
      </x:c>
      <x:c r="W525" s="196" t="n">
        <x:f>IFERROR(I525/F525,"")</x:f>
        <x:v>-0.31818414249595184</x:v>
      </x:c>
    </x:row>
    <x:row r="526">
      <x:c r="A526" s="186" t="str">
        <x:v>Gold</x:v>
      </x:c>
      <x:c r="B526" s="187" t="n">
        <x:v>44208</x:v>
      </x:c>
      <x:c r="C526" s="187" t="n">
        <x:v>44211</x:v>
      </x:c>
      <x:c r="D526" s="186" t="str">
        <x:v>088691-GOLD</x:v>
      </x:c>
      <x:c r="E526" s="186" t="str">
        <x:v>GOLD - COMMODITY EXCHANGE INC.</x:v>
      </x:c>
      <x:c r="F526" s="186" t="n">
        <x:v>555538</x:v>
      </x:c>
      <x:c r="G526" s="186" t="n">
        <x:v>15210</x:v>
      </x:c>
      <x:c r="H526" s="186" t="n">
        <x:v>113944</x:v>
      </x:c>
      <x:c r="I526" s="186" t="n">
        <x:f>G526-H526</x:f>
        <x:v>-98734</x:v>
      </x:c>
      <x:c r="J526" s="186" t="n">
        <x:v>67748</x:v>
      </x:c>
      <x:c r="K526" s="186" t="n">
        <x:v>259315</x:v>
      </x:c>
      <x:c r="L526" s="186" t="n">
        <x:f>J526-K526</x:f>
        <x:v>-191567</x:v>
      </x:c>
      <x:c r="M526" s="186" t="n">
        <x:v>131057</x:v>
      </x:c>
      <x:c r="N526" s="186" t="n">
        <x:v>52823</x:v>
      </x:c>
      <x:c r="O526" s="186" t="n">
        <x:f>M526-N526</x:f>
        <x:v>78234</x:v>
      </x:c>
      <x:c r="P526" s="186" t="n">
        <x:v>182160</x:v>
      </x:c>
      <x:c r="Q526" s="186" t="n">
        <x:v>14167</x:v>
      </x:c>
      <x:c r="R526" s="186" t="n">
        <x:f>P526-Q526</x:f>
        <x:v>167993</x:v>
      </x:c>
      <x:c r="S526" s="186" t="n">
        <x:v>62806</x:v>
      </x:c>
      <x:c r="T526" s="186" t="n">
        <x:v>18732</x:v>
      </x:c>
      <x:c r="U526" s="186" t="n">
        <x:f>S526-T526</x:f>
        <x:v>44074</x:v>
      </x:c>
      <x:c r="V526" s="196" t="n">
        <x:f>IFERROR(O526/F526,"")</x:f>
        <x:v>0.14082565009054285</x:v>
      </x:c>
      <x:c r="W526" s="196" t="n">
        <x:f>IFERROR(I526/F526,"")</x:f>
        <x:v>-0.1777268161673909</x:v>
      </x:c>
    </x:row>
    <x:row r="527">
      <x:c r="A527" s="186" t="str">
        <x:v>Silver</x:v>
      </x:c>
      <x:c r="B527" s="187" t="n">
        <x:v>44208</x:v>
      </x:c>
      <x:c r="C527" s="187" t="n">
        <x:v>44211</x:v>
      </x:c>
      <x:c r="D527" s="186" t="str">
        <x:v>084691-SILVER</x:v>
      </x:c>
      <x:c r="E527" s="186" t="str">
        <x:v>SILVER - COMMODITY EXCHANGE INC.</x:v>
      </x:c>
      <x:c r="F527" s="186" t="n">
        <x:v>170033</x:v>
      </x:c>
      <x:c r="G527" s="186" t="n">
        <x:v>7639</x:v>
      </x:c>
      <x:c r="H527" s="186" t="n">
        <x:v>58760</x:v>
      </x:c>
      <x:c r="I527" s="186" t="n">
        <x:f>G527-H527</x:f>
        <x:v>-51121</x:v>
      </x:c>
      <x:c r="J527" s="186" t="n">
        <x:v>31190</x:v>
      </x:c>
      <x:c r="K527" s="186" t="n">
        <x:v>50055</x:v>
      </x:c>
      <x:c r="L527" s="186" t="n">
        <x:f>J527-K527</x:f>
        <x:v>-18865</x:v>
      </x:c>
      <x:c r="M527" s="186" t="n">
        <x:v>69805</x:v>
      </x:c>
      <x:c r="N527" s="186" t="n">
        <x:v>27861</x:v>
      </x:c>
      <x:c r="O527" s="186" t="n">
        <x:f>M527-N527</x:f>
        <x:v>41944</x:v>
      </x:c>
      <x:c r="P527" s="186" t="n">
        <x:v>18100</x:v>
      </x:c>
      <x:c r="Q527" s="186" t="n">
        <x:v>7252</x:v>
      </x:c>
      <x:c r="R527" s="186" t="n">
        <x:f>P527-Q527</x:f>
        <x:v>10848</x:v>
      </x:c>
      <x:c r="S527" s="186" t="n">
        <x:v>27520</x:v>
      </x:c>
      <x:c r="T527" s="186" t="n">
        <x:v>10326</x:v>
      </x:c>
      <x:c r="U527" s="186" t="n">
        <x:f>S527-T527</x:f>
        <x:v>17194</x:v>
      </x:c>
      <x:c r="V527" s="196" t="n">
        <x:f>IFERROR(O527/F527,"")</x:f>
        <x:v>0.24668152652720354</x:v>
      </x:c>
      <x:c r="W527" s="196" t="n">
        <x:f>IFERROR(I527/F527,"")</x:f>
        <x:v>-0.3006534025747943</x:v>
      </x:c>
    </x:row>
    <x:row r="528">
      <x:c r="A528" s="186" t="str">
        <x:v>Gold</x:v>
      </x:c>
      <x:c r="B528" s="187" t="n">
        <x:v>44215</x:v>
      </x:c>
      <x:c r="C528" s="187" t="n">
        <x:v>44218</x:v>
      </x:c>
      <x:c r="D528" s="186" t="str">
        <x:v>088691-GOLD</x:v>
      </x:c>
      <x:c r="E528" s="186" t="str">
        <x:v>GOLD - COMMODITY EXCHANGE INC.</x:v>
      </x:c>
      <x:c r="F528" s="186" t="n">
        <x:v>541330</x:v>
      </x:c>
      <x:c r="G528" s="186" t="n">
        <x:v>13477</x:v>
      </x:c>
      <x:c r="H528" s="186" t="n">
        <x:v>114372</x:v>
      </x:c>
      <x:c r="I528" s="186" t="n">
        <x:f>G528-H528</x:f>
        <x:v>-100895</x:v>
      </x:c>
      <x:c r="J528" s="186" t="n">
        <x:v>67123</x:v>
      </x:c>
      <x:c r="K528" s="186" t="n">
        <x:v>253695</x:v>
      </x:c>
      <x:c r="L528" s="186" t="n">
        <x:f>J528-K528</x:f>
        <x:v>-186572</x:v>
      </x:c>
      <x:c r="M528" s="186" t="n">
        <x:v>127161</x:v>
      </x:c>
      <x:c r="N528" s="186" t="n">
        <x:v>49090</x:v>
      </x:c>
      <x:c r="O528" s="186" t="n">
        <x:f>M528-N528</x:f>
        <x:v>78071</x:v>
      </x:c>
      <x:c r="P528" s="186" t="n">
        <x:v>180346</x:v>
      </x:c>
      <x:c r="Q528" s="186" t="n">
        <x:v>11779</x:v>
      </x:c>
      <x:c r="R528" s="186" t="n">
        <x:f>P528-Q528</x:f>
        <x:v>168567</x:v>
      </x:c>
      <x:c r="S528" s="186" t="n">
        <x:v>60731</x:v>
      </x:c>
      <x:c r="T528" s="186" t="n">
        <x:v>19902</x:v>
      </x:c>
      <x:c r="U528" s="186" t="n">
        <x:f>S528-T528</x:f>
        <x:v>40829</x:v>
      </x:c>
      <x:c r="V528" s="196" t="n">
        <x:f>IFERROR(O528/F528,"")</x:f>
        <x:v>0.14422071564480077</x:v>
      </x:c>
      <x:c r="W528" s="196" t="n">
        <x:f>IFERROR(I528/F528,"")</x:f>
        <x:v>-0.1863835368444387</x:v>
      </x:c>
    </x:row>
    <x:row r="529">
      <x:c r="A529" s="186" t="str">
        <x:v>Silver</x:v>
      </x:c>
      <x:c r="B529" s="187" t="n">
        <x:v>44215</x:v>
      </x:c>
      <x:c r="C529" s="187" t="n">
        <x:v>44218</x:v>
      </x:c>
      <x:c r="D529" s="186" t="str">
        <x:v>084691-SILVER</x:v>
      </x:c>
      <x:c r="E529" s="186" t="str">
        <x:v>SILVER - COMMODITY EXCHANGE INC.</x:v>
      </x:c>
      <x:c r="F529" s="186" t="n">
        <x:v>166896</x:v>
      </x:c>
      <x:c r="G529" s="186" t="n">
        <x:v>7067</x:v>
      </x:c>
      <x:c r="H529" s="186" t="n">
        <x:v>57553</x:v>
      </x:c>
      <x:c r="I529" s="186" t="n">
        <x:f>G529-H529</x:f>
        <x:v>-50486</x:v>
      </x:c>
      <x:c r="J529" s="186" t="n">
        <x:v>30634</x:v>
      </x:c>
      <x:c r="K529" s="186" t="n">
        <x:v>50464</x:v>
      </x:c>
      <x:c r="L529" s="186" t="n">
        <x:f>J529-K529</x:f>
        <x:v>-19830</x:v>
      </x:c>
      <x:c r="M529" s="186" t="n">
        <x:v>65788</x:v>
      </x:c>
      <x:c r="N529" s="186" t="n">
        <x:v>25626</x:v>
      </x:c>
      <x:c r="O529" s="186" t="n">
        <x:f>M529-N529</x:f>
        <x:v>40162</x:v>
      </x:c>
      <x:c r="P529" s="186" t="n">
        <x:v>18221</x:v>
      </x:c>
      <x:c r="Q529" s="186" t="n">
        <x:v>6381</x:v>
      </x:c>
      <x:c r="R529" s="186" t="n">
        <x:f>P529-Q529</x:f>
        <x:v>11840</x:v>
      </x:c>
      <x:c r="S529" s="186" t="n">
        <x:v>27907</x:v>
      </x:c>
      <x:c r="T529" s="186" t="n">
        <x:v>9593</x:v>
      </x:c>
      <x:c r="U529" s="186" t="n">
        <x:f>S529-T529</x:f>
        <x:v>18314</x:v>
      </x:c>
      <x:c r="V529" s="196" t="n">
        <x:f>IFERROR(O529/F529,"")</x:f>
        <x:v>0.24064087815166332</x:v>
      </x:c>
      <x:c r="W529" s="196" t="n">
        <x:f>IFERROR(I529/F529,"")</x:f>
        <x:v>-0.3024997603297862</x:v>
      </x:c>
    </x:row>
    <x:row r="530">
      <x:c r="A530" s="186" t="str">
        <x:v>Gold</x:v>
      </x:c>
      <x:c r="B530" s="187" t="n">
        <x:v>44222</x:v>
      </x:c>
      <x:c r="C530" s="187" t="n">
        <x:v>44225</x:v>
      </x:c>
      <x:c r="D530" s="186" t="str">
        <x:v>088691-GOLD</x:v>
      </x:c>
      <x:c r="E530" s="186" t="str">
        <x:v>GOLD - COMMODITY EXCHANGE INC.</x:v>
      </x:c>
      <x:c r="F530" s="186" t="n">
        <x:v>534574</x:v>
      </x:c>
      <x:c r="G530" s="186" t="n">
        <x:v>10278</x:v>
      </x:c>
      <x:c r="H530" s="186" t="n">
        <x:v>113013</x:v>
      </x:c>
      <x:c r="I530" s="186" t="n">
        <x:f>G530-H530</x:f>
        <x:v>-102735</x:v>
      </x:c>
      <x:c r="J530" s="186" t="n">
        <x:v>66964</x:v>
      </x:c>
      <x:c r="K530" s="186" t="n">
        <x:v>263177</x:v>
      </x:c>
      <x:c r="L530" s="186" t="n">
        <x:f>J530-K530</x:f>
        <x:v>-196213</x:v>
      </x:c>
      <x:c r="M530" s="186" t="n">
        <x:v>142815</x:v>
      </x:c>
      <x:c r="N530" s="186" t="n">
        <x:v>46416</x:v>
      </x:c>
      <x:c r="O530" s="186" t="n">
        <x:f>M530-N530</x:f>
        <x:v>96399</x:v>
      </x:c>
      <x:c r="P530" s="186" t="n">
        <x:v>170717</x:v>
      </x:c>
      <x:c r="Q530" s="186" t="n">
        <x:v>9570</x:v>
      </x:c>
      <x:c r="R530" s="186" t="n">
        <x:f>P530-Q530</x:f>
        <x:v>161147</x:v>
      </x:c>
      <x:c r="S530" s="186" t="n">
        <x:v>60968</x:v>
      </x:c>
      <x:c r="T530" s="186" t="n">
        <x:v>19566</x:v>
      </x:c>
      <x:c r="U530" s="186" t="n">
        <x:f>S530-T530</x:f>
        <x:v>41402</x:v>
      </x:c>
      <x:c r="V530" s="196" t="n">
        <x:f>IFERROR(O530/F530,"")</x:f>
        <x:v>0.18032863551164105</x:v>
      </x:c>
      <x:c r="W530" s="196" t="n">
        <x:f>IFERROR(I530/F530,"")</x:f>
        <x:v>-0.19218106380033448</x:v>
      </x:c>
    </x:row>
    <x:row r="531">
      <x:c r="A531" s="186" t="str">
        <x:v>Silver</x:v>
      </x:c>
      <x:c r="B531" s="187" t="n">
        <x:v>44222</x:v>
      </x:c>
      <x:c r="C531" s="187" t="n">
        <x:v>44225</x:v>
      </x:c>
      <x:c r="D531" s="186" t="str">
        <x:v>084691-SILVER</x:v>
      </x:c>
      <x:c r="E531" s="186" t="str">
        <x:v>SILVER - COMMODITY EXCHANGE INC.</x:v>
      </x:c>
      <x:c r="F531" s="186" t="n">
        <x:v>167880</x:v>
      </x:c>
      <x:c r="G531" s="186" t="n">
        <x:v>7023</x:v>
      </x:c>
      <x:c r="H531" s="186" t="n">
        <x:v>59931</x:v>
      </x:c>
      <x:c r="I531" s="186" t="n">
        <x:f>G531-H531</x:f>
        <x:v>-52908</x:v>
      </x:c>
      <x:c r="J531" s="186" t="n">
        <x:v>30621</x:v>
      </x:c>
      <x:c r="K531" s="186" t="n">
        <x:v>51125</x:v>
      </x:c>
      <x:c r="L531" s="186" t="n">
        <x:f>J531-K531</x:f>
        <x:v>-20504</x:v>
      </x:c>
      <x:c r="M531" s="186" t="n">
        <x:v>66111</x:v>
      </x:c>
      <x:c r="N531" s="186" t="n">
        <x:v>23113</x:v>
      </x:c>
      <x:c r="O531" s="186" t="n">
        <x:f>M531-N531</x:f>
        <x:v>42998</x:v>
      </x:c>
      <x:c r="P531" s="186" t="n">
        <x:v>18333</x:v>
      </x:c>
      <x:c r="Q531" s="186" t="n">
        <x:v>6871</x:v>
      </x:c>
      <x:c r="R531" s="186" t="n">
        <x:f>P531-Q531</x:f>
        <x:v>11462</x:v>
      </x:c>
      <x:c r="S531" s="186" t="n">
        <x:v>28344</x:v>
      </x:c>
      <x:c r="T531" s="186" t="n">
        <x:v>9392</x:v>
      </x:c>
      <x:c r="U531" s="186" t="n">
        <x:f>S531-T531</x:f>
        <x:v>18952</x:v>
      </x:c>
      <x:c r="V531" s="196" t="n">
        <x:f>IFERROR(O531/F531,"")</x:f>
        <x:v>0.2561234214915416</x:v>
      </x:c>
      <x:c r="W531" s="196" t="n">
        <x:f>IFERROR(I531/F531,"")</x:f>
        <x:v>-0.31515368120085774</x:v>
      </x:c>
    </x:row>
    <x:row r="532">
      <x:c r="A532" s="186" t="str">
        <x:v>Gold</x:v>
      </x:c>
      <x:c r="B532" s="187" t="n">
        <x:v>44229</x:v>
      </x:c>
      <x:c r="C532" s="187" t="n">
        <x:v>44232</x:v>
      </x:c>
      <x:c r="D532" s="186" t="str">
        <x:v>088691-GOLD</x:v>
      </x:c>
      <x:c r="E532" s="186" t="str">
        <x:v>GOLD - COMMODITY EXCHANGE INC.</x:v>
      </x:c>
      <x:c r="F532" s="186" t="n">
        <x:v>520011</x:v>
      </x:c>
      <x:c r="G532" s="186" t="n">
        <x:v>10760</x:v>
      </x:c>
      <x:c r="H532" s="186" t="n">
        <x:v>114887</x:v>
      </x:c>
      <x:c r="I532" s="186" t="n">
        <x:f>G532-H532</x:f>
        <x:v>-104127</x:v>
      </x:c>
      <x:c r="J532" s="186" t="n">
        <x:v>64507</x:v>
      </x:c>
      <x:c r="K532" s="186" t="n">
        <x:v>258337</x:v>
      </x:c>
      <x:c r="L532" s="186" t="n">
        <x:f>J532-K532</x:f>
        <x:v>-193830</x:v>
      </x:c>
      <x:c r="M532" s="186" t="n">
        <x:v>137062</x:v>
      </x:c>
      <x:c r="N532" s="186" t="n">
        <x:v>49284</x:v>
      </x:c>
      <x:c r="O532" s="186" t="n">
        <x:f>M532-N532</x:f>
        <x:v>87778</x:v>
      </x:c>
      <x:c r="P532" s="186" t="n">
        <x:v>177290</x:v>
      </x:c>
      <x:c r="Q532" s="186" t="n">
        <x:v>7942</x:v>
      </x:c>
      <x:c r="R532" s="186" t="n">
        <x:f>P532-Q532</x:f>
        <x:v>169348</x:v>
      </x:c>
      <x:c r="S532" s="186" t="n">
        <x:v>59451</x:v>
      </x:c>
      <x:c r="T532" s="186" t="n">
        <x:v>18620</x:v>
      </x:c>
      <x:c r="U532" s="186" t="n">
        <x:f>S532-T532</x:f>
        <x:v>40831</x:v>
      </x:c>
      <x:c r="V532" s="196" t="n">
        <x:f>IFERROR(O532/F532,"")</x:f>
        <x:v>0.16880027537879005</x:v>
      </x:c>
      <x:c r="W532" s="196" t="n">
        <x:f>IFERROR(I532/F532,"")</x:f>
        <x:v>-0.2002399949231843</x:v>
      </x:c>
    </x:row>
    <x:row r="533">
      <x:c r="A533" s="186" t="str">
        <x:v>Silver</x:v>
      </x:c>
      <x:c r="B533" s="187" t="n">
        <x:v>44229</x:v>
      </x:c>
      <x:c r="C533" s="187" t="n">
        <x:v>44232</x:v>
      </x:c>
      <x:c r="D533" s="186" t="str">
        <x:v>084691-SILVER</x:v>
      </x:c>
      <x:c r="E533" s="186" t="str">
        <x:v>SILVER - COMMODITY EXCHANGE INC.</x:v>
      </x:c>
      <x:c r="F533" s="186" t="n">
        <x:v>179786</x:v>
      </x:c>
      <x:c r="G533" s="186" t="n">
        <x:v>7225</x:v>
      </x:c>
      <x:c r="H533" s="186" t="n">
        <x:v>63184</x:v>
      </x:c>
      <x:c r="I533" s="186" t="n">
        <x:f>G533-H533</x:f>
        <x:v>-55959</x:v>
      </x:c>
      <x:c r="J533" s="186" t="n">
        <x:v>31970</x:v>
      </x:c>
      <x:c r="K533" s="186" t="n">
        <x:v>49865</x:v>
      </x:c>
      <x:c r="L533" s="186" t="n">
        <x:f>J533-K533</x:f>
        <x:v>-17895</x:v>
      </x:c>
      <x:c r="M533" s="186" t="n">
        <x:v>61069</x:v>
      </x:c>
      <x:c r="N533" s="186" t="n">
        <x:v>22431</x:v>
      </x:c>
      <x:c r="O533" s="186" t="n">
        <x:f>M533-N533</x:f>
        <x:v>38638</x:v>
      </x:c>
      <x:c r="P533" s="186" t="n">
        <x:v>19565</x:v>
      </x:c>
      <x:c r="Q533" s="186" t="n">
        <x:v>6794</x:v>
      </x:c>
      <x:c r="R533" s="186" t="n">
        <x:f>P533-Q533</x:f>
        <x:v>12771</x:v>
      </x:c>
      <x:c r="S533" s="186" t="n">
        <x:v>34313</x:v>
      </x:c>
      <x:c r="T533" s="186" t="n">
        <x:v>11868</x:v>
      </x:c>
      <x:c r="U533" s="186" t="n">
        <x:f>S533-T533</x:f>
        <x:v>22445</x:v>
      </x:c>
      <x:c r="V533" s="196" t="n">
        <x:f>IFERROR(O533/F533,"")</x:f>
        <x:v>0.21491106092799217</x:v>
      </x:c>
      <x:c r="W533" s="196" t="n">
        <x:f>IFERROR(I533/F533,"")</x:f>
        <x:v>-0.3112533790172761</x:v>
      </x:c>
    </x:row>
    <x:row r="534">
      <x:c r="A534" s="186" t="str">
        <x:v>Gold</x:v>
      </x:c>
      <x:c r="B534" s="187" t="n">
        <x:v>44236</x:v>
      </x:c>
      <x:c r="C534" s="187" t="n">
        <x:v>44239</x:v>
      </x:c>
      <x:c r="D534" s="186" t="str">
        <x:v>088691-GOLD</x:v>
      </x:c>
      <x:c r="E534" s="186" t="str">
        <x:v>GOLD - COMMODITY EXCHANGE INC.</x:v>
      </x:c>
      <x:c r="F534" s="186" t="n">
        <x:v>506741</x:v>
      </x:c>
      <x:c r="G534" s="186" t="n">
        <x:v>9490</x:v>
      </x:c>
      <x:c r="H534" s="186" t="n">
        <x:v>112486</x:v>
      </x:c>
      <x:c r="I534" s="186" t="n">
        <x:f>G534-H534</x:f>
        <x:v>-102996</x:v>
      </x:c>
      <x:c r="J534" s="186" t="n">
        <x:v>63984</x:v>
      </x:c>
      <x:c r="K534" s="186" t="n">
        <x:v>253183</x:v>
      </x:c>
      <x:c r="L534" s="186" t="n">
        <x:f>J534-K534</x:f>
        <x:v>-189199</x:v>
      </x:c>
      <x:c r="M534" s="186" t="n">
        <x:v>134733</x:v>
      </x:c>
      <x:c r="N534" s="186" t="n">
        <x:v>47093</x:v>
      </x:c>
      <x:c r="O534" s="186" t="n">
        <x:f>M534-N534</x:f>
        <x:v>87640</x:v>
      </x:c>
      <x:c r="P534" s="186" t="n">
        <x:v>174593</x:v>
      </x:c>
      <x:c r="Q534" s="186" t="n">
        <x:v>10826</x:v>
      </x:c>
      <x:c r="R534" s="186" t="n">
        <x:f>P534-Q534</x:f>
        <x:v>163767</x:v>
      </x:c>
      <x:c r="S534" s="186" t="n">
        <x:v>58041</x:v>
      </x:c>
      <x:c r="T534" s="186" t="n">
        <x:v>17253</x:v>
      </x:c>
      <x:c r="U534" s="186" t="n">
        <x:f>S534-T534</x:f>
        <x:v>40788</x:v>
      </x:c>
      <x:c r="V534" s="196" t="n">
        <x:f>IFERROR(O534/F534,"")</x:f>
        <x:v>0.17294831087281273</x:v>
      </x:c>
      <x:c r="W534" s="196" t="n">
        <x:f>IFERROR(I534/F534,"")</x:f>
        <x:v>-0.20325175977471727</x:v>
      </x:c>
    </x:row>
    <x:row r="535">
      <x:c r="A535" s="186" t="str">
        <x:v>Silver</x:v>
      </x:c>
      <x:c r="B535" s="187" t="n">
        <x:v>44236</x:v>
      </x:c>
      <x:c r="C535" s="187" t="n">
        <x:v>44239</x:v>
      </x:c>
      <x:c r="D535" s="186" t="str">
        <x:v>084691-SILVER</x:v>
      </x:c>
      <x:c r="E535" s="186" t="str">
        <x:v>SILVER - COMMODITY EXCHANGE INC.</x:v>
      </x:c>
      <x:c r="F535" s="186" t="n">
        <x:v>179288</x:v>
      </x:c>
      <x:c r="G535" s="186" t="n">
        <x:v>8228</x:v>
      </x:c>
      <x:c r="H535" s="186" t="n">
        <x:v>65402</x:v>
      </x:c>
      <x:c r="I535" s="186" t="n">
        <x:f>G535-H535</x:f>
        <x:v>-57174</x:v>
      </x:c>
      <x:c r="J535" s="186" t="n">
        <x:v>32665</x:v>
      </x:c>
      <x:c r="K535" s="186" t="n">
        <x:v>48311</x:v>
      </x:c>
      <x:c r="L535" s="186" t="n">
        <x:f>J535-K535</x:f>
        <x:v>-15646</x:v>
      </x:c>
      <x:c r="M535" s="186" t="n">
        <x:v>61284</x:v>
      </x:c>
      <x:c r="N535" s="186" t="n">
        <x:v>23839</x:v>
      </x:c>
      <x:c r="O535" s="186" t="n">
        <x:f>M535-N535</x:f>
        <x:v>37445</x:v>
      </x:c>
      <x:c r="P535" s="186" t="n">
        <x:v>18849</x:v>
      </x:c>
      <x:c r="Q535" s="186" t="n">
        <x:v>6751</x:v>
      </x:c>
      <x:c r="R535" s="186" t="n">
        <x:f>P535-Q535</x:f>
        <x:v>12098</x:v>
      </x:c>
      <x:c r="S535" s="186" t="n">
        <x:v>35745</x:v>
      </x:c>
      <x:c r="T535" s="186" t="n">
        <x:v>12468</x:v>
      </x:c>
      <x:c r="U535" s="186" t="n">
        <x:f>S535-T535</x:f>
        <x:v>23277</x:v>
      </x:c>
      <x:c r="V535" s="196" t="n">
        <x:f>IFERROR(O535/F535,"")</x:f>
        <x:v>0.20885391102583553</x:v>
      </x:c>
      <x:c r="W535" s="196" t="n">
        <x:f>IFERROR(I535/F535,"")</x:f>
        <x:v>-0.31889473919057604</x:v>
      </x:c>
    </x:row>
    <x:row r="536">
      <x:c r="A536" s="186" t="str">
        <x:v>Gold</x:v>
      </x:c>
      <x:c r="B536" s="187" t="n">
        <x:v>44243</x:v>
      </x:c>
      <x:c r="C536" s="187" t="n">
        <x:v>44246</x:v>
      </x:c>
      <x:c r="D536" s="186" t="str">
        <x:v>088691-GOLD</x:v>
      </x:c>
      <x:c r="E536" s="186" t="str">
        <x:v>GOLD - COMMODITY EXCHANGE INC.</x:v>
      </x:c>
      <x:c r="F536" s="186" t="n">
        <x:v>503016</x:v>
      </x:c>
      <x:c r="G536" s="186" t="n">
        <x:v>11567</x:v>
      </x:c>
      <x:c r="H536" s="186" t="n">
        <x:v>111400</x:v>
      </x:c>
      <x:c r="I536" s="186" t="n">
        <x:f>G536-H536</x:f>
        <x:v>-99833</x:v>
      </x:c>
      <x:c r="J536" s="186" t="n">
        <x:v>64698</x:v>
      </x:c>
      <x:c r="K536" s="186" t="n">
        <x:v>239943</x:v>
      </x:c>
      <x:c r="L536" s="186" t="n">
        <x:f>J536-K536</x:f>
        <x:v>-175245</x:v>
      </x:c>
      <x:c r="M536" s="186" t="n">
        <x:v>125997</x:v>
      </x:c>
      <x:c r="N536" s="186" t="n">
        <x:v>58041</x:v>
      </x:c>
      <x:c r="O536" s="186" t="n">
        <x:f>M536-N536</x:f>
        <x:v>67956</x:v>
      </x:c>
      <x:c r="P536" s="186" t="n">
        <x:v>177586</x:v>
      </x:c>
      <x:c r="Q536" s="186" t="n">
        <x:v>10573</x:v>
      </x:c>
      <x:c r="R536" s="186" t="n">
        <x:f>P536-Q536</x:f>
        <x:v>167013</x:v>
      </x:c>
      <x:c r="S536" s="186" t="n">
        <x:v>59140</x:v>
      </x:c>
      <x:c r="T536" s="186" t="n">
        <x:v>19031</x:v>
      </x:c>
      <x:c r="U536" s="186" t="n">
        <x:f>S536-T536</x:f>
        <x:v>40109</x:v>
      </x:c>
      <x:c r="V536" s="196" t="n">
        <x:f>IFERROR(O536/F536,"")</x:f>
        <x:v>0.1350970943270194</x:v>
      </x:c>
      <x:c r="W536" s="196" t="n">
        <x:f>IFERROR(I536/F536,"")</x:f>
        <x:v>-0.19846883598136045</x:v>
      </x:c>
    </x:row>
    <x:row r="537">
      <x:c r="A537" s="186" t="str">
        <x:v>Silver</x:v>
      </x:c>
      <x:c r="B537" s="187" t="n">
        <x:v>44243</x:v>
      </x:c>
      <x:c r="C537" s="187" t="n">
        <x:v>44246</x:v>
      </x:c>
      <x:c r="D537" s="186" t="str">
        <x:v>084691-SILVER</x:v>
      </x:c>
      <x:c r="E537" s="186" t="str">
        <x:v>SILVER - COMMODITY EXCHANGE INC.</x:v>
      </x:c>
      <x:c r="F537" s="186" t="n">
        <x:v>183544</x:v>
      </x:c>
      <x:c r="G537" s="186" t="n">
        <x:v>9487</x:v>
      </x:c>
      <x:c r="H537" s="186" t="n">
        <x:v>65543</x:v>
      </x:c>
      <x:c r="I537" s="186" t="n">
        <x:f>G537-H537</x:f>
        <x:v>-56056</x:v>
      </x:c>
      <x:c r="J537" s="186" t="n">
        <x:v>32204</x:v>
      </x:c>
      <x:c r="K537" s="186" t="n">
        <x:v>47536</x:v>
      </x:c>
      <x:c r="L537" s="186" t="n">
        <x:f>J537-K537</x:f>
        <x:v>-15332</x:v>
      </x:c>
      <x:c r="M537" s="186" t="n">
        <x:v>63102</x:v>
      </x:c>
      <x:c r="N537" s="186" t="n">
        <x:v>24338</x:v>
      </x:c>
      <x:c r="O537" s="186" t="n">
        <x:f>M537-N537</x:f>
        <x:v>38764</x:v>
      </x:c>
      <x:c r="P537" s="186" t="n">
        <x:v>18546</x:v>
      </x:c>
      <x:c r="Q537" s="186" t="n">
        <x:v>7486</x:v>
      </x:c>
      <x:c r="R537" s="186" t="n">
        <x:f>P537-Q537</x:f>
        <x:v>11060</x:v>
      </x:c>
      <x:c r="S537" s="186" t="n">
        <x:v>35174</x:v>
      </x:c>
      <x:c r="T537" s="186" t="n">
        <x:v>13610</x:v>
      </x:c>
      <x:c r="U537" s="186" t="n">
        <x:f>S537-T537</x:f>
        <x:v>21564</x:v>
      </x:c>
      <x:c r="V537" s="196" t="n">
        <x:f>IFERROR(O537/F537,"")</x:f>
        <x:v>0.21119731508521117</x:v>
      </x:c>
      <x:c r="W537" s="196" t="n">
        <x:f>IFERROR(I537/F537,"")</x:f>
        <x:v>-0.30540905722878436</x:v>
      </x:c>
    </x:row>
    <x:row r="538">
      <x:c r="A538" s="186" t="str">
        <x:v>Gold</x:v>
      </x:c>
      <x:c r="B538" s="187" t="n">
        <x:v>44250</x:v>
      </x:c>
      <x:c r="C538" s="187" t="n">
        <x:v>44253</x:v>
      </x:c>
      <x:c r="D538" s="186" t="str">
        <x:v>088691-GOLD</x:v>
      </x:c>
      <x:c r="E538" s="186" t="str">
        <x:v>GOLD - COMMODITY EXCHANGE INC.</x:v>
      </x:c>
      <x:c r="F538" s="186" t="n">
        <x:v>481125</x:v>
      </x:c>
      <x:c r="G538" s="186" t="n">
        <x:v>10658</x:v>
      </x:c>
      <x:c r="H538" s="186" t="n">
        <x:v>103728</x:v>
      </x:c>
      <x:c r="I538" s="186" t="n">
        <x:f>G538-H538</x:f>
        <x:v>-93070</x:v>
      </x:c>
      <x:c r="J538" s="186" t="n">
        <x:v>64009</x:v>
      </x:c>
      <x:c r="K538" s="186" t="n">
        <x:v>222668</x:v>
      </x:c>
      <x:c r="L538" s="186" t="n">
        <x:f>J538-K538</x:f>
        <x:v>-158659</x:v>
      </x:c>
      <x:c r="M538" s="186" t="n">
        <x:v>125124</x:v>
      </x:c>
      <x:c r="N538" s="186" t="n">
        <x:v>56001</x:v>
      </x:c>
      <x:c r="O538" s="186" t="n">
        <x:f>M538-N538</x:f>
        <x:v>69123</x:v>
      </x:c>
      <x:c r="P538" s="186" t="n">
        <x:v>158957</x:v>
      </x:c>
      <x:c r="Q538" s="186" t="n">
        <x:v>12347</x:v>
      </x:c>
      <x:c r="R538" s="186" t="n">
        <x:f>P538-Q538</x:f>
        <x:v>146610</x:v>
      </x:c>
      <x:c r="S538" s="186" t="n">
        <x:v>55723</x:v>
      </x:c>
      <x:c r="T538" s="186" t="n">
        <x:v>19727</x:v>
      </x:c>
      <x:c r="U538" s="186" t="n">
        <x:f>S538-T538</x:f>
        <x:v>35996</x:v>
      </x:c>
      <x:c r="V538" s="196" t="n">
        <x:f>IFERROR(O538/F538,"")</x:f>
        <x:v>0.14366952455183166</x:v>
      </x:c>
      <x:c r="W538" s="196" t="n">
        <x:f>IFERROR(I538/F538,"")</x:f>
        <x:v>-0.19344245258508705</x:v>
      </x:c>
    </x:row>
    <x:row r="539">
      <x:c r="A539" s="186" t="str">
        <x:v>Silver</x:v>
      </x:c>
      <x:c r="B539" s="187" t="n">
        <x:v>44250</x:v>
      </x:c>
      <x:c r="C539" s="187" t="n">
        <x:v>44253</x:v>
      </x:c>
      <x:c r="D539" s="186" t="str">
        <x:v>084691-SILVER</x:v>
      </x:c>
      <x:c r="E539" s="186" t="str">
        <x:v>SILVER - COMMODITY EXCHANGE INC.</x:v>
      </x:c>
      <x:c r="F539" s="186" t="n">
        <x:v>172392</x:v>
      </x:c>
      <x:c r="G539" s="186" t="n">
        <x:v>7756</x:v>
      </x:c>
      <x:c r="H539" s="186" t="n">
        <x:v>63813</x:v>
      </x:c>
      <x:c r="I539" s="186" t="n">
        <x:f>G539-H539</x:f>
        <x:v>-56057</x:v>
      </x:c>
      <x:c r="J539" s="186" t="n">
        <x:v>31957</x:v>
      </x:c>
      <x:c r="K539" s="186" t="n">
        <x:v>46342</x:v>
      </x:c>
      <x:c r="L539" s="186" t="n">
        <x:f>J539-K539</x:f>
        <x:v>-14385</x:v>
      </x:c>
      <x:c r="M539" s="186" t="n">
        <x:v>62102</x:v>
      </x:c>
      <x:c r="N539" s="186" t="n">
        <x:v>24600</x:v>
      </x:c>
      <x:c r="O539" s="186" t="n">
        <x:f>M539-N539</x:f>
        <x:v>37502</x:v>
      </x:c>
      <x:c r="P539" s="186" t="n">
        <x:v>16608</x:v>
      </x:c>
      <x:c r="Q539" s="186" t="n">
        <x:v>6467</x:v>
      </x:c>
      <x:c r="R539" s="186" t="n">
        <x:f>P539-Q539</x:f>
        <x:v>10141</x:v>
      </x:c>
      <x:c r="S539" s="186" t="n">
        <x:v>34122</x:v>
      </x:c>
      <x:c r="T539" s="186" t="n">
        <x:v>11323</x:v>
      </x:c>
      <x:c r="U539" s="186" t="n">
        <x:f>S539-T539</x:f>
        <x:v>22799</x:v>
      </x:c>
      <x:c r="V539" s="196" t="n">
        <x:f>IFERROR(O539/F539,"")</x:f>
        <x:v>0.21753909694185344</x:v>
      </x:c>
      <x:c r="W539" s="196" t="n">
        <x:f>IFERROR(I539/F539,"")</x:f>
        <x:v>-0.3251717017030953</x:v>
      </x:c>
    </x:row>
    <x:row r="540">
      <x:c r="A540" s="186" t="str">
        <x:v>Gold</x:v>
      </x:c>
      <x:c r="B540" s="187" t="n">
        <x:v>44257</x:v>
      </x:c>
      <x:c r="C540" s="187" t="n">
        <x:v>44260</x:v>
      </x:c>
      <x:c r="D540" s="186" t="str">
        <x:v>088691-GOLD</x:v>
      </x:c>
      <x:c r="E540" s="186" t="str">
        <x:v>GOLD - COMMODITY EXCHANGE INC.</x:v>
      </x:c>
      <x:c r="F540" s="186" t="n">
        <x:v>467008</x:v>
      </x:c>
      <x:c r="G540" s="186" t="n">
        <x:v>12025</x:v>
      </x:c>
      <x:c r="H540" s="186" t="n">
        <x:v>98920</x:v>
      </x:c>
      <x:c r="I540" s="186" t="n">
        <x:f>G540-H540</x:f>
        <x:v>-86895</x:v>
      </x:c>
      <x:c r="J540" s="186" t="n">
        <x:v>63300</x:v>
      </x:c>
      <x:c r="K540" s="186" t="n">
        <x:v>198608</x:v>
      </x:c>
      <x:c r="L540" s="186" t="n">
        <x:f>J540-K540</x:f>
        <x:v>-135308</x:v>
      </x:c>
      <x:c r="M540" s="186" t="n">
        <x:v>106608</x:v>
      </x:c>
      <x:c r="N540" s="186" t="n">
        <x:v>60648</x:v>
      </x:c>
      <x:c r="O540" s="186" t="n">
        <x:f>M540-N540</x:f>
        <x:v>45960</x:v>
      </x:c>
      <x:c r="P540" s="186" t="n">
        <x:v>158925</x:v>
      </x:c>
      <x:c r="Q540" s="186" t="n">
        <x:v>15247</x:v>
      </x:c>
      <x:c r="R540" s="186" t="n">
        <x:f>P540-Q540</x:f>
        <x:v>143678</x:v>
      </x:c>
      <x:c r="S540" s="186" t="n">
        <x:v>53410</x:v>
      </x:c>
      <x:c r="T540" s="186" t="n">
        <x:v>20845</x:v>
      </x:c>
      <x:c r="U540" s="186" t="n">
        <x:f>S540-T540</x:f>
        <x:v>32565</x:v>
      </x:c>
      <x:c r="V540" s="196" t="n">
        <x:f>IFERROR(O540/F540,"")</x:f>
        <x:v>0.09841373167054954</x:v>
      </x:c>
      <x:c r="W540" s="196" t="n">
        <x:f>IFERROR(I540/F540,"")</x:f>
        <x:v>-0.186067476360148</x:v>
      </x:c>
    </x:row>
    <x:row r="541">
      <x:c r="A541" s="186" t="str">
        <x:v>Silver</x:v>
      </x:c>
      <x:c r="B541" s="187" t="n">
        <x:v>44257</x:v>
      </x:c>
      <x:c r="C541" s="187" t="n">
        <x:v>44260</x:v>
      </x:c>
      <x:c r="D541" s="186" t="str">
        <x:v>084691-SILVER</x:v>
      </x:c>
      <x:c r="E541" s="186" t="str">
        <x:v>SILVER - COMMODITY EXCHANGE INC.</x:v>
      </x:c>
      <x:c r="F541" s="186" t="n">
        <x:v>158349</x:v>
      </x:c>
      <x:c r="G541" s="186" t="n">
        <x:v>7883</x:v>
      </x:c>
      <x:c r="H541" s="186" t="n">
        <x:v>59553</x:v>
      </x:c>
      <x:c r="I541" s="186" t="n">
        <x:f>G541-H541</x:f>
        <x:v>-51670</x:v>
      </x:c>
      <x:c r="J541" s="186" t="n">
        <x:v>34768</x:v>
      </x:c>
      <x:c r="K541" s="186" t="n">
        <x:v>42298</x:v>
      </x:c>
      <x:c r="L541" s="186" t="n">
        <x:f>J541-K541</x:f>
        <x:v>-7530</x:v>
      </x:c>
      <x:c r="M541" s="186" t="n">
        <x:v>58364</x:v>
      </x:c>
      <x:c r="N541" s="186" t="n">
        <x:v>28839</x:v>
      </x:c>
      <x:c r="O541" s="186" t="n">
        <x:f>M541-N541</x:f>
        <x:v>29525</x:v>
      </x:c>
      <x:c r="P541" s="186" t="n">
        <x:v>16561</x:v>
      </x:c>
      <x:c r="Q541" s="186" t="n">
        <x:v>6470</x:v>
      </x:c>
      <x:c r="R541" s="186" t="n">
        <x:f>P541-Q541</x:f>
        <x:v>10091</x:v>
      </x:c>
      <x:c r="S541" s="186" t="n">
        <x:v>30710</x:v>
      </x:c>
      <x:c r="T541" s="186" t="n">
        <x:v>11126</x:v>
      </x:c>
      <x:c r="U541" s="186" t="n">
        <x:f>S541-T541</x:f>
        <x:v>19584</x:v>
      </x:c>
      <x:c r="V541" s="196" t="n">
        <x:f>IFERROR(O541/F541,"")</x:f>
        <x:v>0.18645523495569913</x:v>
      </x:c>
      <x:c r="W541" s="196" t="n">
        <x:f>IFERROR(I541/F541,"")</x:f>
        <x:v>-0.3263045551282294</x:v>
      </x:c>
    </x:row>
    <x:row r="542">
      <x:c r="A542" s="186" t="str">
        <x:v>Gold</x:v>
      </x:c>
      <x:c r="B542" s="187" t="n">
        <x:v>44264</x:v>
      </x:c>
      <x:c r="C542" s="187" t="n">
        <x:v>44267</x:v>
      </x:c>
      <x:c r="D542" s="186" t="str">
        <x:v>088691-GOLD</x:v>
      </x:c>
      <x:c r="E542" s="186" t="str">
        <x:v>GOLD - COMMODITY EXCHANGE INC.</x:v>
      </x:c>
      <x:c r="F542" s="186" t="n">
        <x:v>473871</x:v>
      </x:c>
      <x:c r="G542" s="186" t="n">
        <x:v>14579</x:v>
      </x:c>
      <x:c r="H542" s="186" t="n">
        <x:v>96258</x:v>
      </x:c>
      <x:c r="I542" s="186" t="n">
        <x:f>G542-H542</x:f>
        <x:v>-81679</x:v>
      </x:c>
      <x:c r="J542" s="186" t="n">
        <x:v>63924</x:v>
      </x:c>
      <x:c r="K542" s="186" t="n">
        <x:v>190125</x:v>
      </x:c>
      <x:c r="L542" s="186" t="n">
        <x:f>J542-K542</x:f>
        <x:v>-126201</x:v>
      </x:c>
      <x:c r="M542" s="186" t="n">
        <x:v>96223</x:v>
      </x:c>
      <x:c r="N542" s="186" t="n">
        <x:v>66793</x:v>
      </x:c>
      <x:c r="O542" s="186" t="n">
        <x:f>M542-N542</x:f>
        <x:v>29430</x:v>
      </x:c>
      <x:c r="P542" s="186" t="n">
        <x:v>158616</x:v>
      </x:c>
      <x:c r="Q542" s="186" t="n">
        <x:v>12883</x:v>
      </x:c>
      <x:c r="R542" s="186" t="n">
        <x:f>P542-Q542</x:f>
        <x:v>145733</x:v>
      </x:c>
      <x:c r="S542" s="186" t="n">
        <x:v>54516</x:v>
      </x:c>
      <x:c r="T542" s="186" t="n">
        <x:v>21799</x:v>
      </x:c>
      <x:c r="U542" s="186" t="n">
        <x:f>S542-T542</x:f>
        <x:v>32717</x:v>
      </x:c>
      <x:c r="V542" s="196" t="n">
        <x:f>IFERROR(O542/F542,"")</x:f>
        <x:v>0.06210550972733086</x:v>
      </x:c>
      <x:c r="W542" s="196" t="n">
        <x:f>IFERROR(I542/F542,"")</x:f>
        <x:v>-0.17236547499213922</x:v>
      </x:c>
    </x:row>
    <x:row r="543">
      <x:c r="A543" s="186" t="str">
        <x:v>Silver</x:v>
      </x:c>
      <x:c r="B543" s="187" t="n">
        <x:v>44264</x:v>
      </x:c>
      <x:c r="C543" s="187" t="n">
        <x:v>44267</x:v>
      </x:c>
      <x:c r="D543" s="186" t="str">
        <x:v>084691-SILVER</x:v>
      </x:c>
      <x:c r="E543" s="186" t="str">
        <x:v>SILVER - COMMODITY EXCHANGE INC.</x:v>
      </x:c>
      <x:c r="F543" s="186" t="n">
        <x:v>155425</x:v>
      </x:c>
      <x:c r="G543" s="186" t="n">
        <x:v>8094</x:v>
      </x:c>
      <x:c r="H543" s="186" t="n">
        <x:v>57869</x:v>
      </x:c>
      <x:c r="I543" s="186" t="n">
        <x:f>G543-H543</x:f>
        <x:v>-49775</x:v>
      </x:c>
      <x:c r="J543" s="186" t="n">
        <x:v>36511</x:v>
      </x:c>
      <x:c r="K543" s="186" t="n">
        <x:v>41904</x:v>
      </x:c>
      <x:c r="L543" s="186" t="n">
        <x:f>J543-K543</x:f>
        <x:v>-5393</x:v>
      </x:c>
      <x:c r="M543" s="186" t="n">
        <x:v>55268</x:v>
      </x:c>
      <x:c r="N543" s="186" t="n">
        <x:v>28942</x:v>
      </x:c>
      <x:c r="O543" s="186" t="n">
        <x:f>M543-N543</x:f>
        <x:v>26326</x:v>
      </x:c>
      <x:c r="P543" s="186" t="n">
        <x:v>16177</x:v>
      </x:c>
      <x:c r="Q543" s="186" t="n">
        <x:v>6354</x:v>
      </x:c>
      <x:c r="R543" s="186" t="n">
        <x:f>P543-Q543</x:f>
        <x:v>9823</x:v>
      </x:c>
      <x:c r="S543" s="186" t="n">
        <x:v>28909</x:v>
      </x:c>
      <x:c r="T543" s="186" t="n">
        <x:v>9890</x:v>
      </x:c>
      <x:c r="U543" s="186" t="n">
        <x:f>S543-T543</x:f>
        <x:v>19019</x:v>
      </x:c>
      <x:c r="V543" s="196" t="n">
        <x:f>IFERROR(O543/F543,"")</x:f>
        <x:v>0.16938073025575037</x:v>
      </x:c>
      <x:c r="W543" s="196" t="n">
        <x:f>IFERROR(I543/F543,"")</x:f>
        <x:v>-0.32025092488338425</x:v>
      </x:c>
    </x:row>
    <x:row r="544">
      <x:c r="A544" s="186" t="str">
        <x:v>Gold</x:v>
      </x:c>
      <x:c r="B544" s="187" t="n">
        <x:v>44271</x:v>
      </x:c>
      <x:c r="C544" s="187" t="n">
        <x:v>44274</x:v>
      </x:c>
      <x:c r="D544" s="186" t="str">
        <x:v>088691-GOLD</x:v>
      </x:c>
      <x:c r="E544" s="186" t="str">
        <x:v>GOLD - COMMODITY EXCHANGE INC.</x:v>
      </x:c>
      <x:c r="F544" s="186" t="n">
        <x:v>476467</x:v>
      </x:c>
      <x:c r="G544" s="186" t="n">
        <x:v>15152</x:v>
      </x:c>
      <x:c r="H544" s="186" t="n">
        <x:v>94226</x:v>
      </x:c>
      <x:c r="I544" s="186" t="n">
        <x:f>G544-H544</x:f>
        <x:v>-79074</x:v>
      </x:c>
      <x:c r="J544" s="186" t="n">
        <x:v>64465</x:v>
      </x:c>
      <x:c r="K544" s="186" t="n">
        <x:v>194866</x:v>
      </x:c>
      <x:c r="L544" s="186" t="n">
        <x:f>J544-K544</x:f>
        <x:v>-130401</x:v>
      </x:c>
      <x:c r="M544" s="186" t="n">
        <x:v>100669</x:v>
      </x:c>
      <x:c r="N544" s="186" t="n">
        <x:v>59548</x:v>
      </x:c>
      <x:c r="O544" s="186" t="n">
        <x:f>M544-N544</x:f>
        <x:v>41121</x:v>
      </x:c>
      <x:c r="P544" s="186" t="n">
        <x:v>155568</x:v>
      </x:c>
      <x:c r="Q544" s="186" t="n">
        <x:v>16493</x:v>
      </x:c>
      <x:c r="R544" s="186" t="n">
        <x:f>P544-Q544</x:f>
        <x:v>139075</x:v>
      </x:c>
      <x:c r="S544" s="186" t="n">
        <x:v>50576</x:v>
      </x:c>
      <x:c r="T544" s="186" t="n">
        <x:v>21297</x:v>
      </x:c>
      <x:c r="U544" s="186" t="n">
        <x:f>S544-T544</x:f>
        <x:v>29279</x:v>
      </x:c>
      <x:c r="V544" s="196" t="n">
        <x:f>IFERROR(O544/F544,"")</x:f>
        <x:v>0.08630398327691109</x:v>
      </x:c>
      <x:c r="W544" s="196" t="n">
        <x:f>IFERROR(I544/F544,"")</x:f>
        <x:v>-0.16595902759267694</x:v>
      </x:c>
    </x:row>
    <x:row r="545">
      <x:c r="A545" s="186" t="str">
        <x:v>Silver</x:v>
      </x:c>
      <x:c r="B545" s="187" t="n">
        <x:v>44271</x:v>
      </x:c>
      <x:c r="C545" s="187" t="n">
        <x:v>44274</x:v>
      </x:c>
      <x:c r="D545" s="186" t="str">
        <x:v>084691-SILVER</x:v>
      </x:c>
      <x:c r="E545" s="186" t="str">
        <x:v>SILVER - COMMODITY EXCHANGE INC.</x:v>
      </x:c>
      <x:c r="F545" s="186" t="n">
        <x:v>159092</x:v>
      </x:c>
      <x:c r="G545" s="186" t="n">
        <x:v>8211</x:v>
      </x:c>
      <x:c r="H545" s="186" t="n">
        <x:v>56543</x:v>
      </x:c>
      <x:c r="I545" s="186" t="n">
        <x:f>G545-H545</x:f>
        <x:v>-48332</x:v>
      </x:c>
      <x:c r="J545" s="186" t="n">
        <x:v>37802</x:v>
      </x:c>
      <x:c r="K545" s="186" t="n">
        <x:v>42247</x:v>
      </x:c>
      <x:c r="L545" s="186" t="n">
        <x:f>J545-K545</x:f>
        <x:v>-4445</x:v>
      </x:c>
      <x:c r="M545" s="186" t="n">
        <x:v>55219</x:v>
      </x:c>
      <x:c r="N545" s="186" t="n">
        <x:v>30625</x:v>
      </x:c>
      <x:c r="O545" s="186" t="n">
        <x:f>M545-N545</x:f>
        <x:v>24594</x:v>
      </x:c>
      <x:c r="P545" s="186" t="n">
        <x:v>15439</x:v>
      </x:c>
      <x:c r="Q545" s="186" t="n">
        <x:v>6424</x:v>
      </x:c>
      <x:c r="R545" s="186" t="n">
        <x:f>P545-Q545</x:f>
        <x:v>9015</x:v>
      </x:c>
      <x:c r="S545" s="186" t="n">
        <x:v>30354</x:v>
      </x:c>
      <x:c r="T545" s="186" t="n">
        <x:v>11186</x:v>
      </x:c>
      <x:c r="U545" s="186" t="n">
        <x:f>S545-T545</x:f>
        <x:v>19168</x:v>
      </x:c>
      <x:c r="V545" s="196" t="n">
        <x:f>IFERROR(O545/F545,"")</x:f>
        <x:v>0.15458979709853418</x:v>
      </x:c>
      <x:c r="W545" s="196" t="n">
        <x:f>IFERROR(I545/F545,"")</x:f>
        <x:v>-0.3037990596635909</x:v>
      </x:c>
    </x:row>
    <x:row r="546">
      <x:c r="A546" s="186" t="str">
        <x:v>Gold</x:v>
      </x:c>
      <x:c r="B546" s="187" t="n">
        <x:v>44278</x:v>
      </x:c>
      <x:c r="C546" s="187" t="n">
        <x:v>44281</x:v>
      </x:c>
      <x:c r="D546" s="186" t="str">
        <x:v>088691-GOLD</x:v>
      </x:c>
      <x:c r="E546" s="186" t="str">
        <x:v>GOLD - COMMODITY EXCHANGE INC.</x:v>
      </x:c>
      <x:c r="F546" s="186" t="n">
        <x:v>485457</x:v>
      </x:c>
      <x:c r="G546" s="186" t="n">
        <x:v>15470</x:v>
      </x:c>
      <x:c r="H546" s="186" t="n">
        <x:v>93043</x:v>
      </x:c>
      <x:c r="I546" s="186" t="n">
        <x:f>G546-H546</x:f>
        <x:v>-77573</x:v>
      </x:c>
      <x:c r="J546" s="186" t="n">
        <x:v>63078</x:v>
      </x:c>
      <x:c r="K546" s="186" t="n">
        <x:v>187308</x:v>
      </x:c>
      <x:c r="L546" s="186" t="n">
        <x:f>J546-K546</x:f>
        <x:v>-124230</x:v>
      </x:c>
      <x:c r="M546" s="186" t="n">
        <x:v>107941</x:v>
      </x:c>
      <x:c r="N546" s="186" t="n">
        <x:v>64420</x:v>
      </x:c>
      <x:c r="O546" s="186" t="n">
        <x:f>M546-N546</x:f>
        <x:v>43521</x:v>
      </x:c>
      <x:c r="P546" s="186" t="n">
        <x:v>154833</x:v>
      </x:c>
      <x:c r="Q546" s="186" t="n">
        <x:v>24287</x:v>
      </x:c>
      <x:c r="R546" s="186" t="n">
        <x:f>P546-Q546</x:f>
        <x:v>130546</x:v>
      </x:c>
      <x:c r="S546" s="186" t="n">
        <x:v>50057</x:v>
      </x:c>
      <x:c r="T546" s="186" t="n">
        <x:v>22321</x:v>
      </x:c>
      <x:c r="U546" s="186" t="n">
        <x:f>S546-T546</x:f>
        <x:v>27736</x:v>
      </x:c>
      <x:c r="V546" s="196" t="n">
        <x:f>IFERROR(O546/F546,"")</x:f>
        <x:v>0.08964954671577503</x:v>
      </x:c>
      <x:c r="W546" s="196" t="n">
        <x:f>IFERROR(I546/F546,"")</x:f>
        <x:v>-0.1597937613424052</x:v>
      </x:c>
    </x:row>
    <x:row r="547">
      <x:c r="A547" s="186" t="str">
        <x:v>Silver</x:v>
      </x:c>
      <x:c r="B547" s="187" t="n">
        <x:v>44278</x:v>
      </x:c>
      <x:c r="C547" s="187" t="n">
        <x:v>44281</x:v>
      </x:c>
      <x:c r="D547" s="186" t="str">
        <x:v>084691-SILVER</x:v>
      </x:c>
      <x:c r="E547" s="186" t="str">
        <x:v>SILVER - COMMODITY EXCHANGE INC.</x:v>
      </x:c>
      <x:c r="F547" s="186" t="n">
        <x:v>160437</x:v>
      </x:c>
      <x:c r="G547" s="186" t="n">
        <x:v>8380</x:v>
      </x:c>
      <x:c r="H547" s="186" t="n">
        <x:v>55373</x:v>
      </x:c>
      <x:c r="I547" s="186" t="n">
        <x:f>G547-H547</x:f>
        <x:v>-46993</x:v>
      </x:c>
      <x:c r="J547" s="186" t="n">
        <x:v>38852</x:v>
      </x:c>
      <x:c r="K547" s="186" t="n">
        <x:v>41461</x:v>
      </x:c>
      <x:c r="L547" s="186" t="n">
        <x:f>J547-K547</x:f>
        <x:v>-2609</x:v>
      </x:c>
      <x:c r="M547" s="186" t="n">
        <x:v>54438</x:v>
      </x:c>
      <x:c r="N547" s="186" t="n">
        <x:v>32569</x:v>
      </x:c>
      <x:c r="O547" s="186" t="n">
        <x:f>M547-N547</x:f>
        <x:v>21869</x:v>
      </x:c>
      <x:c r="P547" s="186" t="n">
        <x:v>15819</x:v>
      </x:c>
      <x:c r="Q547" s="186" t="n">
        <x:v>6609</x:v>
      </x:c>
      <x:c r="R547" s="186" t="n">
        <x:f>P547-Q547</x:f>
        <x:v>9210</x:v>
      </x:c>
      <x:c r="S547" s="186" t="n">
        <x:v>29894</x:v>
      </x:c>
      <x:c r="T547" s="186" t="n">
        <x:v>11371</x:v>
      </x:c>
      <x:c r="U547" s="186" t="n">
        <x:f>S547-T547</x:f>
        <x:v>18523</x:v>
      </x:c>
      <x:c r="V547" s="196" t="n">
        <x:f>IFERROR(O547/F547,"")</x:f>
        <x:v>0.1363089561634785</x:v>
      </x:c>
      <x:c r="W547" s="196" t="n">
        <x:f>IFERROR(I547/F547,"")</x:f>
        <x:v>-0.2929062498052195</x:v>
      </x:c>
    </x:row>
    <x:row r="548">
      <x:c r="A548" s="186" t="str">
        <x:v>Gold</x:v>
      </x:c>
      <x:c r="B548" s="187" t="n">
        <x:v>44285</x:v>
      </x:c>
      <x:c r="C548" s="187" t="n">
        <x:v>44288</x:v>
      </x:c>
      <x:c r="D548" s="186" t="str">
        <x:v>088691-GOLD</x:v>
      </x:c>
      <x:c r="E548" s="186" t="str">
        <x:v>GOLD - COMMODITY EXCHANGE INC.</x:v>
      </x:c>
      <x:c r="F548" s="186" t="n">
        <x:v>467321</x:v>
      </x:c>
      <x:c r="G548" s="186" t="n">
        <x:v>16441</x:v>
      </x:c>
      <x:c r="H548" s="186" t="n">
        <x:v>89329</x:v>
      </x:c>
      <x:c r="I548" s="186" t="n">
        <x:f>G548-H548</x:f>
        <x:v>-72888</x:v>
      </x:c>
      <x:c r="J548" s="186" t="n">
        <x:v>63726</x:v>
      </x:c>
      <x:c r="K548" s="186" t="n">
        <x:v>184564</x:v>
      </x:c>
      <x:c r="L548" s="186" t="n">
        <x:f>J548-K548</x:f>
        <x:v>-120838</x:v>
      </x:c>
      <x:c r="M548" s="186" t="n">
        <x:v>113009</x:v>
      </x:c>
      <x:c r="N548" s="186" t="n">
        <x:v>69936</x:v>
      </x:c>
      <x:c r="O548" s="186" t="n">
        <x:f>M548-N548</x:f>
        <x:v>43073</x:v>
      </x:c>
      <x:c r="P548" s="186" t="n">
        <x:v>150444</x:v>
      </x:c>
      <x:c r="Q548" s="186" t="n">
        <x:v>25989</x:v>
      </x:c>
      <x:c r="R548" s="186" t="n">
        <x:f>P548-Q548</x:f>
        <x:v>124455</x:v>
      </x:c>
      <x:c r="S548" s="186" t="n">
        <x:v>48980</x:v>
      </x:c>
      <x:c r="T548" s="186" t="n">
        <x:v>22782</x:v>
      </x:c>
      <x:c r="U548" s="186" t="n">
        <x:f>S548-T548</x:f>
        <x:v>26198</x:v>
      </x:c>
      <x:c r="V548" s="196" t="n">
        <x:f>IFERROR(O548/F548,"")</x:f>
        <x:v>0.09217005013684385</x:v>
      </x:c>
      <x:c r="W548" s="196" t="n">
        <x:f>IFERROR(I548/F548,"")</x:f>
        <x:v>-0.15596987937627455</x:v>
      </x:c>
    </x:row>
    <x:row r="549">
      <x:c r="A549" s="186" t="str">
        <x:v>Silver</x:v>
      </x:c>
      <x:c r="B549" s="187" t="n">
        <x:v>44285</x:v>
      </x:c>
      <x:c r="C549" s="187" t="n">
        <x:v>44288</x:v>
      </x:c>
      <x:c r="D549" s="186" t="str">
        <x:v>084691-SILVER</x:v>
      </x:c>
      <x:c r="E549" s="186" t="str">
        <x:v>SILVER - COMMODITY EXCHANGE INC.</x:v>
      </x:c>
      <x:c r="F549" s="186" t="n">
        <x:v>154987</x:v>
      </x:c>
      <x:c r="G549" s="186" t="n">
        <x:v>8795</x:v>
      </x:c>
      <x:c r="H549" s="186" t="n">
        <x:v>51592</x:v>
      </x:c>
      <x:c r="I549" s="186" t="n">
        <x:f>G549-H549</x:f>
        <x:v>-42797</x:v>
      </x:c>
      <x:c r="J549" s="186" t="n">
        <x:v>37802</x:v>
      </x:c>
      <x:c r="K549" s="186" t="n">
        <x:v>40166</x:v>
      </x:c>
      <x:c r="L549" s="186" t="n">
        <x:f>J549-K549</x:f>
        <x:v>-2364</x:v>
      </x:c>
      <x:c r="M549" s="186" t="n">
        <x:v>51964</x:v>
      </x:c>
      <x:c r="N549" s="186" t="n">
        <x:v>31128</x:v>
      </x:c>
      <x:c r="O549" s="186" t="n">
        <x:f>M549-N549</x:f>
        <x:v>20836</x:v>
      </x:c>
      <x:c r="P549" s="186" t="n">
        <x:v>14538</x:v>
      </x:c>
      <x:c r="Q549" s="186" t="n">
        <x:v>6404</x:v>
      </x:c>
      <x:c r="R549" s="186" t="n">
        <x:f>P549-Q549</x:f>
        <x:v>8134</x:v>
      </x:c>
      <x:c r="S549" s="186" t="n">
        <x:v>28192</x:v>
      </x:c>
      <x:c r="T549" s="186" t="n">
        <x:v>12001</x:v>
      </x:c>
      <x:c r="U549" s="186" t="n">
        <x:f>S549-T549</x:f>
        <x:v>16191</x:v>
      </x:c>
      <x:c r="V549" s="196" t="n">
        <x:f>IFERROR(O549/F549,"")</x:f>
        <x:v>0.13443708181976552</x:v>
      </x:c>
      <x:c r="W549" s="196" t="n">
        <x:f>IFERROR(I549/F549,"")</x:f>
        <x:v>-0.276132836947615</x:v>
      </x:c>
    </x:row>
    <x:row r="550">
      <x:c r="A550" s="186" t="str">
        <x:v>Gold</x:v>
      </x:c>
      <x:c r="B550" s="187" t="n">
        <x:v>44292</x:v>
      </x:c>
      <x:c r="C550" s="187" t="n">
        <x:v>44295</x:v>
      </x:c>
      <x:c r="D550" s="186" t="str">
        <x:v>088691-GOLD</x:v>
      </x:c>
      <x:c r="E550" s="186" t="str">
        <x:v>GOLD - COMMODITY EXCHANGE INC.</x:v>
      </x:c>
      <x:c r="F550" s="186" t="n">
        <x:v>463353</x:v>
      </x:c>
      <x:c r="G550" s="186" t="n">
        <x:v>11916</x:v>
      </x:c>
      <x:c r="H550" s="186" t="n">
        <x:v>90527</x:v>
      </x:c>
      <x:c r="I550" s="186" t="n">
        <x:f>G550-H550</x:f>
        <x:v>-78611</x:v>
      </x:c>
      <x:c r="J550" s="186" t="n">
        <x:v>65739</x:v>
      </x:c>
      <x:c r="K550" s="186" t="n">
        <x:v>201927</x:v>
      </x:c>
      <x:c r="L550" s="186" t="n">
        <x:f>J550-K550</x:f>
        <x:v>-136188</x:v>
      </x:c>
      <x:c r="M550" s="186" t="n">
        <x:v>121563</x:v>
      </x:c>
      <x:c r="N550" s="186" t="n">
        <x:v>55091</x:v>
      </x:c>
      <x:c r="O550" s="186" t="n">
        <x:f>M550-N550</x:f>
        <x:v>66472</x:v>
      </x:c>
      <x:c r="P550" s="186" t="n">
        <x:v>154140</x:v>
      </x:c>
      <x:c r="Q550" s="186" t="n">
        <x:v>31103</x:v>
      </x:c>
      <x:c r="R550" s="186" t="n">
        <x:f>P550-Q550</x:f>
        <x:v>123037</x:v>
      </x:c>
      <x:c r="S550" s="186" t="n">
        <x:v>46301</x:v>
      </x:c>
      <x:c r="T550" s="186" t="n">
        <x:v>21011</x:v>
      </x:c>
      <x:c r="U550" s="186" t="n">
        <x:f>S550-T550</x:f>
        <x:v>25290</x:v>
      </x:c>
      <x:c r="V550" s="196" t="n">
        <x:f>IFERROR(O550/F550,"")</x:f>
        <x:v>0.14345865894900864</x:v>
      </x:c>
      <x:c r="W550" s="196" t="n">
        <x:f>IFERROR(I550/F550,"")</x:f>
        <x:v>-0.16965682751595437</x:v>
      </x:c>
    </x:row>
    <x:row r="551">
      <x:c r="A551" s="186" t="str">
        <x:v>Silver</x:v>
      </x:c>
      <x:c r="B551" s="187" t="n">
        <x:v>44292</x:v>
      </x:c>
      <x:c r="C551" s="187" t="n">
        <x:v>44295</x:v>
      </x:c>
      <x:c r="D551" s="186" t="str">
        <x:v>084691-SILVER</x:v>
      </x:c>
      <x:c r="E551" s="186" t="str">
        <x:v>SILVER - COMMODITY EXCHANGE INC.</x:v>
      </x:c>
      <x:c r="F551" s="186" t="n">
        <x:v>154593</x:v>
      </x:c>
      <x:c r="G551" s="186" t="n">
        <x:v>8844</x:v>
      </x:c>
      <x:c r="H551" s="186" t="n">
        <x:v>54109</x:v>
      </x:c>
      <x:c r="I551" s="186" t="n">
        <x:f>G551-H551</x:f>
        <x:v>-45265</x:v>
      </x:c>
      <x:c r="J551" s="186" t="n">
        <x:v>38226</x:v>
      </x:c>
      <x:c r="K551" s="186" t="n">
        <x:v>43546</x:v>
      </x:c>
      <x:c r="L551" s="186" t="n">
        <x:f>J551-K551</x:f>
        <x:v>-5320</x:v>
      </x:c>
      <x:c r="M551" s="186" t="n">
        <x:v>53877</x:v>
      </x:c>
      <x:c r="N551" s="186" t="n">
        <x:v>29439</x:v>
      </x:c>
      <x:c r="O551" s="186" t="n">
        <x:f>M551-N551</x:f>
        <x:v>24438</x:v>
      </x:c>
      <x:c r="P551" s="186" t="n">
        <x:v>13368</x:v>
      </x:c>
      <x:c r="Q551" s="186" t="n">
        <x:v>5491</x:v>
      </x:c>
      <x:c r="R551" s="186" t="n">
        <x:f>P551-Q551</x:f>
        <x:v>7877</x:v>
      </x:c>
      <x:c r="S551" s="186" t="n">
        <x:v>28893</x:v>
      </x:c>
      <x:c r="T551" s="186" t="n">
        <x:v>10623</x:v>
      </x:c>
      <x:c r="U551" s="186" t="n">
        <x:f>S551-T551</x:f>
        <x:v>18270</x:v>
      </x:c>
      <x:c r="V551" s="196" t="n">
        <x:f>IFERROR(O551/F551,"")</x:f>
        <x:v>0.1580796025693272</x:v>
      </x:c>
      <x:c r="W551" s="196" t="n">
        <x:f>IFERROR(I551/F551,"")</x:f>
        <x:v>-0.29280109707425306</x:v>
      </x:c>
    </x:row>
    <x:row r="552">
      <x:c r="A552" s="186" t="str">
        <x:v>Gold</x:v>
      </x:c>
      <x:c r="B552" s="187" t="n">
        <x:v>44299</x:v>
      </x:c>
      <x:c r="C552" s="187" t="n">
        <x:v>44302</x:v>
      </x:c>
      <x:c r="D552" s="186" t="str">
        <x:v>088691-GOLD</x:v>
      </x:c>
      <x:c r="E552" s="186" t="str">
        <x:v>GOLD - COMMODITY EXCHANGE INC.</x:v>
      </x:c>
      <x:c r="F552" s="186" t="n">
        <x:v>460733</x:v>
      </x:c>
      <x:c r="G552" s="186" t="n">
        <x:v>11585</x:v>
      </x:c>
      <x:c r="H552" s="186" t="n">
        <x:v>86637</x:v>
      </x:c>
      <x:c r="I552" s="186" t="n">
        <x:f>G552-H552</x:f>
        <x:v>-75052</x:v>
      </x:c>
      <x:c r="J552" s="186" t="n">
        <x:v>67517</x:v>
      </x:c>
      <x:c r="K552" s="186" t="n">
        <x:v>201253</x:v>
      </x:c>
      <x:c r="L552" s="186" t="n">
        <x:f>J552-K552</x:f>
        <x:v>-133736</x:v>
      </x:c>
      <x:c r="M552" s="186" t="n">
        <x:v>112070</x:v>
      </x:c>
      <x:c r="N552" s="186" t="n">
        <x:v>58263</x:v>
      </x:c>
      <x:c r="O552" s="186" t="n">
        <x:f>M552-N552</x:f>
        <x:v>53807</x:v>
      </x:c>
      <x:c r="P552" s="186" t="n">
        <x:v>157443</x:v>
      </x:c>
      <x:c r="Q552" s="186" t="n">
        <x:v>30376</x:v>
      </x:c>
      <x:c r="R552" s="186" t="n">
        <x:f>P552-Q552</x:f>
        <x:v>127067</x:v>
      </x:c>
      <x:c r="S552" s="186" t="n">
        <x:v>48173</x:v>
      </x:c>
      <x:c r="T552" s="186" t="n">
        <x:v>20259</x:v>
      </x:c>
      <x:c r="U552" s="186" t="n">
        <x:f>S552-T552</x:f>
        <x:v>27914</x:v>
      </x:c>
      <x:c r="V552" s="196" t="n">
        <x:f>IFERROR(O552/F552,"")</x:f>
        <x:v>0.11678564374594397</x:v>
      </x:c>
      <x:c r="W552" s="196" t="n">
        <x:f>IFERROR(I552/F552,"")</x:f>
        <x:v>-0.16289694899214946</x:v>
      </x:c>
    </x:row>
    <x:row r="553">
      <x:c r="A553" s="186" t="str">
        <x:v>Silver</x:v>
      </x:c>
      <x:c r="B553" s="187" t="n">
        <x:v>44299</x:v>
      </x:c>
      <x:c r="C553" s="187" t="n">
        <x:v>44302</x:v>
      </x:c>
      <x:c r="D553" s="186" t="str">
        <x:v>084691-SILVER</x:v>
      </x:c>
      <x:c r="E553" s="186" t="str">
        <x:v>SILVER - COMMODITY EXCHANGE INC.</x:v>
      </x:c>
      <x:c r="F553" s="186" t="n">
        <x:v>164066</x:v>
      </x:c>
      <x:c r="G553" s="186" t="n">
        <x:v>9209</x:v>
      </x:c>
      <x:c r="H553" s="186" t="n">
        <x:v>56435</x:v>
      </x:c>
      <x:c r="I553" s="186" t="n">
        <x:f>G553-H553</x:f>
        <x:v>-47226</x:v>
      </x:c>
      <x:c r="J553" s="186" t="n">
        <x:v>36825</x:v>
      </x:c>
      <x:c r="K553" s="186" t="n">
        <x:v>45101</x:v>
      </x:c>
      <x:c r="L553" s="186" t="n">
        <x:f>J553-K553</x:f>
        <x:v>-8276</x:v>
      </x:c>
      <x:c r="M553" s="186" t="n">
        <x:v>55910</x:v>
      </x:c>
      <x:c r="N553" s="186" t="n">
        <x:v>27343</x:v>
      </x:c>
      <x:c r="O553" s="186" t="n">
        <x:f>M553-N553</x:f>
        <x:v>28567</x:v>
      </x:c>
      <x:c r="P553" s="186" t="n">
        <x:v>13519</x:v>
      </x:c>
      <x:c r="Q553" s="186" t="n">
        <x:v>5662</x:v>
      </x:c>
      <x:c r="R553" s="186" t="n">
        <x:f>P553-Q553</x:f>
        <x:v>7857</x:v>
      </x:c>
      <x:c r="S553" s="186" t="n">
        <x:v>30007</x:v>
      </x:c>
      <x:c r="T553" s="186" t="n">
        <x:v>10929</x:v>
      </x:c>
      <x:c r="U553" s="186" t="n">
        <x:f>S553-T553</x:f>
        <x:v>19078</x:v>
      </x:c>
      <x:c r="V553" s="196" t="n">
        <x:f>IFERROR(O553/F553,"")</x:f>
        <x:v>0.17411895212902126</x:v>
      </x:c>
      <x:c r="W553" s="196" t="n">
        <x:f>IFERROR(I553/F553,"")</x:f>
        <x:v>-0.2878475735374788</x:v>
      </x:c>
    </x:row>
    <x:row r="554">
      <x:c r="A554" s="186" t="str">
        <x:v>Gold</x:v>
      </x:c>
      <x:c r="B554" s="187" t="n">
        <x:v>44306</x:v>
      </x:c>
      <x:c r="C554" s="187" t="n">
        <x:v>44309</x:v>
      </x:c>
      <x:c r="D554" s="186" t="str">
        <x:v>088691-GOLD</x:v>
      </x:c>
      <x:c r="E554" s="186" t="str">
        <x:v>GOLD - COMMODITY EXCHANGE INC.</x:v>
      </x:c>
      <x:c r="F554" s="186" t="n">
        <x:v>471738</x:v>
      </x:c>
      <x:c r="G554" s="186" t="n">
        <x:v>11755</x:v>
      </x:c>
      <x:c r="H554" s="186" t="n">
        <x:v>87520</x:v>
      </x:c>
      <x:c r="I554" s="186" t="n">
        <x:f>G554-H554</x:f>
        <x:v>-75765</x:v>
      </x:c>
      <x:c r="J554" s="186" t="n">
        <x:v>67853</x:v>
      </x:c>
      <x:c r="K554" s="186" t="n">
        <x:v>205281</x:v>
      </x:c>
      <x:c r="L554" s="186" t="n">
        <x:f>J554-K554</x:f>
        <x:v>-137428</x:v>
      </x:c>
      <x:c r="M554" s="186" t="n">
        <x:v>116843</x:v>
      </x:c>
      <x:c r="N554" s="186" t="n">
        <x:v>60419</x:v>
      </x:c>
      <x:c r="O554" s="186" t="n">
        <x:f>M554-N554</x:f>
        <x:v>56424</x:v>
      </x:c>
      <x:c r="P554" s="186" t="n">
        <x:v>159142</x:v>
      </x:c>
      <x:c r="Q554" s="186" t="n">
        <x:v>34068</x:v>
      </x:c>
      <x:c r="R554" s="186" t="n">
        <x:f>P554-Q554</x:f>
        <x:v>125074</x:v>
      </x:c>
      <x:c r="S554" s="186" t="n">
        <x:v>50373</x:v>
      </x:c>
      <x:c r="T554" s="186" t="n">
        <x:v>18678</x:v>
      </x:c>
      <x:c r="U554" s="186" t="n">
        <x:f>S554-T554</x:f>
        <x:v>31695</x:v>
      </x:c>
      <x:c r="V554" s="196" t="n">
        <x:f>IFERROR(O554/F554,"")</x:f>
        <x:v>0.11960876588275696</x:v>
      </x:c>
      <x:c r="W554" s="196" t="n">
        <x:f>IFERROR(I554/F554,"")</x:f>
        <x:v>-0.16060821896900399</x:v>
      </x:c>
    </x:row>
    <x:row r="555">
      <x:c r="A555" s="186" t="str">
        <x:v>Silver</x:v>
      </x:c>
      <x:c r="B555" s="187" t="n">
        <x:v>44306</x:v>
      </x:c>
      <x:c r="C555" s="187" t="n">
        <x:v>44309</x:v>
      </x:c>
      <x:c r="D555" s="186" t="str">
        <x:v>084691-SILVER</x:v>
      </x:c>
      <x:c r="E555" s="186" t="str">
        <x:v>SILVER - COMMODITY EXCHANGE INC.</x:v>
      </x:c>
      <x:c r="F555" s="186" t="n">
        <x:v>169420</x:v>
      </x:c>
      <x:c r="G555" s="186" t="n">
        <x:v>9592</x:v>
      </x:c>
      <x:c r="H555" s="186" t="n">
        <x:v>58973</x:v>
      </x:c>
      <x:c r="I555" s="186" t="n">
        <x:f>G555-H555</x:f>
        <x:v>-49381</x:v>
      </x:c>
      <x:c r="J555" s="186" t="n">
        <x:v>35395</x:v>
      </x:c>
      <x:c r="K555" s="186" t="n">
        <x:v>47131</x:v>
      </x:c>
      <x:c r="L555" s="186" t="n">
        <x:f>J555-K555</x:f>
        <x:v>-11736</x:v>
      </x:c>
      <x:c r="M555" s="186" t="n">
        <x:v>61979</x:v>
      </x:c>
      <x:c r="N555" s="186" t="n">
        <x:v>27992</x:v>
      </x:c>
      <x:c r="O555" s="186" t="n">
        <x:f>M555-N555</x:f>
        <x:v>33987</x:v>
      </x:c>
      <x:c r="P555" s="186" t="n">
        <x:v>13188</x:v>
      </x:c>
      <x:c r="Q555" s="186" t="n">
        <x:v>5494</x:v>
      </x:c>
      <x:c r="R555" s="186" t="n">
        <x:f>P555-Q555</x:f>
        <x:v>7694</x:v>
      </x:c>
      <x:c r="S555" s="186" t="n">
        <x:v>30326</x:v>
      </x:c>
      <x:c r="T555" s="186" t="n">
        <x:v>10890</x:v>
      </x:c>
      <x:c r="U555" s="186" t="n">
        <x:f>S555-T555</x:f>
        <x:v>19436</x:v>
      </x:c>
      <x:c r="V555" s="196" t="n">
        <x:f>IFERROR(O555/F555,"")</x:f>
        <x:v>0.20060795655766733</x:v>
      </x:c>
      <x:c r="W555" s="196" t="n">
        <x:f>IFERROR(I555/F555,"")</x:f>
        <x:v>-0.2914709007201039</x:v>
      </x:c>
    </x:row>
    <x:row r="556">
      <x:c r="A556" s="186" t="str">
        <x:v>Gold</x:v>
      </x:c>
      <x:c r="B556" s="187" t="n">
        <x:v>44313</x:v>
      </x:c>
      <x:c r="C556" s="187" t="n">
        <x:v>44316</x:v>
      </x:c>
      <x:c r="D556" s="186" t="str">
        <x:v>088691-GOLD</x:v>
      </x:c>
      <x:c r="E556" s="186" t="str">
        <x:v>GOLD - COMMODITY EXCHANGE INC.</x:v>
      </x:c>
      <x:c r="F556" s="186" t="n">
        <x:v>473305</x:v>
      </x:c>
      <x:c r="G556" s="186" t="n">
        <x:v>11542</x:v>
      </x:c>
      <x:c r="H556" s="186" t="n">
        <x:v>83268</x:v>
      </x:c>
      <x:c r="I556" s="186" t="n">
        <x:f>G556-H556</x:f>
        <x:v>-71726</x:v>
      </x:c>
      <x:c r="J556" s="186" t="n">
        <x:v>69531</x:v>
      </x:c>
      <x:c r="K556" s="186" t="n">
        <x:v>204982</x:v>
      </x:c>
      <x:c r="L556" s="186" t="n">
        <x:f>J556-K556</x:f>
        <x:v>-135451</x:v>
      </x:c>
      <x:c r="M556" s="186" t="n">
        <x:v>117144</x:v>
      </x:c>
      <x:c r="N556" s="186" t="n">
        <x:v>66493</x:v>
      </x:c>
      <x:c r="O556" s="186" t="n">
        <x:f>M556-N556</x:f>
        <x:v>50651</x:v>
      </x:c>
      <x:c r="P556" s="186" t="n">
        <x:v>153573</x:v>
      </x:c>
      <x:c r="Q556" s="186" t="n">
        <x:v>33605</x:v>
      </x:c>
      <x:c r="R556" s="186" t="n">
        <x:f>P556-Q556</x:f>
        <x:v>119968</x:v>
      </x:c>
      <x:c r="S556" s="186" t="n">
        <x:v>54199</x:v>
      </x:c>
      <x:c r="T556" s="186" t="n">
        <x:v>17641</x:v>
      </x:c>
      <x:c r="U556" s="186" t="n">
        <x:f>S556-T556</x:f>
        <x:v>36558</x:v>
      </x:c>
      <x:c r="V556" s="196" t="n">
        <x:f>IFERROR(O556/F556,"")</x:f>
        <x:v>0.10701556079061071</x:v>
      </x:c>
      <x:c r="W556" s="196" t="n">
        <x:f>IFERROR(I556/F556,"")</x:f>
        <x:v>-0.15154287404527736</x:v>
      </x:c>
    </x:row>
    <x:row r="557">
      <x:c r="A557" s="186" t="str">
        <x:v>Silver</x:v>
      </x:c>
      <x:c r="B557" s="187" t="n">
        <x:v>44313</x:v>
      </x:c>
      <x:c r="C557" s="187" t="n">
        <x:v>44316</x:v>
      </x:c>
      <x:c r="D557" s="186" t="str">
        <x:v>084691-SILVER</x:v>
      </x:c>
      <x:c r="E557" s="186" t="str">
        <x:v>SILVER - COMMODITY EXCHANGE INC.</x:v>
      </x:c>
      <x:c r="F557" s="186" t="n">
        <x:v>172470</x:v>
      </x:c>
      <x:c r="G557" s="186" t="n">
        <x:v>9139</x:v>
      </x:c>
      <x:c r="H557" s="186" t="n">
        <x:v>60864</x:v>
      </x:c>
      <x:c r="I557" s="186" t="n">
        <x:f>G557-H557</x:f>
        <x:v>-51725</x:v>
      </x:c>
      <x:c r="J557" s="186" t="n">
        <x:v>36485</x:v>
      </x:c>
      <x:c r="K557" s="186" t="n">
        <x:v>48512</x:v>
      </x:c>
      <x:c r="L557" s="186" t="n">
        <x:f>J557-K557</x:f>
        <x:v>-12027</x:v>
      </x:c>
      <x:c r="M557" s="186" t="n">
        <x:v>64769</x:v>
      </x:c>
      <x:c r="N557" s="186" t="n">
        <x:v>28213</x:v>
      </x:c>
      <x:c r="O557" s="186" t="n">
        <x:f>M557-N557</x:f>
        <x:v>36556</x:v>
      </x:c>
      <x:c r="P557" s="186" t="n">
        <x:v>11611</x:v>
      </x:c>
      <x:c r="Q557" s="186" t="n">
        <x:v>5326</x:v>
      </x:c>
      <x:c r="R557" s="186" t="n">
        <x:f>P557-Q557</x:f>
        <x:v>6285</x:v>
      </x:c>
      <x:c r="S557" s="186" t="n">
        <x:v>31705</x:v>
      </x:c>
      <x:c r="T557" s="186" t="n">
        <x:v>10794</x:v>
      </x:c>
      <x:c r="U557" s="186" t="n">
        <x:f>S557-T557</x:f>
        <x:v>20911</x:v>
      </x:c>
      <x:c r="V557" s="196" t="n">
        <x:f>IFERROR(O557/F557,"")</x:f>
        <x:v>0.21195570244100423</x:v>
      </x:c>
      <x:c r="W557" s="196" t="n">
        <x:f>IFERROR(I557/F557,"")</x:f>
        <x:v>-0.2999072302429408</x:v>
      </x:c>
    </x:row>
    <x:row r="558">
      <x:c r="A558" s="186" t="str">
        <x:v>Gold</x:v>
      </x:c>
      <x:c r="B558" s="187" t="n">
        <x:v>44320</x:v>
      </x:c>
      <x:c r="C558" s="187" t="n">
        <x:v>44323</x:v>
      </x:c>
      <x:c r="D558" s="186" t="str">
        <x:v>088691-GOLD</x:v>
      </x:c>
      <x:c r="E558" s="186" t="str">
        <x:v>GOLD - COMMODITY EXCHANGE INC.</x:v>
      </x:c>
      <x:c r="F558" s="186" t="n">
        <x:v>470341</x:v>
      </x:c>
      <x:c r="G558" s="186" t="n">
        <x:v>11043</x:v>
      </x:c>
      <x:c r="H558" s="186" t="n">
        <x:v>78286</x:v>
      </x:c>
      <x:c r="I558" s="186" t="n">
        <x:f>G558-H558</x:f>
        <x:v>-67243</x:v>
      </x:c>
      <x:c r="J558" s="186" t="n">
        <x:v>68469</x:v>
      </x:c>
      <x:c r="K558" s="186" t="n">
        <x:v>203149</x:v>
      </x:c>
      <x:c r="L558" s="186" t="n">
        <x:f>J558-K558</x:f>
        <x:v>-134680</x:v>
      </x:c>
      <x:c r="M558" s="186" t="n">
        <x:v>117434</x:v>
      </x:c>
      <x:c r="N558" s="186" t="n">
        <x:v>63809</x:v>
      </x:c>
      <x:c r="O558" s="186" t="n">
        <x:f>M558-N558</x:f>
        <x:v>53625</x:v>
      </x:c>
      <x:c r="P558" s="186" t="n">
        <x:v>152760</x:v>
      </x:c>
      <x:c r="Q558" s="186" t="n">
        <x:v>35644</x:v>
      </x:c>
      <x:c r="R558" s="186" t="n">
        <x:f>P558-Q558</x:f>
        <x:v>117116</x:v>
      </x:c>
      <x:c r="S558" s="186" t="n">
        <x:v>51126</x:v>
      </x:c>
      <x:c r="T558" s="186" t="n">
        <x:v>19944</x:v>
      </x:c>
      <x:c r="U558" s="186" t="n">
        <x:f>S558-T558</x:f>
        <x:v>31182</x:v>
      </x:c>
      <x:c r="V558" s="196" t="n">
        <x:f>IFERROR(O558/F558,"")</x:f>
        <x:v>0.11401302459279544</x:v>
      </x:c>
      <x:c r="W558" s="196" t="n">
        <x:f>IFERROR(I558/F558,"")</x:f>
        <x:v>-0.1429664860175915</x:v>
      </x:c>
    </x:row>
    <x:row r="559">
      <x:c r="A559" s="186" t="str">
        <x:v>Silver</x:v>
      </x:c>
      <x:c r="B559" s="187" t="n">
        <x:v>44320</x:v>
      </x:c>
      <x:c r="C559" s="187" t="n">
        <x:v>44323</x:v>
      </x:c>
      <x:c r="D559" s="186" t="str">
        <x:v>084691-SILVER</x:v>
      </x:c>
      <x:c r="E559" s="186" t="str">
        <x:v>SILVER - COMMODITY EXCHANGE INC.</x:v>
      </x:c>
      <x:c r="F559" s="186" t="n">
        <x:v>167073</x:v>
      </x:c>
      <x:c r="G559" s="186" t="n">
        <x:v>8929</x:v>
      </x:c>
      <x:c r="H559" s="186" t="n">
        <x:v>62194</x:v>
      </x:c>
      <x:c r="I559" s="186" t="n">
        <x:f>G559-H559</x:f>
        <x:v>-53265</x:v>
      </x:c>
      <x:c r="J559" s="186" t="n">
        <x:v>36214</x:v>
      </x:c>
      <x:c r="K559" s="186" t="n">
        <x:v>51494</x:v>
      </x:c>
      <x:c r="L559" s="186" t="n">
        <x:f>J559-K559</x:f>
        <x:v>-15280</x:v>
      </x:c>
      <x:c r="M559" s="186" t="n">
        <x:v>66702</x:v>
      </x:c>
      <x:c r="N559" s="186" t="n">
        <x:v>24148</x:v>
      </x:c>
      <x:c r="O559" s="186" t="n">
        <x:f>M559-N559</x:f>
        <x:v>42554</x:v>
      </x:c>
      <x:c r="P559" s="186" t="n">
        <x:v>12156</x:v>
      </x:c>
      <x:c r="Q559" s="186" t="n">
        <x:v>6843</x:v>
      </x:c>
      <x:c r="R559" s="186" t="n">
        <x:f>P559-Q559</x:f>
        <x:v>5313</x:v>
      </x:c>
      <x:c r="S559" s="186" t="n">
        <x:v>29989</x:v>
      </x:c>
      <x:c r="T559" s="186" t="n">
        <x:v>9311</x:v>
      </x:c>
      <x:c r="U559" s="186" t="n">
        <x:f>S559-T559</x:f>
        <x:v>20678</x:v>
      </x:c>
      <x:c r="V559" s="196" t="n">
        <x:f>IFERROR(O559/F559,"")</x:f>
        <x:v>0.25470303400310046</x:v>
      </x:c>
      <x:c r="W559" s="196" t="n">
        <x:f>IFERROR(I559/F559,"")</x:f>
        <x:v>-0.3188127345531594</x:v>
      </x:c>
    </x:row>
    <x:row r="560">
      <x:c r="A560" s="186" t="str">
        <x:v>Gold</x:v>
      </x:c>
      <x:c r="B560" s="187" t="n">
        <x:v>44327</x:v>
      </x:c>
      <x:c r="C560" s="187" t="n">
        <x:v>44330</x:v>
      </x:c>
      <x:c r="D560" s="186" t="str">
        <x:v>088691-GOLD</x:v>
      </x:c>
      <x:c r="E560" s="186" t="str">
        <x:v>GOLD - COMMODITY EXCHANGE INC.</x:v>
      </x:c>
      <x:c r="F560" s="186" t="n">
        <x:v>498693</x:v>
      </x:c>
      <x:c r="G560" s="186" t="n">
        <x:v>16359</x:v>
      </x:c>
      <x:c r="H560" s="186" t="n">
        <x:v>87150</x:v>
      </x:c>
      <x:c r="I560" s="186" t="n">
        <x:f>G560-H560</x:f>
        <x:v>-70791</x:v>
      </x:c>
      <x:c r="J560" s="186" t="n">
        <x:v>67146</x:v>
      </x:c>
      <x:c r="K560" s="186" t="n">
        <x:v>223439</x:v>
      </x:c>
      <x:c r="L560" s="186" t="n">
        <x:f>J560-K560</x:f>
        <x:v>-156293</x:v>
      </x:c>
      <x:c r="M560" s="186" t="n">
        <x:v>131295</x:v>
      </x:c>
      <x:c r="N560" s="186" t="n">
        <x:v>49680</x:v>
      </x:c>
      <x:c r="O560" s="186" t="n">
        <x:f>M560-N560</x:f>
        <x:v>81615</x:v>
      </x:c>
      <x:c r="P560" s="186" t="n">
        <x:v>150866</x:v>
      </x:c>
      <x:c r="Q560" s="186" t="n">
        <x:v>40226</x:v>
      </x:c>
      <x:c r="R560" s="186" t="n">
        <x:f>P560-Q560</x:f>
        <x:v>110640</x:v>
      </x:c>
      <x:c r="S560" s="186" t="n">
        <x:v>54400</x:v>
      </x:c>
      <x:c r="T560" s="186" t="n">
        <x:v>19571</x:v>
      </x:c>
      <x:c r="U560" s="186" t="n">
        <x:f>S560-T560</x:f>
        <x:v>34829</x:v>
      </x:c>
      <x:c r="V560" s="196" t="n">
        <x:f>IFERROR(O560/F560,"")</x:f>
        <x:v>0.16365780149310297</x:v>
      </x:c>
      <x:c r="W560" s="196" t="n">
        <x:f>IFERROR(I560/F560,"")</x:f>
        <x:v>-0.14195306531272747</x:v>
      </x:c>
    </x:row>
    <x:row r="561">
      <x:c r="A561" s="186" t="str">
        <x:v>Silver</x:v>
      </x:c>
      <x:c r="B561" s="187" t="n">
        <x:v>44327</x:v>
      </x:c>
      <x:c r="C561" s="187" t="n">
        <x:v>44330</x:v>
      </x:c>
      <x:c r="D561" s="186" t="str">
        <x:v>084691-SILVER</x:v>
      </x:c>
      <x:c r="E561" s="186" t="str">
        <x:v>SILVER - COMMODITY EXCHANGE INC.</x:v>
      </x:c>
      <x:c r="F561" s="186" t="n">
        <x:v>178250</x:v>
      </x:c>
      <x:c r="G561" s="186" t="n">
        <x:v>9440</x:v>
      </x:c>
      <x:c r="H561" s="186" t="n">
        <x:v>64357</x:v>
      </x:c>
      <x:c r="I561" s="186" t="n">
        <x:f>G561-H561</x:f>
        <x:v>-54917</x:v>
      </x:c>
      <x:c r="J561" s="186" t="n">
        <x:v>36409</x:v>
      </x:c>
      <x:c r="K561" s="186" t="n">
        <x:v>54767</x:v>
      </x:c>
      <x:c r="L561" s="186" t="n">
        <x:f>J561-K561</x:f>
        <x:v>-18358</x:v>
      </x:c>
      <x:c r="M561" s="186" t="n">
        <x:v>73342</x:v>
      </x:c>
      <x:c r="N561" s="186" t="n">
        <x:v>26851</x:v>
      </x:c>
      <x:c r="O561" s="186" t="n">
        <x:f>M561-N561</x:f>
        <x:v>46491</x:v>
      </x:c>
      <x:c r="P561" s="186" t="n">
        <x:v>13055</x:v>
      </x:c>
      <x:c r="Q561" s="186" t="n">
        <x:v>6703</x:v>
      </x:c>
      <x:c r="R561" s="186" t="n">
        <x:f>P561-Q561</x:f>
        <x:v>6352</x:v>
      </x:c>
      <x:c r="S561" s="186" t="n">
        <x:v>30664</x:v>
      </x:c>
      <x:c r="T561" s="186" t="n">
        <x:v>10232</x:v>
      </x:c>
      <x:c r="U561" s="186" t="n">
        <x:f>S561-T561</x:f>
        <x:v>20432</x:v>
      </x:c>
      <x:c r="V561" s="196" t="n">
        <x:f>IFERROR(O561/F561,"")</x:f>
        <x:v>0.26081907433380086</x:v>
      </x:c>
      <x:c r="W561" s="196" t="n">
        <x:f>IFERROR(I561/F561,"")</x:f>
        <x:v>-0.3080897615708275</x:v>
      </x:c>
    </x:row>
    <x:row r="562">
      <x:c r="A562" s="186" t="str">
        <x:v>Gold</x:v>
      </x:c>
      <x:c r="B562" s="187" t="n">
        <x:v>44334</x:v>
      </x:c>
      <x:c r="C562" s="187" t="n">
        <x:v>44337</x:v>
      </x:c>
      <x:c r="D562" s="186" t="str">
        <x:v>088691-GOLD</x:v>
      </x:c>
      <x:c r="E562" s="186" t="str">
        <x:v>GOLD - COMMODITY EXCHANGE INC.</x:v>
      </x:c>
      <x:c r="F562" s="186" t="n">
        <x:v>520410</x:v>
      </x:c>
      <x:c r="G562" s="186" t="n">
        <x:v>18969</x:v>
      </x:c>
      <x:c r="H562" s="186" t="n">
        <x:v>84133</x:v>
      </x:c>
      <x:c r="I562" s="186" t="n">
        <x:f>G562-H562</x:f>
        <x:v>-65164</x:v>
      </x:c>
      <x:c r="J562" s="186" t="n">
        <x:v>67198</x:v>
      </x:c>
      <x:c r="K562" s="186" t="n">
        <x:v>234935</x:v>
      </x:c>
      <x:c r="L562" s="186" t="n">
        <x:f>J562-K562</x:f>
        <x:v>-167737</x:v>
      </x:c>
      <x:c r="M562" s="186" t="n">
        <x:v>141776</x:v>
      </x:c>
      <x:c r="N562" s="186" t="n">
        <x:v>49786</x:v>
      </x:c>
      <x:c r="O562" s="186" t="n">
        <x:f>M562-N562</x:f>
        <x:v>91990</x:v>
      </x:c>
      <x:c r="P562" s="186" t="n">
        <x:v>148491</x:v>
      </x:c>
      <x:c r="Q562" s="186" t="n">
        <x:v>41592</x:v>
      </x:c>
      <x:c r="R562" s="186" t="n">
        <x:f>P562-Q562</x:f>
        <x:v>106899</x:v>
      </x:c>
      <x:c r="S562" s="186" t="n">
        <x:v>55146</x:v>
      </x:c>
      <x:c r="T562" s="186" t="n">
        <x:v>21134</x:v>
      </x:c>
      <x:c r="U562" s="186" t="n">
        <x:f>S562-T562</x:f>
        <x:v>34012</x:v>
      </x:c>
      <x:c r="V562" s="196" t="n">
        <x:f>IFERROR(O562/F562,"")</x:f>
        <x:v>0.17676447416460098</x:v>
      </x:c>
      <x:c r="W562" s="196" t="n">
        <x:f>IFERROR(I562/F562,"")</x:f>
        <x:v>-0.12521665609807653</x:v>
      </x:c>
    </x:row>
    <x:row r="563">
      <x:c r="A563" s="186" t="str">
        <x:v>Silver</x:v>
      </x:c>
      <x:c r="B563" s="187" t="n">
        <x:v>44334</x:v>
      </x:c>
      <x:c r="C563" s="187" t="n">
        <x:v>44337</x:v>
      </x:c>
      <x:c r="D563" s="186" t="str">
        <x:v>084691-SILVER</x:v>
      </x:c>
      <x:c r="E563" s="186" t="str">
        <x:v>SILVER - COMMODITY EXCHANGE INC.</x:v>
      </x:c>
      <x:c r="F563" s="186" t="n">
        <x:v>181606</x:v>
      </x:c>
      <x:c r="G563" s="186" t="n">
        <x:v>9339</x:v>
      </x:c>
      <x:c r="H563" s="186" t="n">
        <x:v>63545</x:v>
      </x:c>
      <x:c r="I563" s="186" t="n">
        <x:f>G563-H563</x:f>
        <x:v>-54206</x:v>
      </x:c>
      <x:c r="J563" s="186" t="n">
        <x:v>35734</x:v>
      </x:c>
      <x:c r="K563" s="186" t="n">
        <x:v>55889</x:v>
      </x:c>
      <x:c r="L563" s="186" t="n">
        <x:f>J563-K563</x:f>
        <x:v>-20155</x:v>
      </x:c>
      <x:c r="M563" s="186" t="n">
        <x:v>73685</x:v>
      </x:c>
      <x:c r="N563" s="186" t="n">
        <x:v>28674</x:v>
      </x:c>
      <x:c r="O563" s="186" t="n">
        <x:f>M563-N563</x:f>
        <x:v>45011</x:v>
      </x:c>
      <x:c r="P563" s="186" t="n">
        <x:v>12955</x:v>
      </x:c>
      <x:c r="Q563" s="186" t="n">
        <x:v>6985</x:v>
      </x:c>
      <x:c r="R563" s="186" t="n">
        <x:f>P563-Q563</x:f>
        <x:v>5970</x:v>
      </x:c>
      <x:c r="S563" s="186" t="n">
        <x:v>32714</x:v>
      </x:c>
      <x:c r="T563" s="186" t="n">
        <x:v>9334</x:v>
      </x:c>
      <x:c r="U563" s="186" t="n">
        <x:f>S563-T563</x:f>
        <x:v>23380</x:v>
      </x:c>
      <x:c r="V563" s="196" t="n">
        <x:f>IFERROR(O563/F563,"")</x:f>
        <x:v>0.24784974064733545</x:v>
      </x:c>
      <x:c r="W563" s="196" t="n">
        <x:f>IFERROR(I563/F563,"")</x:f>
        <x:v>-0.2984813277094369</x:v>
      </x:c>
    </x:row>
    <x:row r="564">
      <x:c r="A564" s="186" t="str">
        <x:v>Gold</x:v>
      </x:c>
      <x:c r="B564" s="187" t="n">
        <x:v>44341</x:v>
      </x:c>
      <x:c r="C564" s="187" t="n">
        <x:v>44344</x:v>
      </x:c>
      <x:c r="D564" s="186" t="str">
        <x:v>088691-GOLD</x:v>
      </x:c>
      <x:c r="E564" s="186" t="str">
        <x:v>GOLD - COMMODITY EXCHANGE INC.</x:v>
      </x:c>
      <x:c r="F564" s="186" t="n">
        <x:v>510164</x:v>
      </x:c>
      <x:c r="G564" s="186" t="n">
        <x:v>12526</x:v>
      </x:c>
      <x:c r="H564" s="186" t="n">
        <x:v>90986</x:v>
      </x:c>
      <x:c r="I564" s="186" t="n">
        <x:f>G564-H564</x:f>
        <x:v>-78460</x:v>
      </x:c>
      <x:c r="J564" s="186" t="n">
        <x:v>68215</x:v>
      </x:c>
      <x:c r="K564" s="186" t="n">
        <x:v>240624</x:v>
      </x:c>
      <x:c r="L564" s="186" t="n">
        <x:f>J564-K564</x:f>
        <x:v>-172409</x:v>
      </x:c>
      <x:c r="M564" s="186" t="n">
        <x:v>143862</x:v>
      </x:c>
      <x:c r="N564" s="186" t="n">
        <x:v>36607</x:v>
      </x:c>
      <x:c r="O564" s="186" t="n">
        <x:f>M564-N564</x:f>
        <x:v>107255</x:v>
      </x:c>
      <x:c r="P564" s="186" t="n">
        <x:v>144404</x:v>
      </x:c>
      <x:c r="Q564" s="186" t="n">
        <x:v>37017</x:v>
      </x:c>
      <x:c r="R564" s="186" t="n">
        <x:f>P564-Q564</x:f>
        <x:v>107387</x:v>
      </x:c>
      <x:c r="S564" s="186" t="n">
        <x:v>59511</x:v>
      </x:c>
      <x:c r="T564" s="186" t="n">
        <x:v>23284</x:v>
      </x:c>
      <x:c r="U564" s="186" t="n">
        <x:f>S564-T564</x:f>
        <x:v>36227</x:v>
      </x:c>
      <x:c r="V564" s="196" t="n">
        <x:f>IFERROR(O564/F564,"")</x:f>
        <x:v>0.2102363161649979</x:v>
      </x:c>
      <x:c r="W564" s="196" t="n">
        <x:f>IFERROR(I564/F564,"")</x:f>
        <x:v>-0.1537936820316604</x:v>
      </x:c>
    </x:row>
    <x:row r="565">
      <x:c r="A565" s="186" t="str">
        <x:v>Silver</x:v>
      </x:c>
      <x:c r="B565" s="187" t="n">
        <x:v>44341</x:v>
      </x:c>
      <x:c r="C565" s="187" t="n">
        <x:v>44344</x:v>
      </x:c>
      <x:c r="D565" s="186" t="str">
        <x:v>084691-SILVER</x:v>
      </x:c>
      <x:c r="E565" s="186" t="str">
        <x:v>SILVER - COMMODITY EXCHANGE INC.</x:v>
      </x:c>
      <x:c r="F565" s="186" t="n">
        <x:v>180830</x:v>
      </x:c>
      <x:c r="G565" s="186" t="n">
        <x:v>9799</x:v>
      </x:c>
      <x:c r="H565" s="186" t="n">
        <x:v>63727</x:v>
      </x:c>
      <x:c r="I565" s="186" t="n">
        <x:f>G565-H565</x:f>
        <x:v>-53928</x:v>
      </x:c>
      <x:c r="J565" s="186" t="n">
        <x:v>36796</x:v>
      </x:c>
      <x:c r="K565" s="186" t="n">
        <x:v>55142</x:v>
      </x:c>
      <x:c r="L565" s="186" t="n">
        <x:f>J565-K565</x:f>
        <x:v>-18346</x:v>
      </x:c>
      <x:c r="M565" s="186" t="n">
        <x:v>72629</x:v>
      </x:c>
      <x:c r="N565" s="186" t="n">
        <x:v>28963</x:v>
      </x:c>
      <x:c r="O565" s="186" t="n">
        <x:f>M565-N565</x:f>
        <x:v>43666</x:v>
      </x:c>
      <x:c r="P565" s="186" t="n">
        <x:v>13384</x:v>
      </x:c>
      <x:c r="Q565" s="186" t="n">
        <x:v>6568</x:v>
      </x:c>
      <x:c r="R565" s="186" t="n">
        <x:f>P565-Q565</x:f>
        <x:v>6816</x:v>
      </x:c>
      <x:c r="S565" s="186" t="n">
        <x:v>31411</x:v>
      </x:c>
      <x:c r="T565" s="186" t="n">
        <x:v>9619</x:v>
      </x:c>
      <x:c r="U565" s="186" t="n">
        <x:f>S565-T565</x:f>
        <x:v>21792</x:v>
      </x:c>
      <x:c r="V565" s="196" t="n">
        <x:f>IFERROR(O565/F565,"")</x:f>
        <x:v>0.2414754189017309</x:v>
      </x:c>
      <x:c r="W565" s="196" t="n">
        <x:f>IFERROR(I565/F565,"")</x:f>
        <x:v>-0.2982248520710059</x:v>
      </x:c>
    </x:row>
    <x:row r="566">
      <x:c r="A566" s="186" t="str">
        <x:v>Gold</x:v>
      </x:c>
      <x:c r="B566" s="187" t="n">
        <x:v>44348</x:v>
      </x:c>
      <x:c r="C566" s="187" t="n">
        <x:v>44351</x:v>
      </x:c>
      <x:c r="D566" s="186" t="str">
        <x:v>088691-GOLD</x:v>
      </x:c>
      <x:c r="E566" s="186" t="str">
        <x:v>GOLD - COMMODITY EXCHANGE INC.</x:v>
      </x:c>
      <x:c r="F566" s="186" t="n">
        <x:v>489198</x:v>
      </x:c>
      <x:c r="G566" s="186" t="n">
        <x:v>11017</x:v>
      </x:c>
      <x:c r="H566" s="186" t="n">
        <x:v>80820</x:v>
      </x:c>
      <x:c r="I566" s="186" t="n">
        <x:f>G566-H566</x:f>
        <x:v>-69803</x:v>
      </x:c>
      <x:c r="J566" s="186" t="n">
        <x:v>64564</x:v>
      </x:c>
      <x:c r="K566" s="186" t="n">
        <x:v>242936</x:v>
      </x:c>
      <x:c r="L566" s="186" t="n">
        <x:f>J566-K566</x:f>
        <x:v>-178372</x:v>
      </x:c>
      <x:c r="M566" s="186" t="n">
        <x:v>147270</x:v>
      </x:c>
      <x:c r="N566" s="186" t="n">
        <x:v>37297</x:v>
      </x:c>
      <x:c r="O566" s="186" t="n">
        <x:f>M566-N566</x:f>
        <x:v>109973</x:v>
      </x:c>
      <x:c r="P566" s="186" t="n">
        <x:v>141556</x:v>
      </x:c>
      <x:c r="Q566" s="186" t="n">
        <x:v>37828</x:v>
      </x:c>
      <x:c r="R566" s="186" t="n">
        <x:f>P566-Q566</x:f>
        <x:v>103728</x:v>
      </x:c>
      <x:c r="S566" s="186" t="n">
        <x:v>53306</x:v>
      </x:c>
      <x:c r="T566" s="186" t="n">
        <x:v>18832</x:v>
      </x:c>
      <x:c r="U566" s="186" t="n">
        <x:f>S566-T566</x:f>
        <x:v>34474</x:v>
      </x:c>
      <x:c r="V566" s="196" t="n">
        <x:f>IFERROR(O566/F566,"")</x:f>
        <x:v>0.22480263615141519</x:v>
      </x:c>
      <x:c r="W566" s="196" t="n">
        <x:f>IFERROR(I566/F566,"")</x:f>
        <x:v>-0.14268864549732418</x:v>
      </x:c>
    </x:row>
    <x:row r="567">
      <x:c r="A567" s="186" t="str">
        <x:v>Silver</x:v>
      </x:c>
      <x:c r="B567" s="187" t="n">
        <x:v>44348</x:v>
      </x:c>
      <x:c r="C567" s="187" t="n">
        <x:v>44351</x:v>
      </x:c>
      <x:c r="D567" s="186" t="str">
        <x:v>084691-SILVER</x:v>
      </x:c>
      <x:c r="E567" s="186" t="str">
        <x:v>SILVER - COMMODITY EXCHANGE INC.</x:v>
      </x:c>
      <x:c r="F567" s="186" t="n">
        <x:v>182312</x:v>
      </x:c>
      <x:c r="G567" s="186" t="n">
        <x:v>9991</x:v>
      </x:c>
      <x:c r="H567" s="186" t="n">
        <x:v>63755</x:v>
      </x:c>
      <x:c r="I567" s="186" t="n">
        <x:f>G567-H567</x:f>
        <x:v>-53764</x:v>
      </x:c>
      <x:c r="J567" s="186" t="n">
        <x:v>37243</x:v>
      </x:c>
      <x:c r="K567" s="186" t="n">
        <x:v>54961</x:v>
      </x:c>
      <x:c r="L567" s="186" t="n">
        <x:f>J567-K567</x:f>
        <x:v>-17718</x:v>
      </x:c>
      <x:c r="M567" s="186" t="n">
        <x:v>70120</x:v>
      </x:c>
      <x:c r="N567" s="186" t="n">
        <x:v>29441</x:v>
      </x:c>
      <x:c r="O567" s="186" t="n">
        <x:f>M567-N567</x:f>
        <x:v>40679</x:v>
      </x:c>
      <x:c r="P567" s="186" t="n">
        <x:v>14280</x:v>
      </x:c>
      <x:c r="Q567" s="186" t="n">
        <x:v>7442</x:v>
      </x:c>
      <x:c r="R567" s="186" t="n">
        <x:f>P567-Q567</x:f>
        <x:v>6838</x:v>
      </x:c>
      <x:c r="S567" s="186" t="n">
        <x:v>33452</x:v>
      </x:c>
      <x:c r="T567" s="186" t="n">
        <x:v>9487</x:v>
      </x:c>
      <x:c r="U567" s="186" t="n">
        <x:f>S567-T567</x:f>
        <x:v>23965</x:v>
      </x:c>
      <x:c r="V567" s="196" t="n">
        <x:f>IFERROR(O567/F567,"")</x:f>
        <x:v>0.2231284830400632</x:v>
      </x:c>
      <x:c r="W567" s="196" t="n">
        <x:f>IFERROR(I567/F567,"")</x:f>
        <x:v>-0.2949010487515907</x:v>
      </x:c>
    </x:row>
    <x:row r="568">
      <x:c r="A568" s="186" t="str">
        <x:v>Gold</x:v>
      </x:c>
      <x:c r="B568" s="187" t="n">
        <x:v>44355</x:v>
      </x:c>
      <x:c r="C568" s="187" t="n">
        <x:v>44358</x:v>
      </x:c>
      <x:c r="D568" s="186" t="str">
        <x:v>088691-GOLD</x:v>
      </x:c>
      <x:c r="E568" s="186" t="str">
        <x:v>GOLD - COMMODITY EXCHANGE INC.</x:v>
      </x:c>
      <x:c r="F568" s="186" t="n">
        <x:v>491858</x:v>
      </x:c>
      <x:c r="G568" s="186" t="n">
        <x:v>13828</x:v>
      </x:c>
      <x:c r="H568" s="186" t="n">
        <x:v>78884</x:v>
      </x:c>
      <x:c r="I568" s="186" t="n">
        <x:f>G568-H568</x:f>
        <x:v>-65056</x:v>
      </x:c>
      <x:c r="J568" s="186" t="n">
        <x:v>63894</x:v>
      </x:c>
      <x:c r="K568" s="186" t="n">
        <x:v>243644</x:v>
      </x:c>
      <x:c r="L568" s="186" t="n">
        <x:f>J568-K568</x:f>
        <x:v>-179750</x:v>
      </x:c>
      <x:c r="M568" s="186" t="n">
        <x:v>145037</x:v>
      </x:c>
      <x:c r="N568" s="186" t="n">
        <x:v>37373</x:v>
      </x:c>
      <x:c r="O568" s="186" t="n">
        <x:f>M568-N568</x:f>
        <x:v>107664</x:v>
      </x:c>
      <x:c r="P568" s="186" t="n">
        <x:v>143744</x:v>
      </x:c>
      <x:c r="Q568" s="186" t="n">
        <x:v>42021</x:v>
      </x:c>
      <x:c r="R568" s="186" t="n">
        <x:f>P568-Q568</x:f>
        <x:v>101723</x:v>
      </x:c>
      <x:c r="S568" s="186" t="n">
        <x:v>53829</x:v>
      </x:c>
      <x:c r="T568" s="186" t="n">
        <x:v>18410</x:v>
      </x:c>
      <x:c r="U568" s="186" t="n">
        <x:f>S568-T568</x:f>
        <x:v>35419</x:v>
      </x:c>
      <x:c r="V568" s="196" t="n">
        <x:f>IFERROR(O568/F568,"")</x:f>
        <x:v>0.21889244456733448</x:v>
      </x:c>
      <x:c r="W568" s="196" t="n">
        <x:f>IFERROR(I568/F568,"")</x:f>
        <x:v>-0.1322658165568111</x:v>
      </x:c>
    </x:row>
    <x:row r="569">
      <x:c r="A569" s="186" t="str">
        <x:v>Silver</x:v>
      </x:c>
      <x:c r="B569" s="187" t="n">
        <x:v>44355</x:v>
      </x:c>
      <x:c r="C569" s="187" t="n">
        <x:v>44358</x:v>
      </x:c>
      <x:c r="D569" s="186" t="str">
        <x:v>084691-SILVER</x:v>
      </x:c>
      <x:c r="E569" s="186" t="str">
        <x:v>SILVER - COMMODITY EXCHANGE INC.</x:v>
      </x:c>
      <x:c r="F569" s="186" t="n">
        <x:v>184841</x:v>
      </x:c>
      <x:c r="G569" s="186" t="n">
        <x:v>11013</x:v>
      </x:c>
      <x:c r="H569" s="186" t="n">
        <x:v>63056</x:v>
      </x:c>
      <x:c r="I569" s="186" t="n">
        <x:f>G569-H569</x:f>
        <x:v>-52043</x:v>
      </x:c>
      <x:c r="J569" s="186" t="n">
        <x:v>36998</x:v>
      </x:c>
      <x:c r="K569" s="186" t="n">
        <x:v>55068</x:v>
      </x:c>
      <x:c r="L569" s="186" t="n">
        <x:f>J569-K569</x:f>
        <x:v>-18070</x:v>
      </x:c>
      <x:c r="M569" s="186" t="n">
        <x:v>68150</x:v>
      </x:c>
      <x:c r="N569" s="186" t="n">
        <x:v>25766</x:v>
      </x:c>
      <x:c r="O569" s="186" t="n">
        <x:f>M569-N569</x:f>
        <x:v>42384</x:v>
      </x:c>
      <x:c r="P569" s="186" t="n">
        <x:v>15228</x:v>
      </x:c>
      <x:c r="Q569" s="186" t="n">
        <x:v>7806</x:v>
      </x:c>
      <x:c r="R569" s="186" t="n">
        <x:f>P569-Q569</x:f>
        <x:v>7422</x:v>
      </x:c>
      <x:c r="S569" s="186" t="n">
        <x:v>33582</x:v>
      </x:c>
      <x:c r="T569" s="186" t="n">
        <x:v>13275</x:v>
      </x:c>
      <x:c r="U569" s="186" t="n">
        <x:f>S569-T569</x:f>
        <x:v>20307</x:v>
      </x:c>
      <x:c r="V569" s="196" t="n">
        <x:f>IFERROR(O569/F569,"")</x:f>
        <x:v>0.2292997765647232</x:v>
      </x:c>
      <x:c r="W569" s="196" t="n">
        <x:f>IFERROR(I569/F569,"")</x:f>
        <x:v>-0.28155549905053534</x:v>
      </x:c>
    </x:row>
    <x:row r="570">
      <x:c r="A570" s="186" t="str">
        <x:v>Gold</x:v>
      </x:c>
      <x:c r="B570" s="187" t="n">
        <x:v>44362</x:v>
      </x:c>
      <x:c r="C570" s="187" t="n">
        <x:v>44365</x:v>
      </x:c>
      <x:c r="D570" s="186" t="str">
        <x:v>088691-GOLD</x:v>
      </x:c>
      <x:c r="E570" s="186" t="str">
        <x:v>GOLD - COMMODITY EXCHANGE INC.</x:v>
      </x:c>
      <x:c r="F570" s="186" t="n">
        <x:v>480127</x:v>
      </x:c>
      <x:c r="G570" s="186" t="n">
        <x:v>15205</x:v>
      </x:c>
      <x:c r="H570" s="186" t="n">
        <x:v>79346</x:v>
      </x:c>
      <x:c r="I570" s="186" t="n">
        <x:f>G570-H570</x:f>
        <x:v>-64141</x:v>
      </x:c>
      <x:c r="J570" s="186" t="n">
        <x:v>65057</x:v>
      </x:c>
      <x:c r="K570" s="186" t="n">
        <x:v>232142</x:v>
      </x:c>
      <x:c r="L570" s="186" t="n">
        <x:f>J570-K570</x:f>
        <x:v>-167085</x:v>
      </x:c>
      <x:c r="M570" s="186" t="n">
        <x:v>138546</x:v>
      </x:c>
      <x:c r="N570" s="186" t="n">
        <x:v>41754</x:v>
      </x:c>
      <x:c r="O570" s="186" t="n">
        <x:f>M570-N570</x:f>
        <x:v>96792</x:v>
      </x:c>
      <x:c r="P570" s="186" t="n">
        <x:v>135401</x:v>
      </x:c>
      <x:c r="Q570" s="186" t="n">
        <x:v>40157</x:v>
      </x:c>
      <x:c r="R570" s="186" t="n">
        <x:f>P570-Q570</x:f>
        <x:v>95244</x:v>
      </x:c>
      <x:c r="S570" s="186" t="n">
        <x:v>56320</x:v>
      </x:c>
      <x:c r="T570" s="186" t="n">
        <x:v>17130</x:v>
      </x:c>
      <x:c r="U570" s="186" t="n">
        <x:f>S570-T570</x:f>
        <x:v>39190</x:v>
      </x:c>
      <x:c r="V570" s="196" t="n">
        <x:f>IFERROR(O570/F570,"")</x:f>
        <x:v>0.20159666088347458</x:v>
      </x:c>
      <x:c r="W570" s="196" t="n">
        <x:f>IFERROR(I570/F570,"")</x:f>
        <x:v>-0.13359173718620282</x:v>
      </x:c>
    </x:row>
    <x:row r="571">
      <x:c r="A571" s="186" t="str">
        <x:v>Silver</x:v>
      </x:c>
      <x:c r="B571" s="187" t="n">
        <x:v>44362</x:v>
      </x:c>
      <x:c r="C571" s="187" t="n">
        <x:v>44365</x:v>
      </x:c>
      <x:c r="D571" s="186" t="str">
        <x:v>084691-SILVER</x:v>
      </x:c>
      <x:c r="E571" s="186" t="str">
        <x:v>SILVER - COMMODITY EXCHANGE INC.</x:v>
      </x:c>
      <x:c r="F571" s="186" t="n">
        <x:v>194268</x:v>
      </x:c>
      <x:c r="G571" s="186" t="n">
        <x:v>12311</x:v>
      </x:c>
      <x:c r="H571" s="186" t="n">
        <x:v>63296</x:v>
      </x:c>
      <x:c r="I571" s="186" t="n">
        <x:f>G571-H571</x:f>
        <x:v>-50985</x:v>
      </x:c>
      <x:c r="J571" s="186" t="n">
        <x:v>37332</x:v>
      </x:c>
      <x:c r="K571" s="186" t="n">
        <x:v>57351</x:v>
      </x:c>
      <x:c r="L571" s="186" t="n">
        <x:f>J571-K571</x:f>
        <x:v>-20019</x:v>
      </x:c>
      <x:c r="M571" s="186" t="n">
        <x:v>72624</x:v>
      </x:c>
      <x:c r="N571" s="186" t="n">
        <x:v>28359</x:v>
      </x:c>
      <x:c r="O571" s="186" t="n">
        <x:f>M571-N571</x:f>
        <x:v>44265</x:v>
      </x:c>
      <x:c r="P571" s="186" t="n">
        <x:v>15967</x:v>
      </x:c>
      <x:c r="Q571" s="186" t="n">
        <x:v>8168</x:v>
      </x:c>
      <x:c r="R571" s="186" t="n">
        <x:f>P571-Q571</x:f>
        <x:v>7799</x:v>
      </x:c>
      <x:c r="S571" s="186" t="n">
        <x:v>31524</x:v>
      </x:c>
      <x:c r="T571" s="186" t="n">
        <x:v>12584</x:v>
      </x:c>
      <x:c r="U571" s="186" t="n">
        <x:f>S571-T571</x:f>
        <x:v>18940</x:v>
      </x:c>
      <x:c r="V571" s="196" t="n">
        <x:f>IFERROR(O571/F571,"")</x:f>
        <x:v>0.22785533386867626</x:v>
      </x:c>
      <x:c r="W571" s="196" t="n">
        <x:f>IFERROR(I571/F571,"")</x:f>
        <x:v>-0.26244672308357525</x:v>
      </x:c>
    </x:row>
    <x:row r="572">
      <x:c r="A572" s="186" t="str">
        <x:v>Gold</x:v>
      </x:c>
      <x:c r="B572" s="187" t="n">
        <x:v>44369</x:v>
      </x:c>
      <x:c r="C572" s="187" t="n">
        <x:v>44372</x:v>
      </x:c>
      <x:c r="D572" s="186" t="str">
        <x:v>088691-GOLD</x:v>
      </x:c>
      <x:c r="E572" s="186" t="str">
        <x:v>GOLD - COMMODITY EXCHANGE INC.</x:v>
      </x:c>
      <x:c r="F572" s="186" t="n">
        <x:v>453940</x:v>
      </x:c>
      <x:c r="G572" s="186" t="n">
        <x:v>14480</x:v>
      </x:c>
      <x:c r="H572" s="186" t="n">
        <x:v>70690</x:v>
      </x:c>
      <x:c r="I572" s="186" t="n">
        <x:f>G572-H572</x:f>
        <x:v>-56210</x:v>
      </x:c>
      <x:c r="J572" s="186" t="n">
        <x:v>66653</x:v>
      </x:c>
      <x:c r="K572" s="186" t="n">
        <x:v>212825</x:v>
      </x:c>
      <x:c r="L572" s="186" t="n">
        <x:f>J572-K572</x:f>
        <x:v>-146172</x:v>
      </x:c>
      <x:c r="M572" s="186" t="n">
        <x:v>110038</x:v>
      </x:c>
      <x:c r="N572" s="186" t="n">
        <x:v>47502</x:v>
      </x:c>
      <x:c r="O572" s="186" t="n">
        <x:f>M572-N572</x:f>
        <x:v>62536</x:v>
      </x:c>
      <x:c r="P572" s="186" t="n">
        <x:v>143115</x:v>
      </x:c>
      <x:c r="Q572" s="186" t="n">
        <x:v>39437</x:v>
      </x:c>
      <x:c r="R572" s="186" t="n">
        <x:f>P572-Q572</x:f>
        <x:v>103678</x:v>
      </x:c>
      <x:c r="S572" s="186" t="n">
        <x:v>53152</x:v>
      </x:c>
      <x:c r="T572" s="186" t="n">
        <x:v>16984</x:v>
      </x:c>
      <x:c r="U572" s="186" t="n">
        <x:f>S572-T572</x:f>
        <x:v>36168</x:v>
      </x:c>
      <x:c r="V572" s="196" t="n">
        <x:f>IFERROR(O572/F572,"")</x:f>
        <x:v>0.1377626999162885</x:v>
      </x:c>
      <x:c r="W572" s="196" t="n">
        <x:f>IFERROR(I572/F572,"")</x:f>
        <x:v>-0.12382693748072432</x:v>
      </x:c>
    </x:row>
    <x:row r="573">
      <x:c r="A573" s="186" t="str">
        <x:v>Silver</x:v>
      </x:c>
      <x:c r="B573" s="187" t="n">
        <x:v>44369</x:v>
      </x:c>
      <x:c r="C573" s="187" t="n">
        <x:v>44372</x:v>
      </x:c>
      <x:c r="D573" s="186" t="str">
        <x:v>084691-SILVER</x:v>
      </x:c>
      <x:c r="E573" s="186" t="str">
        <x:v>SILVER - COMMODITY EXCHANGE INC.</x:v>
      </x:c>
      <x:c r="F573" s="186" t="n">
        <x:v>175703</x:v>
      </x:c>
      <x:c r="G573" s="186" t="n">
        <x:v>11083</x:v>
      </x:c>
      <x:c r="H573" s="186" t="n">
        <x:v>55729</x:v>
      </x:c>
      <x:c r="I573" s="186" t="n">
        <x:f>G573-H573</x:f>
        <x:v>-44646</x:v>
      </x:c>
      <x:c r="J573" s="186" t="n">
        <x:v>35687</x:v>
      </x:c>
      <x:c r="K573" s="186" t="n">
        <x:v>48723</x:v>
      </x:c>
      <x:c r="L573" s="186" t="n">
        <x:f>J573-K573</x:f>
        <x:v>-13036</x:v>
      </x:c>
      <x:c r="M573" s="186" t="n">
        <x:v>56371</x:v>
      </x:c>
      <x:c r="N573" s="186" t="n">
        <x:v>26839</x:v>
      </x:c>
      <x:c r="O573" s="186" t="n">
        <x:f>M573-N573</x:f>
        <x:v>29532</x:v>
      </x:c>
      <x:c r="P573" s="186" t="n">
        <x:v>17470</x:v>
      </x:c>
      <x:c r="Q573" s="186" t="n">
        <x:v>7131</x:v>
      </x:c>
      <x:c r="R573" s="186" t="n">
        <x:f>P573-Q573</x:f>
        <x:v>10339</x:v>
      </x:c>
      <x:c r="S573" s="186" t="n">
        <x:v>29267</x:v>
      </x:c>
      <x:c r="T573" s="186" t="n">
        <x:v>11456</x:v>
      </x:c>
      <x:c r="U573" s="186" t="n">
        <x:f>S573-T573</x:f>
        <x:v>17811</x:v>
      </x:c>
      <x:c r="V573" s="196" t="n">
        <x:f>IFERROR(O573/F573,"")</x:f>
        <x:v>0.16807908800646545</x:v>
      </x:c>
      <x:c r="W573" s="196" t="n">
        <x:f>IFERROR(I573/F573,"")</x:f>
        <x:v>-0.2540992470248089</x:v>
      </x:c>
    </x:row>
    <x:row r="574">
      <x:c r="A574" s="186" t="str">
        <x:v>Gold</x:v>
      </x:c>
      <x:c r="B574" s="187" t="n">
        <x:v>44376</x:v>
      </x:c>
      <x:c r="C574" s="187" t="n">
        <x:v>44379</x:v>
      </x:c>
      <x:c r="D574" s="186" t="str">
        <x:v>088691-GOLD</x:v>
      </x:c>
      <x:c r="E574" s="186" t="str">
        <x:v>GOLD - COMMODITY EXCHANGE INC.</x:v>
      </x:c>
      <x:c r="F574" s="186" t="n">
        <x:v>453360</x:v>
      </x:c>
      <x:c r="G574" s="186" t="n">
        <x:v>14517</x:v>
      </x:c>
      <x:c r="H574" s="186" t="n">
        <x:v>68972</x:v>
      </x:c>
      <x:c r="I574" s="186" t="n">
        <x:f>G574-H574</x:f>
        <x:v>-54455</x:v>
      </x:c>
      <x:c r="J574" s="186" t="n">
        <x:v>67200</x:v>
      </x:c>
      <x:c r="K574" s="186" t="n">
        <x:v>207865</x:v>
      </x:c>
      <x:c r="L574" s="186" t="n">
        <x:f>J574-K574</x:f>
        <x:v>-140665</x:v>
      </x:c>
      <x:c r="M574" s="186" t="n">
        <x:v>115438</x:v>
      </x:c>
      <x:c r="N574" s="186" t="n">
        <x:v>54056</x:v>
      </x:c>
      <x:c r="O574" s="186" t="n">
        <x:f>M574-N574</x:f>
        <x:v>61382</x:v>
      </x:c>
      <x:c r="P574" s="186" t="n">
        <x:v>138768</x:v>
      </x:c>
      <x:c r="Q574" s="186" t="n">
        <x:v>37924</x:v>
      </x:c>
      <x:c r="R574" s="186" t="n">
        <x:f>P574-Q574</x:f>
        <x:v>100844</x:v>
      </x:c>
      <x:c r="S574" s="186" t="n">
        <x:v>51048</x:v>
      </x:c>
      <x:c r="T574" s="186" t="n">
        <x:v>18154</x:v>
      </x:c>
      <x:c r="U574" s="186" t="n">
        <x:f>S574-T574</x:f>
        <x:v>32894</x:v>
      </x:c>
      <x:c r="V574" s="196" t="n">
        <x:f>IFERROR(O574/F574,"")</x:f>
        <x:v>0.13539350626433738</x:v>
      </x:c>
      <x:c r="W574" s="196" t="n">
        <x:f>IFERROR(I574/F574,"")</x:f>
        <x:v>-0.12011425798482442</x:v>
      </x:c>
    </x:row>
    <x:row r="575">
      <x:c r="A575" s="186" t="str">
        <x:v>Silver</x:v>
      </x:c>
      <x:c r="B575" s="187" t="n">
        <x:v>44376</x:v>
      </x:c>
      <x:c r="C575" s="187" t="n">
        <x:v>44379</x:v>
      </x:c>
      <x:c r="D575" s="186" t="str">
        <x:v>084691-SILVER</x:v>
      </x:c>
      <x:c r="E575" s="186" t="str">
        <x:v>SILVER - COMMODITY EXCHANGE INC.</x:v>
      </x:c>
      <x:c r="F575" s="186" t="n">
        <x:v>157119</x:v>
      </x:c>
      <x:c r="G575" s="186" t="n">
        <x:v>6249</x:v>
      </x:c>
      <x:c r="H575" s="186" t="n">
        <x:v>50887</x:v>
      </x:c>
      <x:c r="I575" s="186" t="n">
        <x:f>G575-H575</x:f>
        <x:v>-44638</x:v>
      </x:c>
      <x:c r="J575" s="186" t="n">
        <x:v>35559</x:v>
      </x:c>
      <x:c r="K575" s="186" t="n">
        <x:v>48029</x:v>
      </x:c>
      <x:c r="L575" s="186" t="n">
        <x:f>J575-K575</x:f>
        <x:v>-12470</x:v>
      </x:c>
      <x:c r="M575" s="186" t="n">
        <x:v>56930</x:v>
      </x:c>
      <x:c r="N575" s="186" t="n">
        <x:v>24076</x:v>
      </x:c>
      <x:c r="O575" s="186" t="n">
        <x:f>M575-N575</x:f>
        <x:v>32854</x:v>
      </x:c>
      <x:c r="P575" s="186" t="n">
        <x:v>14925</x:v>
      </x:c>
      <x:c r="Q575" s="186" t="n">
        <x:v>6302</x:v>
      </x:c>
      <x:c r="R575" s="186" t="n">
        <x:f>P575-Q575</x:f>
        <x:v>8623</x:v>
      </x:c>
      <x:c r="S575" s="186" t="n">
        <x:v>26084</x:v>
      </x:c>
      <x:c r="T575" s="186" t="n">
        <x:v>10453</x:v>
      </x:c>
      <x:c r="U575" s="186" t="n">
        <x:f>S575-T575</x:f>
        <x:v>15631</x:v>
      </x:c>
      <x:c r="V575" s="196" t="n">
        <x:f>IFERROR(O575/F575,"")</x:f>
        <x:v>0.2091026546757553</x:v>
      </x:c>
      <x:c r="W575" s="196" t="n">
        <x:f>IFERROR(I575/F575,"")</x:f>
        <x:v>-0.2841031320209523</x:v>
      </x:c>
    </x:row>
    <x:row r="576">
      <x:c r="A576" s="186" t="str">
        <x:v>Gold</x:v>
      </x:c>
      <x:c r="B576" s="187" t="n">
        <x:v>44383</x:v>
      </x:c>
      <x:c r="C576" s="187" t="n">
        <x:v>44386</x:v>
      </x:c>
      <x:c r="D576" s="186" t="str">
        <x:v>088691-GOLD</x:v>
      </x:c>
      <x:c r="E576" s="186" t="str">
        <x:v>GOLD - COMMODITY EXCHANGE INC.</x:v>
      </x:c>
      <x:c r="F576" s="186" t="n">
        <x:v>465811</x:v>
      </x:c>
      <x:c r="G576" s="186" t="n">
        <x:v>14158</x:v>
      </x:c>
      <x:c r="H576" s="186" t="n">
        <x:v>75008</x:v>
      </x:c>
      <x:c r="I576" s="186" t="n">
        <x:f>G576-H576</x:f>
        <x:v>-60850</x:v>
      </x:c>
      <x:c r="J576" s="186" t="n">
        <x:v>66765</x:v>
      </x:c>
      <x:c r="K576" s="186" t="n">
        <x:v>220641</x:v>
      </x:c>
      <x:c r="L576" s="186" t="n">
        <x:f>J576-K576</x:f>
        <x:v>-153876</x:v>
      </x:c>
      <x:c r="M576" s="186" t="n">
        <x:v>131218</x:v>
      </x:c>
      <x:c r="N576" s="186" t="n">
        <x:v>53258</x:v>
      </x:c>
      <x:c r="O576" s="186" t="n">
        <x:f>M576-N576</x:f>
        <x:v>77960</x:v>
      </x:c>
      <x:c r="P576" s="186" t="n">
        <x:v>139327</x:v>
      </x:c>
      <x:c r="Q576" s="186" t="n">
        <x:v>34466</x:v>
      </x:c>
      <x:c r="R576" s="186" t="n">
        <x:f>P576-Q576</x:f>
        <x:v>104861</x:v>
      </x:c>
      <x:c r="S576" s="186" t="n">
        <x:v>49928</x:v>
      </x:c>
      <x:c r="T576" s="186" t="n">
        <x:v>18023</x:v>
      </x:c>
      <x:c r="U576" s="186" t="n">
        <x:f>S576-T576</x:f>
        <x:v>31905</x:v>
      </x:c>
      <x:c r="V576" s="196" t="n">
        <x:f>IFERROR(O576/F576,"")</x:f>
        <x:v>0.16736401673640167</x:v>
      </x:c>
      <x:c r="W576" s="196" t="n">
        <x:f>IFERROR(I576/F576,"")</x:f>
        <x:v>-0.13063238094420268</x:v>
      </x:c>
    </x:row>
    <x:row r="577">
      <x:c r="A577" s="186" t="str">
        <x:v>Silver</x:v>
      </x:c>
      <x:c r="B577" s="187" t="n">
        <x:v>44383</x:v>
      </x:c>
      <x:c r="C577" s="187" t="n">
        <x:v>44386</x:v>
      </x:c>
      <x:c r="D577" s="186" t="str">
        <x:v>084691-SILVER</x:v>
      </x:c>
      <x:c r="E577" s="186" t="str">
        <x:v>SILVER - COMMODITY EXCHANGE INC.</x:v>
      </x:c>
      <x:c r="F577" s="186" t="n">
        <x:v>157216</x:v>
      </x:c>
      <x:c r="G577" s="186" t="n">
        <x:v>5041</x:v>
      </x:c>
      <x:c r="H577" s="186" t="n">
        <x:v>53942</x:v>
      </x:c>
      <x:c r="I577" s="186" t="n">
        <x:f>G577-H577</x:f>
        <x:v>-48901</x:v>
      </x:c>
      <x:c r="J577" s="186" t="n">
        <x:v>35220</x:v>
      </x:c>
      <x:c r="K577" s="186" t="n">
        <x:v>49416</x:v>
      </x:c>
      <x:c r="L577" s="186" t="n">
        <x:f>J577-K577</x:f>
        <x:v>-14196</x:v>
      </x:c>
      <x:c r="M577" s="186" t="n">
        <x:v>60782</x:v>
      </x:c>
      <x:c r="N577" s="186" t="n">
        <x:v>25783</x:v>
      </x:c>
      <x:c r="O577" s="186" t="n">
        <x:f>M577-N577</x:f>
        <x:v>34999</x:v>
      </x:c>
      <x:c r="P577" s="186" t="n">
        <x:v>16008</x:v>
      </x:c>
      <x:c r="Q577" s="186" t="n">
        <x:v>6519</x:v>
      </x:c>
      <x:c r="R577" s="186" t="n">
        <x:f>P577-Q577</x:f>
        <x:v>9489</x:v>
      </x:c>
      <x:c r="S577" s="186" t="n">
        <x:v>28067</x:v>
      </x:c>
      <x:c r="T577" s="186" t="n">
        <x:v>9458</x:v>
      </x:c>
      <x:c r="U577" s="186" t="n">
        <x:f>S577-T577</x:f>
        <x:v>18609</x:v>
      </x:c>
      <x:c r="V577" s="196" t="n">
        <x:f>IFERROR(O577/F577,"")</x:f>
        <x:v>0.22261729086098106</x:v>
      </x:c>
      <x:c r="W577" s="196" t="n">
        <x:f>IFERROR(I577/F577,"")</x:f>
        <x:v>-0.3110434052513739</x:v>
      </x:c>
    </x:row>
    <x:row r="578">
      <x:c r="A578" s="186" t="str">
        <x:v>Gold</x:v>
      </x:c>
      <x:c r="B578" s="187" t="n">
        <x:v>44390</x:v>
      </x:c>
      <x:c r="C578" s="187" t="n">
        <x:v>44393</x:v>
      </x:c>
      <x:c r="D578" s="186" t="str">
        <x:v>088691-GOLD</x:v>
      </x:c>
      <x:c r="E578" s="186" t="str">
        <x:v>GOLD - COMMODITY EXCHANGE INC.</x:v>
      </x:c>
      <x:c r="F578" s="186" t="n">
        <x:v>495798</x:v>
      </x:c>
      <x:c r="G578" s="186" t="n">
        <x:v>14757</x:v>
      </x:c>
      <x:c r="H578" s="186" t="n">
        <x:v>75926</x:v>
      </x:c>
      <x:c r="I578" s="186" t="n">
        <x:f>G578-H578</x:f>
        <x:v>-61169</x:v>
      </x:c>
      <x:c r="J578" s="186" t="n">
        <x:v>66111</x:v>
      </x:c>
      <x:c r="K578" s="186" t="n">
        <x:v>225970</x:v>
      </x:c>
      <x:c r="L578" s="186" t="n">
        <x:f>J578-K578</x:f>
        <x:v>-159859</x:v>
      </x:c>
      <x:c r="M578" s="186" t="n">
        <x:v>135938</x:v>
      </x:c>
      <x:c r="N578" s="186" t="n">
        <x:v>49647</x:v>
      </x:c>
      <x:c r="O578" s="186" t="n">
        <x:f>M578-N578</x:f>
        <x:v>86291</x:v>
      </x:c>
      <x:c r="P578" s="186" t="n">
        <x:v>139605</x:v>
      </x:c>
      <x:c r="Q578" s="186" t="n">
        <x:v>35060</x:v>
      </x:c>
      <x:c r="R578" s="186" t="n">
        <x:f>P578-Q578</x:f>
        <x:v>104545</x:v>
      </x:c>
      <x:c r="S578" s="186" t="n">
        <x:v>50079</x:v>
      </x:c>
      <x:c r="T578" s="186" t="n">
        <x:v>19887</x:v>
      </x:c>
      <x:c r="U578" s="186" t="n">
        <x:f>S578-T578</x:f>
        <x:v>30192</x:v>
      </x:c>
      <x:c r="V578" s="196" t="n">
        <x:f>IFERROR(O578/F578,"")</x:f>
        <x:v>0.17404467141860194</x:v>
      </x:c>
      <x:c r="W578" s="196" t="n">
        <x:f>IFERROR(I578/F578,"")</x:f>
        <x:v>-0.12337484217362717</x:v>
      </x:c>
    </x:row>
    <x:row r="579">
      <x:c r="A579" s="186" t="str">
        <x:v>Silver</x:v>
      </x:c>
      <x:c r="B579" s="187" t="n">
        <x:v>44390</x:v>
      </x:c>
      <x:c r="C579" s="187" t="n">
        <x:v>44393</x:v>
      </x:c>
      <x:c r="D579" s="186" t="str">
        <x:v>084691-SILVER</x:v>
      </x:c>
      <x:c r="E579" s="186" t="str">
        <x:v>SILVER - COMMODITY EXCHANGE INC.</x:v>
      </x:c>
      <x:c r="F579" s="186" t="n">
        <x:v>154699</x:v>
      </x:c>
      <x:c r="G579" s="186" t="n">
        <x:v>5217</x:v>
      </x:c>
      <x:c r="H579" s="186" t="n">
        <x:v>52204</x:v>
      </x:c>
      <x:c r="I579" s="186" t="n">
        <x:f>G579-H579</x:f>
        <x:v>-46987</x:v>
      </x:c>
      <x:c r="J579" s="186" t="n">
        <x:v>35227</x:v>
      </x:c>
      <x:c r="K579" s="186" t="n">
        <x:v>49108</x:v>
      </x:c>
      <x:c r="L579" s="186" t="n">
        <x:f>J579-K579</x:f>
        <x:v>-13881</x:v>
      </x:c>
      <x:c r="M579" s="186" t="n">
        <x:v>59448</x:v>
      </x:c>
      <x:c r="N579" s="186" t="n">
        <x:v>25293</x:v>
      </x:c>
      <x:c r="O579" s="186" t="n">
        <x:f>M579-N579</x:f>
        <x:v>34155</x:v>
      </x:c>
      <x:c r="P579" s="186" t="n">
        <x:v>14799</x:v>
      </x:c>
      <x:c r="Q579" s="186" t="n">
        <x:v>5265</x:v>
      </x:c>
      <x:c r="R579" s="186" t="n">
        <x:f>P579-Q579</x:f>
        <x:v>9534</x:v>
      </x:c>
      <x:c r="S579" s="186" t="n">
        <x:v>27595</x:v>
      </x:c>
      <x:c r="T579" s="186" t="n">
        <x:v>10416</x:v>
      </x:c>
      <x:c r="U579" s="186" t="n">
        <x:f>S579-T579</x:f>
        <x:v>17179</x:v>
      </x:c>
      <x:c r="V579" s="196" t="n">
        <x:f>IFERROR(O579/F579,"")</x:f>
        <x:v>0.22078358618995597</x:v>
      </x:c>
      <x:c r="W579" s="196" t="n">
        <x:f>IFERROR(I579/F579,"")</x:f>
        <x:v>-0.3037317629719649</x:v>
      </x:c>
    </x:row>
    <x:row r="580">
      <x:c r="A580" s="186" t="str">
        <x:v>Gold</x:v>
      </x:c>
      <x:c r="B580" s="187" t="n">
        <x:v>44397</x:v>
      </x:c>
      <x:c r="C580" s="187" t="n">
        <x:v>44400</x:v>
      </x:c>
      <x:c r="D580" s="186" t="str">
        <x:v>088691-GOLD</x:v>
      </x:c>
      <x:c r="E580" s="186" t="str">
        <x:v>GOLD - COMMODITY EXCHANGE INC.</x:v>
      </x:c>
      <x:c r="F580" s="186" t="n">
        <x:v>490520</x:v>
      </x:c>
      <x:c r="G580" s="186" t="n">
        <x:v>14367</x:v>
      </x:c>
      <x:c r="H580" s="186" t="n">
        <x:v>78197</x:v>
      </x:c>
      <x:c r="I580" s="186" t="n">
        <x:f>G580-H580</x:f>
        <x:v>-63830</x:v>
      </x:c>
      <x:c r="J580" s="186" t="n">
        <x:v>67561</x:v>
      </x:c>
      <x:c r="K580" s="186" t="n">
        <x:v>232279</x:v>
      </x:c>
      <x:c r="L580" s="186" t="n">
        <x:f>J580-K580</x:f>
        <x:v>-164718</x:v>
      </x:c>
      <x:c r="M580" s="186" t="n">
        <x:v>135163</x:v>
      </x:c>
      <x:c r="N580" s="186" t="n">
        <x:v>44735</x:v>
      </x:c>
      <x:c r="O580" s="186" t="n">
        <x:f>M580-N580</x:f>
        <x:v>90428</x:v>
      </x:c>
      <x:c r="P580" s="186" t="n">
        <x:v>142149</x:v>
      </x:c>
      <x:c r="Q580" s="186" t="n">
        <x:v>36605</x:v>
      </x:c>
      <x:c r="R580" s="186" t="n">
        <x:f>P580-Q580</x:f>
        <x:v>105544</x:v>
      </x:c>
      <x:c r="S580" s="186" t="n">
        <x:v>49200</x:v>
      </x:c>
      <x:c r="T580" s="186" t="n">
        <x:v>16624</x:v>
      </x:c>
      <x:c r="U580" s="186" t="n">
        <x:f>S580-T580</x:f>
        <x:v>32576</x:v>
      </x:c>
      <x:c r="V580" s="196" t="n">
        <x:f>IFERROR(O580/F580,"")</x:f>
        <x:v>0.18435130066052352</x:v>
      </x:c>
      <x:c r="W580" s="196" t="n">
        <x:f>IFERROR(I580/F580,"")</x:f>
        <x:v>-0.13012721193835114</x:v>
      </x:c>
    </x:row>
    <x:row r="581">
      <x:c r="A581" s="186" t="str">
        <x:v>Silver</x:v>
      </x:c>
      <x:c r="B581" s="187" t="n">
        <x:v>44397</x:v>
      </x:c>
      <x:c r="C581" s="187" t="n">
        <x:v>44400</x:v>
      </x:c>
      <x:c r="D581" s="186" t="str">
        <x:v>084691-SILVER</x:v>
      </x:c>
      <x:c r="E581" s="186" t="str">
        <x:v>SILVER - COMMODITY EXCHANGE INC.</x:v>
      </x:c>
      <x:c r="F581" s="186" t="n">
        <x:v>151763</x:v>
      </x:c>
      <x:c r="G581" s="186" t="n">
        <x:v>5719</x:v>
      </x:c>
      <x:c r="H581" s="186" t="n">
        <x:v>49029</x:v>
      </x:c>
      <x:c r="I581" s="186" t="n">
        <x:f>G581-H581</x:f>
        <x:v>-43310</x:v>
      </x:c>
      <x:c r="J581" s="186" t="n">
        <x:v>35276</x:v>
      </x:c>
      <x:c r="K581" s="186" t="n">
        <x:v>44508</x:v>
      </x:c>
      <x:c r="L581" s="186" t="n">
        <x:f>J581-K581</x:f>
        <x:v>-9232</x:v>
      </x:c>
      <x:c r="M581" s="186" t="n">
        <x:v>53215</x:v>
      </x:c>
      <x:c r="N581" s="186" t="n">
        <x:v>27133</x:v>
      </x:c>
      <x:c r="O581" s="186" t="n">
        <x:f>M581-N581</x:f>
        <x:v>26082</x:v>
      </x:c>
      <x:c r="P581" s="186" t="n">
        <x:v>17071</x:v>
      </x:c>
      <x:c r="Q581" s="186" t="n">
        <x:v>5678</x:v>
      </x:c>
      <x:c r="R581" s="186" t="n">
        <x:f>P581-Q581</x:f>
        <x:v>11393</x:v>
      </x:c>
      <x:c r="S581" s="186" t="n">
        <x:v>27343</x:v>
      </x:c>
      <x:c r="T581" s="186" t="n">
        <x:v>12276</x:v>
      </x:c>
      <x:c r="U581" s="186" t="n">
        <x:f>S581-T581</x:f>
        <x:v>15067</x:v>
      </x:c>
      <x:c r="V581" s="196" t="n">
        <x:f>IFERROR(O581/F581,"")</x:f>
        <x:v>0.17186007129537503</x:v>
      </x:c>
      <x:c r="W581" s="196" t="n">
        <x:f>IFERROR(I581/F581,"")</x:f>
        <x:v>-0.2853791767426843</x:v>
      </x:c>
    </x:row>
    <x:row r="582">
      <x:c r="A582" s="186" t="str">
        <x:v>Gold</x:v>
      </x:c>
      <x:c r="B582" s="187" t="n">
        <x:v>44404</x:v>
      </x:c>
      <x:c r="C582" s="187" t="n">
        <x:v>44407</x:v>
      </x:c>
      <x:c r="D582" s="186" t="str">
        <x:v>088691-GOLD</x:v>
      </x:c>
      <x:c r="E582" s="186" t="str">
        <x:v>GOLD - COMMODITY EXCHANGE INC.</x:v>
      </x:c>
      <x:c r="F582" s="186" t="n">
        <x:v>500187</x:v>
      </x:c>
      <x:c r="G582" s="186" t="n">
        <x:v>13874</x:v>
      </x:c>
      <x:c r="H582" s="186" t="n">
        <x:v>70160</x:v>
      </x:c>
      <x:c r="I582" s="186" t="n">
        <x:f>G582-H582</x:f>
        <x:v>-56286</x:v>
      </x:c>
      <x:c r="J582" s="186" t="n">
        <x:v>67644</x:v>
      </x:c>
      <x:c r="K582" s="186" t="n">
        <x:v>240172</x:v>
      </x:c>
      <x:c r="L582" s="186" t="n">
        <x:f>J582-K582</x:f>
        <x:v>-172528</x:v>
      </x:c>
      <x:c r="M582" s="186" t="n">
        <x:v>131635</x:v>
      </x:c>
      <x:c r="N582" s="186" t="n">
        <x:v>41405</x:v>
      </x:c>
      <x:c r="O582" s="186" t="n">
        <x:f>M582-N582</x:f>
        <x:v>90230</x:v>
      </x:c>
      <x:c r="P582" s="186" t="n">
        <x:v>142053</x:v>
      </x:c>
      <x:c r="Q582" s="186" t="n">
        <x:v>32895</x:v>
      </x:c>
      <x:c r="R582" s="186" t="n">
        <x:f>P582-Q582</x:f>
        <x:v>109158</x:v>
      </x:c>
      <x:c r="S582" s="186" t="n">
        <x:v>48080</x:v>
      </x:c>
      <x:c r="T582" s="186" t="n">
        <x:v>18654</x:v>
      </x:c>
      <x:c r="U582" s="186" t="n">
        <x:f>S582-T582</x:f>
        <x:v>29426</x:v>
      </x:c>
      <x:c r="V582" s="196" t="n">
        <x:f>IFERROR(O582/F582,"")</x:f>
        <x:v>0.18039253319258597</x:v>
      </x:c>
      <x:c r="W582" s="196" t="n">
        <x:f>IFERROR(I582/F582,"")</x:f>
        <x:v>-0.11252991381223422</x:v>
      </x:c>
    </x:row>
    <x:row r="583">
      <x:c r="A583" s="186" t="str">
        <x:v>Silver</x:v>
      </x:c>
      <x:c r="B583" s="187" t="n">
        <x:v>44404</x:v>
      </x:c>
      <x:c r="C583" s="187" t="n">
        <x:v>44407</x:v>
      </x:c>
      <x:c r="D583" s="186" t="str">
        <x:v>084691-SILVER</x:v>
      </x:c>
      <x:c r="E583" s="186" t="str">
        <x:v>SILVER - COMMODITY EXCHANGE INC.</x:v>
      </x:c>
      <x:c r="F583" s="186" t="n">
        <x:v>150814</x:v>
      </x:c>
      <x:c r="G583" s="186" t="n">
        <x:v>5698</x:v>
      </x:c>
      <x:c r="H583" s="186" t="n">
        <x:v>46203</x:v>
      </x:c>
      <x:c r="I583" s="186" t="n">
        <x:f>G583-H583</x:f>
        <x:v>-40505</x:v>
      </x:c>
      <x:c r="J583" s="186" t="n">
        <x:v>36455</x:v>
      </x:c>
      <x:c r="K583" s="186" t="n">
        <x:v>42859</x:v>
      </x:c>
      <x:c r="L583" s="186" t="n">
        <x:f>J583-K583</x:f>
        <x:v>-6404</x:v>
      </x:c>
      <x:c r="M583" s="186" t="n">
        <x:v>50846</x:v>
      </x:c>
      <x:c r="N583" s="186" t="n">
        <x:v>29920</x:v>
      </x:c>
      <x:c r="O583" s="186" t="n">
        <x:f>M583-N583</x:f>
        <x:v>20926</x:v>
      </x:c>
      <x:c r="P583" s="186" t="n">
        <x:v>15887</x:v>
      </x:c>
      <x:c r="Q583" s="186" t="n">
        <x:v>5596</x:v>
      </x:c>
      <x:c r="R583" s="186" t="n">
        <x:f>P583-Q583</x:f>
        <x:v>10291</x:v>
      </x:c>
      <x:c r="S583" s="186" t="n">
        <x:v>27330</x:v>
      </x:c>
      <x:c r="T583" s="186" t="n">
        <x:v>11638</x:v>
      </x:c>
      <x:c r="U583" s="186" t="n">
        <x:f>S583-T583</x:f>
        <x:v>15692</x:v>
      </x:c>
      <x:c r="V583" s="196" t="n">
        <x:f>IFERROR(O583/F583,"")</x:f>
        <x:v>0.13875369660641584</x:v>
      </x:c>
      <x:c r="W583" s="196" t="n">
        <x:f>IFERROR(I583/F583,"")</x:f>
        <x:v>-0.2685758616574058</x:v>
      </x:c>
    </x:row>
    <x:row r="584">
      <x:c r="A584" s="186" t="str">
        <x:v>Gold</x:v>
      </x:c>
      <x:c r="B584" s="187" t="n">
        <x:v>44411</x:v>
      </x:c>
      <x:c r="C584" s="187" t="n">
        <x:v>44414</x:v>
      </x:c>
      <x:c r="D584" s="186" t="str">
        <x:v>088691-GOLD</x:v>
      </x:c>
      <x:c r="E584" s="186" t="str">
        <x:v>GOLD - COMMODITY EXCHANGE INC.</x:v>
      </x:c>
      <x:c r="F584" s="186" t="n">
        <x:v>485663</x:v>
      </x:c>
      <x:c r="G584" s="186" t="n">
        <x:v>17427</x:v>
      </x:c>
      <x:c r="H584" s="186" t="n">
        <x:v>73826</x:v>
      </x:c>
      <x:c r="I584" s="186" t="n">
        <x:f>G584-H584</x:f>
        <x:v>-56399</x:v>
      </x:c>
      <x:c r="J584" s="186" t="n">
        <x:v>73284</x:v>
      </x:c>
      <x:c r="K584" s="186" t="n">
        <x:v>248169</x:v>
      </x:c>
      <x:c r="L584" s="186" t="n">
        <x:f>J584-K584</x:f>
        <x:v>-174885</x:v>
      </x:c>
      <x:c r="M584" s="186" t="n">
        <x:v>132920</x:v>
      </x:c>
      <x:c r="N584" s="186" t="n">
        <x:v>43047</x:v>
      </x:c>
      <x:c r="O584" s="186" t="n">
        <x:f>M584-N584</x:f>
        <x:v>89873</x:v>
      </x:c>
      <x:c r="P584" s="186" t="n">
        <x:v>140223</x:v>
      </x:c>
      <x:c r="Q584" s="186" t="n">
        <x:v>33761</x:v>
      </x:c>
      <x:c r="R584" s="186" t="n">
        <x:f>P584-Q584</x:f>
        <x:v>106462</x:v>
      </x:c>
      <x:c r="S584" s="186" t="n">
        <x:v>51591</x:v>
      </x:c>
      <x:c r="T584" s="186" t="n">
        <x:v>16642</x:v>
      </x:c>
      <x:c r="U584" s="186" t="n">
        <x:f>S584-T584</x:f>
        <x:v>34949</x:v>
      </x:c>
      <x:c r="V584" s="196" t="n">
        <x:f>IFERROR(O584/F584,"")</x:f>
        <x:v>0.18505218639262205</x:v>
      </x:c>
      <x:c r="W584" s="196" t="n">
        <x:f>IFERROR(I584/F584,"")</x:f>
        <x:v>-0.11612784997004096</x:v>
      </x:c>
    </x:row>
    <x:row r="585">
      <x:c r="A585" s="186" t="str">
        <x:v>Silver</x:v>
      </x:c>
      <x:c r="B585" s="187" t="n">
        <x:v>44411</x:v>
      </x:c>
      <x:c r="C585" s="187" t="n">
        <x:v>44414</x:v>
      </x:c>
      <x:c r="D585" s="186" t="str">
        <x:v>084691-SILVER</x:v>
      </x:c>
      <x:c r="E585" s="186" t="str">
        <x:v>SILVER - COMMODITY EXCHANGE INC.</x:v>
      </x:c>
      <x:c r="F585" s="186" t="n">
        <x:v>146196</x:v>
      </x:c>
      <x:c r="G585" s="186" t="n">
        <x:v>4864</x:v>
      </x:c>
      <x:c r="H585" s="186" t="n">
        <x:v>46645</x:v>
      </x:c>
      <x:c r="I585" s="186" t="n">
        <x:f>G585-H585</x:f>
        <x:v>-41781</x:v>
      </x:c>
      <x:c r="J585" s="186" t="n">
        <x:v>34178</x:v>
      </x:c>
      <x:c r="K585" s="186" t="n">
        <x:v>44566</x:v>
      </x:c>
      <x:c r="L585" s="186" t="n">
        <x:f>J585-K585</x:f>
        <x:v>-10388</x:v>
      </x:c>
      <x:c r="M585" s="186" t="n">
        <x:v>50878</x:v>
      </x:c>
      <x:c r="N585" s="186" t="n">
        <x:v>25468</x:v>
      </x:c>
      <x:c r="O585" s="186" t="n">
        <x:f>M585-N585</x:f>
        <x:v>25410</x:v>
      </x:c>
      <x:c r="P585" s="186" t="n">
        <x:v>15314</x:v>
      </x:c>
      <x:c r="Q585" s="186" t="n">
        <x:v>4585</x:v>
      </x:c>
      <x:c r="R585" s="186" t="n">
        <x:f>P585-Q585</x:f>
        <x:v>10729</x:v>
      </x:c>
      <x:c r="S585" s="186" t="n">
        <x:v>27295</x:v>
      </x:c>
      <x:c r="T585" s="186" t="n">
        <x:v>11265</x:v>
      </x:c>
      <x:c r="U585" s="186" t="n">
        <x:f>S585-T585</x:f>
        <x:v>16030</x:v>
      </x:c>
      <x:c r="V585" s="196" t="n">
        <x:f>IFERROR(O585/F585,"")</x:f>
        <x:v>0.1738077649183288</x:v>
      </x:c>
      <x:c r="W585" s="196" t="n">
        <x:f>IFERROR(I585/F585,"")</x:f>
        <x:v>-0.2857875728474103</x:v>
      </x:c>
    </x:row>
    <x:row r="586">
      <x:c r="A586" s="186" t="str">
        <x:v>Gold</x:v>
      </x:c>
      <x:c r="B586" s="187" t="n">
        <x:v>44418</x:v>
      </x:c>
      <x:c r="C586" s="187" t="n">
        <x:v>44421</x:v>
      </x:c>
      <x:c r="D586" s="186" t="str">
        <x:v>088691-GOLD</x:v>
      </x:c>
      <x:c r="E586" s="186" t="str">
        <x:v>GOLD - COMMODITY EXCHANGE INC.</x:v>
      </x:c>
      <x:c r="F586" s="186" t="n">
        <x:v>477232</x:v>
      </x:c>
      <x:c r="G586" s="186" t="n">
        <x:v>15344</x:v>
      </x:c>
      <x:c r="H586" s="186" t="n">
        <x:v>62975</x:v>
      </x:c>
      <x:c r="I586" s="186" t="n">
        <x:f>G586-H586</x:f>
        <x:v>-47631</x:v>
      </x:c>
      <x:c r="J586" s="186" t="n">
        <x:v>72207</x:v>
      </x:c>
      <x:c r="K586" s="186" t="n">
        <x:v>220217</x:v>
      </x:c>
      <x:c r="L586" s="186" t="n">
        <x:f>J586-K586</x:f>
        <x:v>-148010</x:v>
      </x:c>
      <x:c r="M586" s="186" t="n">
        <x:v>111892</x:v>
      </x:c>
      <x:c r="N586" s="186" t="n">
        <x:v>76489</x:v>
      </x:c>
      <x:c r="O586" s="186" t="n">
        <x:f>M586-N586</x:f>
        <x:v>35403</x:v>
      </x:c>
      <x:c r="P586" s="186" t="n">
        <x:v>165368</x:v>
      </x:c>
      <x:c r="Q586" s="186" t="n">
        <x:v>32365</x:v>
      </x:c>
      <x:c r="R586" s="186" t="n">
        <x:f>P586-Q586</x:f>
        <x:v>133003</x:v>
      </x:c>
      <x:c r="S586" s="186" t="n">
        <x:v>47485</x:v>
      </x:c>
      <x:c r="T586" s="186" t="n">
        <x:v>20250</x:v>
      </x:c>
      <x:c r="U586" s="186" t="n">
        <x:f>S586-T586</x:f>
        <x:v>27235</x:v>
      </x:c>
      <x:c r="V586" s="196" t="n">
        <x:f>IFERROR(O586/F586,"")</x:f>
        <x:v>0.07418404465752507</x:v>
      </x:c>
      <x:c r="W586" s="196" t="n">
        <x:f>IFERROR(I586/F586,"")</x:f>
        <x:v>-0.09980680256143762</x:v>
      </x:c>
    </x:row>
    <x:row r="587">
      <x:c r="A587" s="186" t="str">
        <x:v>Silver</x:v>
      </x:c>
      <x:c r="B587" s="187" t="n">
        <x:v>44418</x:v>
      </x:c>
      <x:c r="C587" s="187" t="n">
        <x:v>44421</x:v>
      </x:c>
      <x:c r="D587" s="186" t="str">
        <x:v>084691-SILVER</x:v>
      </x:c>
      <x:c r="E587" s="186" t="str">
        <x:v>SILVER - COMMODITY EXCHANGE INC.</x:v>
      </x:c>
      <x:c r="F587" s="186" t="n">
        <x:v>154491</x:v>
      </x:c>
      <x:c r="G587" s="186" t="n">
        <x:v>5545</x:v>
      </x:c>
      <x:c r="H587" s="186" t="n">
        <x:v>41776</x:v>
      </x:c>
      <x:c r="I587" s="186" t="n">
        <x:f>G587-H587</x:f>
        <x:v>-36231</x:v>
      </x:c>
      <x:c r="J587" s="186" t="n">
        <x:v>36791</x:v>
      </x:c>
      <x:c r="K587" s="186" t="n">
        <x:v>40408</x:v>
      </x:c>
      <x:c r="L587" s="186" t="n">
        <x:f>J587-K587</x:f>
        <x:v>-3617</x:v>
      </x:c>
      <x:c r="M587" s="186" t="n">
        <x:v>46631</x:v>
      </x:c>
      <x:c r="N587" s="186" t="n">
        <x:v>34891</x:v>
      </x:c>
      <x:c r="O587" s="186" t="n">
        <x:f>M587-N587</x:f>
        <x:v>11740</x:v>
      </x:c>
      <x:c r="P587" s="186" t="n">
        <x:v>17748</x:v>
      </x:c>
      <x:c r="Q587" s="186" t="n">
        <x:v>5014</x:v>
      </x:c>
      <x:c r="R587" s="186" t="n">
        <x:f>P587-Q587</x:f>
        <x:v>12734</x:v>
      </x:c>
      <x:c r="S587" s="186" t="n">
        <x:v>28129</x:v>
      </x:c>
      <x:c r="T587" s="186" t="n">
        <x:v>12755</x:v>
      </x:c>
      <x:c r="U587" s="186" t="n">
        <x:f>S587-T587</x:f>
        <x:v>15374</x:v>
      </x:c>
      <x:c r="V587" s="196" t="n">
        <x:f>IFERROR(O587/F587,"")</x:f>
        <x:v>0.07599148170443586</x:v>
      </x:c>
      <x:c r="W587" s="196" t="n">
        <x:f>IFERROR(I587/F587,"")</x:f>
        <x:v>-0.23451851564168785</x:v>
      </x:c>
    </x:row>
    <x:row r="588">
      <x:c r="A588" s="186" t="str">
        <x:v>Gold</x:v>
      </x:c>
      <x:c r="B588" s="187" t="n">
        <x:v>44425</x:v>
      </x:c>
      <x:c r="C588" s="187" t="n">
        <x:v>44428</x:v>
      </x:c>
      <x:c r="D588" s="186" t="str">
        <x:v>088691-GOLD</x:v>
      </x:c>
      <x:c r="E588" s="186" t="str">
        <x:v>GOLD - COMMODITY EXCHANGE INC.</x:v>
      </x:c>
      <x:c r="F588" s="186" t="n">
        <x:v>485485</x:v>
      </x:c>
      <x:c r="G588" s="186" t="n">
        <x:v>14549</x:v>
      </x:c>
      <x:c r="H588" s="186" t="n">
        <x:v>66385</x:v>
      </x:c>
      <x:c r="I588" s="186" t="n">
        <x:f>G588-H588</x:f>
        <x:v>-51836</x:v>
      </x:c>
      <x:c r="J588" s="186" t="n">
        <x:v>73900</x:v>
      </x:c>
      <x:c r="K588" s="186" t="n">
        <x:v>236064</x:v>
      </x:c>
      <x:c r="L588" s="186" t="n">
        <x:f>J588-K588</x:f>
        <x:v>-162164</x:v>
      </x:c>
      <x:c r="M588" s="186" t="n">
        <x:v>117272</x:v>
      </x:c>
      <x:c r="N588" s="186" t="n">
        <x:v>58194</x:v>
      </x:c>
      <x:c r="O588" s="186" t="n">
        <x:f>M588-N588</x:f>
        <x:v>59078</x:v>
      </x:c>
      <x:c r="P588" s="186" t="n">
        <x:v>167165</x:v>
      </x:c>
      <x:c r="Q588" s="186" t="n">
        <x:v>34701</x:v>
      </x:c>
      <x:c r="R588" s="186" t="n">
        <x:f>P588-Q588</x:f>
        <x:v>132464</x:v>
      </x:c>
      <x:c r="S588" s="186" t="n">
        <x:v>44315</x:v>
      </x:c>
      <x:c r="T588" s="186" t="n">
        <x:v>21857</x:v>
      </x:c>
      <x:c r="U588" s="186" t="n">
        <x:f>S588-T588</x:f>
        <x:v>22458</x:v>
      </x:c>
      <x:c r="V588" s="196" t="n">
        <x:f>IFERROR(O588/F588,"")</x:f>
        <x:v>0.12168862065769283</x:v>
      </x:c>
      <x:c r="W588" s="196" t="n">
        <x:f>IFERROR(I588/F588,"")</x:f>
        <x:v>-0.10677157893652739</x:v>
      </x:c>
    </x:row>
    <x:row r="589">
      <x:c r="A589" s="186" t="str">
        <x:v>Silver</x:v>
      </x:c>
      <x:c r="B589" s="187" t="n">
        <x:v>44425</x:v>
      </x:c>
      <x:c r="C589" s="187" t="n">
        <x:v>44428</x:v>
      </x:c>
      <x:c r="D589" s="186" t="str">
        <x:v>084691-SILVER</x:v>
      </x:c>
      <x:c r="E589" s="186" t="str">
        <x:v>SILVER - COMMODITY EXCHANGE INC.</x:v>
      </x:c>
      <x:c r="F589" s="186" t="n">
        <x:v>153825</x:v>
      </x:c>
      <x:c r="G589" s="186" t="n">
        <x:v>5832</x:v>
      </x:c>
      <x:c r="H589" s="186" t="n">
        <x:v>40707</x:v>
      </x:c>
      <x:c r="I589" s="186" t="n">
        <x:f>G589-H589</x:f>
        <x:v>-34875</x:v>
      </x:c>
      <x:c r="J589" s="186" t="n">
        <x:v>37539</x:v>
      </x:c>
      <x:c r="K589" s="186" t="n">
        <x:v>38154</x:v>
      </x:c>
      <x:c r="L589" s="186" t="n">
        <x:f>J589-K589</x:f>
        <x:v>-615</x:v>
      </x:c>
      <x:c r="M589" s="186" t="n">
        <x:v>48227</x:v>
      </x:c>
      <x:c r="N589" s="186" t="n">
        <x:v>38472</x:v>
      </x:c>
      <x:c r="O589" s="186" t="n">
        <x:f>M589-N589</x:f>
        <x:v>9755</x:v>
      </x:c>
      <x:c r="P589" s="186" t="n">
        <x:v>15163</x:v>
      </x:c>
      <x:c r="Q589" s="186" t="n">
        <x:v>3698</x:v>
      </x:c>
      <x:c r="R589" s="186" t="n">
        <x:f>P589-Q589</x:f>
        <x:v>11465</x:v>
      </x:c>
      <x:c r="S589" s="186" t="n">
        <x:v>26597</x:v>
      </x:c>
      <x:c r="T589" s="186" t="n">
        <x:v>12327</x:v>
      </x:c>
      <x:c r="U589" s="186" t="n">
        <x:f>S589-T589</x:f>
        <x:v>14270</x:v>
      </x:c>
      <x:c r="V589" s="196" t="n">
        <x:f>IFERROR(O589/F589,"")</x:f>
        <x:v>0.0634162197302129</x:v>
      </x:c>
      <x:c r="W589" s="196" t="n">
        <x:f>IFERROR(I589/F589,"")</x:f>
        <x:v>-0.22671867381764993</x:v>
      </x:c>
    </x:row>
    <x:row r="590">
      <x:c r="A590" s="186" t="str">
        <x:v>Gold</x:v>
      </x:c>
      <x:c r="B590" s="187" t="n">
        <x:v>44432</x:v>
      </x:c>
      <x:c r="C590" s="187" t="n">
        <x:v>44435</x:v>
      </x:c>
      <x:c r="D590" s="186" t="str">
        <x:v>088691-GOLD</x:v>
      </x:c>
      <x:c r="E590" s="186" t="str">
        <x:v>GOLD - COMMODITY EXCHANGE INC.</x:v>
      </x:c>
      <x:c r="F590" s="186" t="n">
        <x:v>504735</x:v>
      </x:c>
      <x:c r="G590" s="186" t="n">
        <x:v>14405</x:v>
      </x:c>
      <x:c r="H590" s="186" t="n">
        <x:v>69571</x:v>
      </x:c>
      <x:c r="I590" s="186" t="n">
        <x:f>G590-H590</x:f>
        <x:v>-55166</x:v>
      </x:c>
      <x:c r="J590" s="186" t="n">
        <x:v>73832</x:v>
      </x:c>
      <x:c r="K590" s="186" t="n">
        <x:v>253344</x:v>
      </x:c>
      <x:c r="L590" s="186" t="n">
        <x:f>J590-K590</x:f>
        <x:v>-179512</x:v>
      </x:c>
      <x:c r="M590" s="186" t="n">
        <x:v>126636</x:v>
      </x:c>
      <x:c r="N590" s="186" t="n">
        <x:v>51192</x:v>
      </x:c>
      <x:c r="O590" s="186" t="n">
        <x:f>M590-N590</x:f>
        <x:v>75444</x:v>
      </x:c>
      <x:c r="P590" s="186" t="n">
        <x:v>172448</x:v>
      </x:c>
      <x:c r="Q590" s="186" t="n">
        <x:v>37239</x:v>
      </x:c>
      <x:c r="R590" s="186" t="n">
        <x:f>P590-Q590</x:f>
        <x:v>135209</x:v>
      </x:c>
      <x:c r="S590" s="186" t="n">
        <x:v>44517</x:v>
      </x:c>
      <x:c r="T590" s="186" t="n">
        <x:v>20492</x:v>
      </x:c>
      <x:c r="U590" s="186" t="n">
        <x:f>S590-T590</x:f>
        <x:v>24025</x:v>
      </x:c>
      <x:c r="V590" s="196" t="n">
        <x:f>IFERROR(O590/F590,"")</x:f>
        <x:v>0.1494724954679188</x:v>
      </x:c>
      <x:c r="W590" s="196" t="n">
        <x:f>IFERROR(I590/F590,"")</x:f>
        <x:v>-0.10929695780954363</x:v>
      </x:c>
    </x:row>
    <x:row r="591">
      <x:c r="A591" s="186" t="str">
        <x:v>Silver</x:v>
      </x:c>
      <x:c r="B591" s="187" t="n">
        <x:v>44432</x:v>
      </x:c>
      <x:c r="C591" s="187" t="n">
        <x:v>44435</x:v>
      </x:c>
      <x:c r="D591" s="186" t="str">
        <x:v>084691-SILVER</x:v>
      </x:c>
      <x:c r="E591" s="186" t="str">
        <x:v>SILVER - COMMODITY EXCHANGE INC.</x:v>
      </x:c>
      <x:c r="F591" s="186" t="n">
        <x:v>149847</x:v>
      </x:c>
      <x:c r="G591" s="186" t="n">
        <x:v>5294</x:v>
      </x:c>
      <x:c r="H591" s="186" t="n">
        <x:v>41069</x:v>
      </x:c>
      <x:c r="I591" s="186" t="n">
        <x:f>G591-H591</x:f>
        <x:v>-35775</x:v>
      </x:c>
      <x:c r="J591" s="186" t="n">
        <x:v>36769</x:v>
      </x:c>
      <x:c r="K591" s="186" t="n">
        <x:v>37120</x:v>
      </x:c>
      <x:c r="L591" s="186" t="n">
        <x:f>J591-K591</x:f>
        <x:v>-351</x:v>
      </x:c>
      <x:c r="M591" s="186" t="n">
        <x:v>48094</x:v>
      </x:c>
      <x:c r="N591" s="186" t="n">
        <x:v>37470</x:v>
      </x:c>
      <x:c r="O591" s="186" t="n">
        <x:f>M591-N591</x:f>
        <x:v>10624</x:v>
      </x:c>
      <x:c r="P591" s="186" t="n">
        <x:v>15217</x:v>
      </x:c>
      <x:c r="Q591" s="186" t="n">
        <x:v>3980</x:v>
      </x:c>
      <x:c r="R591" s="186" t="n">
        <x:f>P591-Q591</x:f>
        <x:v>11237</x:v>
      </x:c>
      <x:c r="S591" s="186" t="n">
        <x:v>26586</x:v>
      </x:c>
      <x:c r="T591" s="186" t="n">
        <x:v>12321</x:v>
      </x:c>
      <x:c r="U591" s="186" t="n">
        <x:f>S591-T591</x:f>
        <x:v>14265</x:v>
      </x:c>
      <x:c r="V591" s="196" t="n">
        <x:f>IFERROR(O591/F591,"")</x:f>
        <x:v>0.07089898362996924</x:v>
      </x:c>
      <x:c r="W591" s="196" t="n">
        <x:f>IFERROR(I591/F591,"")</x:f>
        <x:v>-0.23874351838875654</x:v>
      </x:c>
    </x:row>
    <x:row r="592">
      <x:c r="A592" s="186" t="str">
        <x:v>Gold</x:v>
      </x:c>
      <x:c r="B592" s="187" t="n">
        <x:v>44439</x:v>
      </x:c>
      <x:c r="C592" s="187" t="n">
        <x:v>44442</x:v>
      </x:c>
      <x:c r="D592" s="186" t="str">
        <x:v>088691-GOLD</x:v>
      </x:c>
      <x:c r="E592" s="186" t="str">
        <x:v>GOLD - COMMODITY EXCHANGE INC.</x:v>
      </x:c>
      <x:c r="F592" s="186" t="n">
        <x:v>507113</x:v>
      </x:c>
      <x:c r="G592" s="186" t="n">
        <x:v>13580</x:v>
      </x:c>
      <x:c r="H592" s="186" t="n">
        <x:v>66321</x:v>
      </x:c>
      <x:c r="I592" s="186" t="n">
        <x:f>G592-H592</x:f>
        <x:v>-52741</x:v>
      </x:c>
      <x:c r="J592" s="186" t="n">
        <x:v>72573</x:v>
      </x:c>
      <x:c r="K592" s="186" t="n">
        <x:v>260344</x:v>
      </x:c>
      <x:c r="L592" s="186" t="n">
        <x:f>J592-K592</x:f>
        <x:v>-187771</x:v>
      </x:c>
      <x:c r="M592" s="186" t="n">
        <x:v>136555</x:v>
      </x:c>
      <x:c r="N592" s="186" t="n">
        <x:v>54878</x:v>
      </x:c>
      <x:c r="O592" s="186" t="n">
        <x:f>M592-N592</x:f>
        <x:v>81677</x:v>
      </x:c>
      <x:c r="P592" s="186" t="n">
        <x:v>174449</x:v>
      </x:c>
      <x:c r="Q592" s="186" t="n">
        <x:v>39576</x:v>
      </x:c>
      <x:c r="R592" s="186" t="n">
        <x:f>P592-Q592</x:f>
        <x:v>134873</x:v>
      </x:c>
      <x:c r="S592" s="186" t="n">
        <x:v>43514</x:v>
      </x:c>
      <x:c r="T592" s="186" t="n">
        <x:v>19552</x:v>
      </x:c>
      <x:c r="U592" s="186" t="n">
        <x:f>S592-T592</x:f>
        <x:v>23962</x:v>
      </x:c>
      <x:c r="V592" s="196" t="n">
        <x:f>IFERROR(O592/F592,"")</x:f>
        <x:v>0.1610627217207999</x:v>
      </x:c>
      <x:c r="W592" s="196" t="n">
        <x:f>IFERROR(I592/F592,"")</x:f>
        <x:v>-0.10400246098995687</x:v>
      </x:c>
    </x:row>
    <x:row r="593">
      <x:c r="A593" s="186" t="str">
        <x:v>Silver</x:v>
      </x:c>
      <x:c r="B593" s="187" t="n">
        <x:v>44439</x:v>
      </x:c>
      <x:c r="C593" s="187" t="n">
        <x:v>44442</x:v>
      </x:c>
      <x:c r="D593" s="186" t="str">
        <x:v>084691-SILVER</x:v>
      </x:c>
      <x:c r="E593" s="186" t="str">
        <x:v>SILVER - COMMODITY EXCHANGE INC.</x:v>
      </x:c>
      <x:c r="F593" s="186" t="n">
        <x:v>140937</x:v>
      </x:c>
      <x:c r="G593" s="186" t="n">
        <x:v>5197</x:v>
      </x:c>
      <x:c r="H593" s="186" t="n">
        <x:v>39826</x:v>
      </x:c>
      <x:c r="I593" s="186" t="n">
        <x:f>G593-H593</x:f>
        <x:v>-34629</x:v>
      </x:c>
      <x:c r="J593" s="186" t="n">
        <x:v>37233</x:v>
      </x:c>
      <x:c r="K593" s="186" t="n">
        <x:v>40571</x:v>
      </x:c>
      <x:c r="L593" s="186" t="n">
        <x:f>J593-K593</x:f>
        <x:v>-3338</x:v>
      </x:c>
      <x:c r="M593" s="186" t="n">
        <x:v>49008</x:v>
      </x:c>
      <x:c r="N593" s="186" t="n">
        <x:v>36735</x:v>
      </x:c>
      <x:c r="O593" s="186" t="n">
        <x:f>M593-N593</x:f>
        <x:v>12273</x:v>
      </x:c>
      <x:c r="P593" s="186" t="n">
        <x:v>13927</x:v>
      </x:c>
      <x:c r="Q593" s="186" t="n">
        <x:v>3869</x:v>
      </x:c>
      <x:c r="R593" s="186" t="n">
        <x:f>P593-Q593</x:f>
        <x:v>10058</x:v>
      </x:c>
      <x:c r="S593" s="186" t="n">
        <x:v>26835</x:v>
      </x:c>
      <x:c r="T593" s="186" t="n">
        <x:v>11199</x:v>
      </x:c>
      <x:c r="U593" s="186" t="n">
        <x:f>S593-T593</x:f>
        <x:v>15636</x:v>
      </x:c>
      <x:c r="V593" s="196" t="n">
        <x:f>IFERROR(O593/F593,"")</x:f>
        <x:v>0.08708146192979842</x:v>
      </x:c>
      <x:c r="W593" s="196" t="n">
        <x:f>IFERROR(I593/F593,"")</x:f>
        <x:v>-0.24570552800187317</x:v>
      </x:c>
    </x:row>
    <x:row r="594">
      <x:c r="A594" s="186" t="str">
        <x:v>Gold</x:v>
      </x:c>
      <x:c r="B594" s="187" t="n">
        <x:v>44446</x:v>
      </x:c>
      <x:c r="C594" s="187" t="n">
        <x:v>44449</x:v>
      </x:c>
      <x:c r="D594" s="186" t="str">
        <x:v>088691-GOLD</x:v>
      </x:c>
      <x:c r="E594" s="186" t="str">
        <x:v>GOLD - COMMODITY EXCHANGE INC.</x:v>
      </x:c>
      <x:c r="F594" s="186" t="n">
        <x:v>506772</x:v>
      </x:c>
      <x:c r="G594" s="186" t="n">
        <x:v>14223</x:v>
      </x:c>
      <x:c r="H594" s="186" t="n">
        <x:v>66798</x:v>
      </x:c>
      <x:c r="I594" s="186" t="n">
        <x:f>G594-H594</x:f>
        <x:v>-52575</x:v>
      </x:c>
      <x:c r="J594" s="186" t="n">
        <x:v>72865</x:v>
      </x:c>
      <x:c r="K594" s="186" t="n">
        <x:v>256098</x:v>
      </x:c>
      <x:c r="L594" s="186" t="n">
        <x:f>J594-K594</x:f>
        <x:v>-183233</x:v>
      </x:c>
      <x:c r="M594" s="186" t="n">
        <x:v>129044</x:v>
      </x:c>
      <x:c r="N594" s="186" t="n">
        <x:v>61449</x:v>
      </x:c>
      <x:c r="O594" s="186" t="n">
        <x:f>M594-N594</x:f>
        <x:v>67595</x:v>
      </x:c>
      <x:c r="P594" s="186" t="n">
        <x:v>176973</x:v>
      </x:c>
      <x:c r="Q594" s="186" t="n">
        <x:v>38529</x:v>
      </x:c>
      <x:c r="R594" s="186" t="n">
        <x:f>P594-Q594</x:f>
        <x:v>138444</x:v>
      </x:c>
      <x:c r="S594" s="186" t="n">
        <x:v>49214</x:v>
      </x:c>
      <x:c r="T594" s="186" t="n">
        <x:v>19445</x:v>
      </x:c>
      <x:c r="U594" s="186" t="n">
        <x:f>S594-T594</x:f>
        <x:v>29769</x:v>
      </x:c>
      <x:c r="V594" s="196" t="n">
        <x:f>IFERROR(O594/F594,"")</x:f>
        <x:v>0.13338345449235553</x:v>
      </x:c>
      <x:c r="W594" s="196" t="n">
        <x:f>IFERROR(I594/F594,"")</x:f>
        <x:v>-0.10374487935402903</x:v>
      </x:c>
    </x:row>
    <x:row r="595">
      <x:c r="A595" s="186" t="str">
        <x:v>Silver</x:v>
      </x:c>
      <x:c r="B595" s="187" t="n">
        <x:v>44446</x:v>
      </x:c>
      <x:c r="C595" s="187" t="n">
        <x:v>44449</x:v>
      </x:c>
      <x:c r="D595" s="186" t="str">
        <x:v>084691-SILVER</x:v>
      </x:c>
      <x:c r="E595" s="186" t="str">
        <x:v>SILVER - COMMODITY EXCHANGE INC.</x:v>
      </x:c>
      <x:c r="F595" s="186" t="n">
        <x:v>139187</x:v>
      </x:c>
      <x:c r="G595" s="186" t="n">
        <x:v>4927</x:v>
      </x:c>
      <x:c r="H595" s="186" t="n">
        <x:v>40895</x:v>
      </x:c>
      <x:c r="I595" s="186" t="n">
        <x:f>G595-H595</x:f>
        <x:v>-35968</x:v>
      </x:c>
      <x:c r="J595" s="186" t="n">
        <x:v>35813</x:v>
      </x:c>
      <x:c r="K595" s="186" t="n">
        <x:v>43097</x:v>
      </x:c>
      <x:c r="L595" s="186" t="n">
        <x:f>J595-K595</x:f>
        <x:v>-7284</x:v>
      </x:c>
      <x:c r="M595" s="186" t="n">
        <x:v>49406</x:v>
      </x:c>
      <x:c r="N595" s="186" t="n">
        <x:v>31630</x:v>
      </x:c>
      <x:c r="O595" s="186" t="n">
        <x:f>M595-N595</x:f>
        <x:v>17776</x:v>
      </x:c>
      <x:c r="P595" s="186" t="n">
        <x:v>14473</x:v>
      </x:c>
      <x:c r="Q595" s="186" t="n">
        <x:v>3693</x:v>
      </x:c>
      <x:c r="R595" s="186" t="n">
        <x:f>P595-Q595</x:f>
        <x:v>10780</x:v>
      </x:c>
      <x:c r="S595" s="186" t="n">
        <x:v>25817</x:v>
      </x:c>
      <x:c r="T595" s="186" t="n">
        <x:v>11121</x:v>
      </x:c>
      <x:c r="U595" s="186" t="n">
        <x:f>S595-T595</x:f>
        <x:v>14696</x:v>
      </x:c>
      <x:c r="V595" s="196" t="n">
        <x:f>IFERROR(O595/F595,"")</x:f>
        <x:v>0.12771307665227355</x:v>
      </x:c>
      <x:c r="W595" s="196" t="n">
        <x:f>IFERROR(I595/F595,"")</x:f>
        <x:v>-0.25841493817669753</x:v>
      </x:c>
    </x:row>
    <x:row r="596">
      <x:c r="A596" s="186" t="str">
        <x:v>Gold</x:v>
      </x:c>
      <x:c r="B596" s="187" t="n">
        <x:v>44453</x:v>
      </x:c>
      <x:c r="C596" s="187" t="n">
        <x:v>44456</x:v>
      </x:c>
      <x:c r="D596" s="186" t="str">
        <x:v>088691-GOLD</x:v>
      </x:c>
      <x:c r="E596" s="186" t="str">
        <x:v>GOLD - COMMODITY EXCHANGE INC.</x:v>
      </x:c>
      <x:c r="F596" s="186" t="n">
        <x:v>506356</x:v>
      </x:c>
      <x:c r="G596" s="186" t="n">
        <x:v>13149</x:v>
      </x:c>
      <x:c r="H596" s="186" t="n">
        <x:v>67186</x:v>
      </x:c>
      <x:c r="I596" s="186" t="n">
        <x:f>G596-H596</x:f>
        <x:v>-54037</x:v>
      </x:c>
      <x:c r="J596" s="186" t="n">
        <x:v>72791</x:v>
      </x:c>
      <x:c r="K596" s="186" t="n">
        <x:v>253005</x:v>
      </x:c>
      <x:c r="L596" s="186" t="n">
        <x:f>J596-K596</x:f>
        <x:v>-180214</x:v>
      </x:c>
      <x:c r="M596" s="186" t="n">
        <x:v>130837</x:v>
      </x:c>
      <x:c r="N596" s="186" t="n">
        <x:v>59615</x:v>
      </x:c>
      <x:c r="O596" s="186" t="n">
        <x:f>M596-N596</x:f>
        <x:v>71222</x:v>
      </x:c>
      <x:c r="P596" s="186" t="n">
        <x:v>176151</x:v>
      </x:c>
      <x:c r="Q596" s="186" t="n">
        <x:v>39613</x:v>
      </x:c>
      <x:c r="R596" s="186" t="n">
        <x:f>P596-Q596</x:f>
        <x:v>136538</x:v>
      </x:c>
      <x:c r="S596" s="186" t="n">
        <x:v>47097</x:v>
      </x:c>
      <x:c r="T596" s="186" t="n">
        <x:v>20606</x:v>
      </x:c>
      <x:c r="U596" s="186" t="n">
        <x:f>S596-T596</x:f>
        <x:v>26491</x:v>
      </x:c>
      <x:c r="V596" s="196" t="n">
        <x:f>IFERROR(O596/F596,"")</x:f>
        <x:v>0.14065598116740002</x:v>
      </x:c>
      <x:c r="W596" s="196" t="n">
        <x:f>IFERROR(I596/F596,"")</x:f>
        <x:v>-0.10671740830561897</x:v>
      </x:c>
    </x:row>
    <x:row r="597">
      <x:c r="A597" s="186" t="str">
        <x:v>Silver</x:v>
      </x:c>
      <x:c r="B597" s="187" t="n">
        <x:v>44453</x:v>
      </x:c>
      <x:c r="C597" s="187" t="n">
        <x:v>44456</x:v>
      </x:c>
      <x:c r="D597" s="186" t="str">
        <x:v>084691-SILVER</x:v>
      </x:c>
      <x:c r="E597" s="186" t="str">
        <x:v>SILVER - COMMODITY EXCHANGE INC.</x:v>
      </x:c>
      <x:c r="F597" s="186" t="n">
        <x:v>140540</x:v>
      </x:c>
      <x:c r="G597" s="186" t="n">
        <x:v>4864</x:v>
      </x:c>
      <x:c r="H597" s="186" t="n">
        <x:v>40400</x:v>
      </x:c>
      <x:c r="I597" s="186" t="n">
        <x:f>G597-H597</x:f>
        <x:v>-35536</x:v>
      </x:c>
      <x:c r="J597" s="186" t="n">
        <x:v>36558</x:v>
      </x:c>
      <x:c r="K597" s="186" t="n">
        <x:v>41178</x:v>
      </x:c>
      <x:c r="L597" s="186" t="n">
        <x:f>J597-K597</x:f>
        <x:v>-4620</x:v>
      </x:c>
      <x:c r="M597" s="186" t="n">
        <x:v>48598</x:v>
      </x:c>
      <x:c r="N597" s="186" t="n">
        <x:v>34512</x:v>
      </x:c>
      <x:c r="O597" s="186" t="n">
        <x:f>M597-N597</x:f>
        <x:v>14086</x:v>
      </x:c>
      <x:c r="P597" s="186" t="n">
        <x:v>16229</x:v>
      </x:c>
      <x:c r="Q597" s="186" t="n">
        <x:v>3639</x:v>
      </x:c>
      <x:c r="R597" s="186" t="n">
        <x:f>P597-Q597</x:f>
        <x:v>12590</x:v>
      </x:c>
      <x:c r="S597" s="186" t="n">
        <x:v>25503</x:v>
      </x:c>
      <x:c r="T597" s="186" t="n">
        <x:v>12023</x:v>
      </x:c>
      <x:c r="U597" s="186" t="n">
        <x:f>S597-T597</x:f>
        <x:v>13480</x:v>
      </x:c>
      <x:c r="V597" s="196" t="n">
        <x:f>IFERROR(O597/F597,"")</x:f>
        <x:v>0.10022769318343532</x:v>
      </x:c>
      <x:c r="W597" s="196" t="n">
        <x:f>IFERROR(I597/F597,"")</x:f>
        <x:v>-0.25285328020492387</x:v>
      </x:c>
    </x:row>
    <x:row r="598">
      <x:c r="A598" s="186" t="str">
        <x:v>Gold</x:v>
      </x:c>
      <x:c r="B598" s="187" t="n">
        <x:v>44460</x:v>
      </x:c>
      <x:c r="C598" s="187" t="n">
        <x:v>44463</x:v>
      </x:c>
      <x:c r="D598" s="186" t="str">
        <x:v>088691-GOLD</x:v>
      </x:c>
      <x:c r="E598" s="186" t="str">
        <x:v>GOLD - COMMODITY EXCHANGE INC.</x:v>
      </x:c>
      <x:c r="F598" s="186" t="n">
        <x:v>492765</x:v>
      </x:c>
      <x:c r="G598" s="186" t="n">
        <x:v>15089</x:v>
      </x:c>
      <x:c r="H598" s="186" t="n">
        <x:v>61902</x:v>
      </x:c>
      <x:c r="I598" s="186" t="n">
        <x:f>G598-H598</x:f>
        <x:v>-46813</x:v>
      </x:c>
      <x:c r="J598" s="186" t="n">
        <x:v>72105</x:v>
      </x:c>
      <x:c r="K598" s="186" t="n">
        <x:v>237936</x:v>
      </x:c>
      <x:c r="L598" s="186" t="n">
        <x:f>J598-K598</x:f>
        <x:v>-165831</x:v>
      </x:c>
      <x:c r="M598" s="186" t="n">
        <x:v>119777</x:v>
      </x:c>
      <x:c r="N598" s="186" t="n">
        <x:v>72933</x:v>
      </x:c>
      <x:c r="O598" s="186" t="n">
        <x:f>M598-N598</x:f>
        <x:v>46844</x:v>
      </x:c>
      <x:c r="P598" s="186" t="n">
        <x:v>176893</x:v>
      </x:c>
      <x:c r="Q598" s="186" t="n">
        <x:v>36090</x:v>
      </x:c>
      <x:c r="R598" s="186" t="n">
        <x:f>P598-Q598</x:f>
        <x:v>140803</x:v>
      </x:c>
      <x:c r="S598" s="186" t="n">
        <x:v>45636</x:v>
      </x:c>
      <x:c r="T598" s="186" t="n">
        <x:v>20639</x:v>
      </x:c>
      <x:c r="U598" s="186" t="n">
        <x:f>S598-T598</x:f>
        <x:v>24997</x:v>
      </x:c>
      <x:c r="V598" s="196" t="n">
        <x:f>IFERROR(O598/F598,"")</x:f>
        <x:v>0.09506356985581363</x:v>
      </x:c>
      <x:c r="W598" s="196" t="n">
        <x:f>IFERROR(I598/F598,"")</x:f>
        <x:v>-0.09500065954359584</x:v>
      </x:c>
    </x:row>
    <x:row r="599">
      <x:c r="A599" s="186" t="str">
        <x:v>Silver</x:v>
      </x:c>
      <x:c r="B599" s="187" t="n">
        <x:v>44460</x:v>
      </x:c>
      <x:c r="C599" s="187" t="n">
        <x:v>44463</x:v>
      </x:c>
      <x:c r="D599" s="186" t="str">
        <x:v>084691-SILVER</x:v>
      </x:c>
      <x:c r="E599" s="186" t="str">
        <x:v>SILVER - COMMODITY EXCHANGE INC.</x:v>
      </x:c>
      <x:c r="F599" s="186" t="n">
        <x:v>145537</x:v>
      </x:c>
      <x:c r="G599" s="186" t="n">
        <x:v>5362</x:v>
      </x:c>
      <x:c r="H599" s="186" t="n">
        <x:v>36377</x:v>
      </x:c>
      <x:c r="I599" s="186" t="n">
        <x:f>G599-H599</x:f>
        <x:v>-31015</x:v>
      </x:c>
      <x:c r="J599" s="186" t="n">
        <x:v>38126</x:v>
      </x:c>
      <x:c r="K599" s="186" t="n">
        <x:v>35166</x:v>
      </x:c>
      <x:c r="L599" s="186" t="n">
        <x:f>J599-K599</x:f>
        <x:v>2960</x:v>
      </x:c>
      <x:c r="M599" s="186" t="n">
        <x:v>48233</x:v>
      </x:c>
      <x:c r="N599" s="186" t="n">
        <x:v>46923</x:v>
      </x:c>
      <x:c r="O599" s="186" t="n">
        <x:f>M599-N599</x:f>
        <x:v>1310</x:v>
      </x:c>
      <x:c r="P599" s="186" t="n">
        <x:v>18475</x:v>
      </x:c>
      <x:c r="Q599" s="186" t="n">
        <x:v>4150</x:v>
      </x:c>
      <x:c r="R599" s="186" t="n">
        <x:f>P599-Q599</x:f>
        <x:v>14325</x:v>
      </x:c>
      <x:c r="S599" s="186" t="n">
        <x:v>25423</x:v>
      </x:c>
      <x:c r="T599" s="186" t="n">
        <x:v>13003</x:v>
      </x:c>
      <x:c r="U599" s="186" t="n">
        <x:f>S599-T599</x:f>
        <x:v>12420</x:v>
      </x:c>
      <x:c r="V599" s="196" t="n">
        <x:f>IFERROR(O599/F599,"")</x:f>
        <x:v>0.009001147474525378</x:v>
      </x:c>
      <x:c r="W599" s="196" t="n">
        <x:f>IFERROR(I599/F599,"")</x:f>
        <x:v>-0.21310731978809513</x:v>
      </x:c>
    </x:row>
    <x:row r="600">
      <x:c r="A600" s="186" t="str">
        <x:v>Gold</x:v>
      </x:c>
      <x:c r="B600" s="187" t="n">
        <x:v>44467</x:v>
      </x:c>
      <x:c r="C600" s="187" t="n">
        <x:v>44470</x:v>
      </x:c>
      <x:c r="D600" s="186" t="str">
        <x:v>088691-GOLD</x:v>
      </x:c>
      <x:c r="E600" s="186" t="str">
        <x:v>GOLD - COMMODITY EXCHANGE INC.</x:v>
      </x:c>
      <x:c r="F600" s="186" t="n">
        <x:v>490858</x:v>
      </x:c>
      <x:c r="G600" s="186" t="n">
        <x:v>18460</x:v>
      </x:c>
      <x:c r="H600" s="186" t="n">
        <x:v>60320</x:v>
      </x:c>
      <x:c r="I600" s="186" t="n">
        <x:f>G600-H600</x:f>
        <x:v>-41860</x:v>
      </x:c>
      <x:c r="J600" s="186" t="n">
        <x:v>72672</x:v>
      </x:c>
      <x:c r="K600" s="186" t="n">
        <x:v>220963</x:v>
      </x:c>
      <x:c r="L600" s="186" t="n">
        <x:f>J600-K600</x:f>
        <x:v>-148291</x:v>
      </x:c>
      <x:c r="M600" s="186" t="n">
        <x:v>118923</x:v>
      </x:c>
      <x:c r="N600" s="186" t="n">
        <x:v>88062</x:v>
      </x:c>
      <x:c r="O600" s="186" t="n">
        <x:f>M600-N600</x:f>
        <x:v>30861</x:v>
      </x:c>
      <x:c r="P600" s="186" t="n">
        <x:v>174891</x:v>
      </x:c>
      <x:c r="Q600" s="186" t="n">
        <x:v>37353</x:v>
      </x:c>
      <x:c r="R600" s="186" t="n">
        <x:f>P600-Q600</x:f>
        <x:v>137538</x:v>
      </x:c>
      <x:c r="S600" s="186" t="n">
        <x:v>44821</x:v>
      </x:c>
      <x:c r="T600" s="186" t="n">
        <x:v>23069</x:v>
      </x:c>
      <x:c r="U600" s="186" t="n">
        <x:f>S600-T600</x:f>
        <x:v>21752</x:v>
      </x:c>
      <x:c r="V600" s="196" t="n">
        <x:f>IFERROR(O600/F600,"")</x:f>
        <x:v>0.0628715432976543</x:v>
      </x:c>
      <x:c r="W600" s="196" t="n">
        <x:f>IFERROR(I600/F600,"")</x:f>
        <x:v>-0.08527924572890734</x:v>
      </x:c>
    </x:row>
    <x:row r="601">
      <x:c r="A601" s="186" t="str">
        <x:v>Silver</x:v>
      </x:c>
      <x:c r="B601" s="187" t="n">
        <x:v>44467</x:v>
      </x:c>
      <x:c r="C601" s="187" t="n">
        <x:v>44470</x:v>
      </x:c>
      <x:c r="D601" s="186" t="str">
        <x:v>084691-SILVER</x:v>
      </x:c>
      <x:c r="E601" s="186" t="str">
        <x:v>SILVER - COMMODITY EXCHANGE INC.</x:v>
      </x:c>
      <x:c r="F601" s="186" t="n">
        <x:v>142163</x:v>
      </x:c>
      <x:c r="G601" s="186" t="n">
        <x:v>5245</x:v>
      </x:c>
      <x:c r="H601" s="186" t="n">
        <x:v>36380</x:v>
      </x:c>
      <x:c r="I601" s="186" t="n">
        <x:f>G601-H601</x:f>
        <x:v>-31135</x:v>
      </x:c>
      <x:c r="J601" s="186" t="n">
        <x:v>36790</x:v>
      </x:c>
      <x:c r="K601" s="186" t="n">
        <x:v>34303</x:v>
      </x:c>
      <x:c r="L601" s="186" t="n">
        <x:f>J601-K601</x:f>
        <x:v>2487</x:v>
      </x:c>
      <x:c r="M601" s="186" t="n">
        <x:v>47442</x:v>
      </x:c>
      <x:c r="N601" s="186" t="n">
        <x:v>43918</x:v>
      </x:c>
      <x:c r="O601" s="186" t="n">
        <x:f>M601-N601</x:f>
        <x:v>3524</x:v>
      </x:c>
      <x:c r="P601" s="186" t="n">
        <x:v>17048</x:v>
      </x:c>
      <x:c r="Q601" s="186" t="n">
        <x:v>3867</x:v>
      </x:c>
      <x:c r="R601" s="186" t="n">
        <x:f>P601-Q601</x:f>
        <x:v>13181</x:v>
      </x:c>
      <x:c r="S601" s="186" t="n">
        <x:v>24795</x:v>
      </x:c>
      <x:c r="T601" s="186" t="n">
        <x:v>12852</x:v>
      </x:c>
      <x:c r="U601" s="186" t="n">
        <x:f>S601-T601</x:f>
        <x:v>11943</x:v>
      </x:c>
      <x:c r="V601" s="196" t="n">
        <x:f>IFERROR(O601/F601,"")</x:f>
        <x:v>0.024788447064285363</x:v>
      </x:c>
      <x:c r="W601" s="196" t="n">
        <x:f>IFERROR(I601/F601,"")</x:f>
        <x:v>-0.2190091655353362</x:v>
      </x:c>
    </x:row>
    <x:row r="602">
      <x:c r="A602" s="186" t="str">
        <x:v>Gold</x:v>
      </x:c>
      <x:c r="B602" s="187" t="n">
        <x:v>44474</x:v>
      </x:c>
      <x:c r="C602" s="187" t="n">
        <x:v>44477</x:v>
      </x:c>
      <x:c r="D602" s="186" t="str">
        <x:v>088691-GOLD</x:v>
      </x:c>
      <x:c r="E602" s="186" t="str">
        <x:v>GOLD - COMMODITY EXCHANGE INC.</x:v>
      </x:c>
      <x:c r="F602" s="186" t="n">
        <x:v>483789</x:v>
      </x:c>
      <x:c r="G602" s="186" t="n">
        <x:v>14867</x:v>
      </x:c>
      <x:c r="H602" s="186" t="n">
        <x:v>57675</x:v>
      </x:c>
      <x:c r="I602" s="186" t="n">
        <x:f>G602-H602</x:f>
        <x:v>-42808</x:v>
      </x:c>
      <x:c r="J602" s="186" t="n">
        <x:v>77225</x:v>
      </x:c>
      <x:c r="K602" s="186" t="n">
        <x:v>238119</x:v>
      </x:c>
      <x:c r="L602" s="186" t="n">
        <x:f>J602-K602</x:f>
        <x:v>-160894</x:v>
      </x:c>
      <x:c r="M602" s="186" t="n">
        <x:v>126745</x:v>
      </x:c>
      <x:c r="N602" s="186" t="n">
        <x:v>72579</x:v>
      </x:c>
      <x:c r="O602" s="186" t="n">
        <x:f>M602-N602</x:f>
        <x:v>54166</x:v>
      </x:c>
      <x:c r="P602" s="186" t="n">
        <x:v>169194</x:v>
      </x:c>
      <x:c r="Q602" s="186" t="n">
        <x:v>40778</x:v>
      </x:c>
      <x:c r="R602" s="186" t="n">
        <x:f>P602-Q602</x:f>
        <x:v>128416</x:v>
      </x:c>
      <x:c r="S602" s="186" t="n">
        <x:v>44017</x:v>
      </x:c>
      <x:c r="T602" s="186" t="n">
        <x:v>22897</x:v>
      </x:c>
      <x:c r="U602" s="186" t="n">
        <x:f>S602-T602</x:f>
        <x:v>21120</x:v>
      </x:c>
      <x:c r="V602" s="196" t="n">
        <x:f>IFERROR(O602/F602,"")</x:f>
        <x:v>0.1119620330350628</x:v>
      </x:c>
      <x:c r="W602" s="196" t="n">
        <x:f>IFERROR(I602/F602,"")</x:f>
        <x:v>-0.08848485600127329</x:v>
      </x:c>
    </x:row>
    <x:row r="603">
      <x:c r="A603" s="186" t="str">
        <x:v>Silver</x:v>
      </x:c>
      <x:c r="B603" s="187" t="n">
        <x:v>44474</x:v>
      </x:c>
      <x:c r="C603" s="187" t="n">
        <x:v>44477</x:v>
      </x:c>
      <x:c r="D603" s="186" t="str">
        <x:v>084691-SILVER</x:v>
      </x:c>
      <x:c r="E603" s="186" t="str">
        <x:v>SILVER - COMMODITY EXCHANGE INC.</x:v>
      </x:c>
      <x:c r="F603" s="186" t="n">
        <x:v>139763</x:v>
      </x:c>
      <x:c r="G603" s="186" t="n">
        <x:v>5454</x:v>
      </x:c>
      <x:c r="H603" s="186" t="n">
        <x:v>36320</x:v>
      </x:c>
      <x:c r="I603" s="186" t="n">
        <x:f>G603-H603</x:f>
        <x:v>-30866</x:v>
      </x:c>
      <x:c r="J603" s="186" t="n">
        <x:v>35675</x:v>
      </x:c>
      <x:c r="K603" s="186" t="n">
        <x:v>32587</x:v>
      </x:c>
      <x:c r="L603" s="186" t="n">
        <x:f>J603-K603</x:f>
        <x:v>3088</x:v>
      </x:c>
      <x:c r="M603" s="186" t="n">
        <x:v>47463</x:v>
      </x:c>
      <x:c r="N603" s="186" t="n">
        <x:v>42819</x:v>
      </x:c>
      <x:c r="O603" s="186" t="n">
        <x:f>M603-N603</x:f>
        <x:v>4644</x:v>
      </x:c>
      <x:c r="P603" s="186" t="n">
        <x:v>16494</x:v>
      </x:c>
      <x:c r="Q603" s="186" t="n">
        <x:v>4759</x:v>
      </x:c>
      <x:c r="R603" s="186" t="n">
        <x:f>P603-Q603</x:f>
        <x:v>11735</x:v>
      </x:c>
      <x:c r="S603" s="186" t="n">
        <x:v>24323</x:v>
      </x:c>
      <x:c r="T603" s="186" t="n">
        <x:v>12924</x:v>
      </x:c>
      <x:c r="U603" s="186" t="n">
        <x:f>S603-T603</x:f>
        <x:v>11399</x:v>
      </x:c>
      <x:c r="V603" s="196" t="n">
        <x:f>IFERROR(O603/F603,"")</x:f>
        <x:v>0.03322767828395212</x:v>
      </x:c>
      <x:c r="W603" s="196" t="n">
        <x:f>IFERROR(I603/F603,"")</x:f>
        <x:v>-0.22084528809484627</x:v>
      </x:c>
    </x:row>
    <x:row r="604">
      <x:c r="A604" s="186" t="str">
        <x:v>Gold</x:v>
      </x:c>
      <x:c r="B604" s="187" t="n">
        <x:v>44481</x:v>
      </x:c>
      <x:c r="C604" s="187" t="n">
        <x:v>44484</x:v>
      </x:c>
      <x:c r="D604" s="186" t="str">
        <x:v>088691-GOLD</x:v>
      </x:c>
      <x:c r="E604" s="186" t="str">
        <x:v>GOLD - COMMODITY EXCHANGE INC.</x:v>
      </x:c>
      <x:c r="F604" s="186" t="n">
        <x:v>484382</x:v>
      </x:c>
      <x:c r="G604" s="186" t="n">
        <x:v>14259</x:v>
      </x:c>
      <x:c r="H604" s="186" t="n">
        <x:v>62099</x:v>
      </x:c>
      <x:c r="I604" s="186" t="n">
        <x:f>G604-H604</x:f>
        <x:v>-47840</x:v>
      </x:c>
      <x:c r="J604" s="186" t="n">
        <x:v>77500</x:v>
      </x:c>
      <x:c r="K604" s="186" t="n">
        <x:v>237274</x:v>
      </x:c>
      <x:c r="L604" s="186" t="n">
        <x:f>J604-K604</x:f>
        <x:v>-159774</x:v>
      </x:c>
      <x:c r="M604" s="186" t="n">
        <x:v>131668</x:v>
      </x:c>
      <x:c r="N604" s="186" t="n">
        <x:v>73149</x:v>
      </x:c>
      <x:c r="O604" s="186" t="n">
        <x:f>M604-N604</x:f>
        <x:v>58519</x:v>
      </x:c>
      <x:c r="P604" s="186" t="n">
        <x:v>166835</x:v>
      </x:c>
      <x:c r="Q604" s="186" t="n">
        <x:v>39815</x:v>
      </x:c>
      <x:c r="R604" s="186" t="n">
        <x:f>P604-Q604</x:f>
        <x:v>127020</x:v>
      </x:c>
      <x:c r="S604" s="186" t="n">
        <x:v>43819</x:v>
      </x:c>
      <x:c r="T604" s="186" t="n">
        <x:v>21744</x:v>
      </x:c>
      <x:c r="U604" s="186" t="n">
        <x:f>S604-T604</x:f>
        <x:v>22075</x:v>
      </x:c>
      <x:c r="V604" s="196" t="n">
        <x:f>IFERROR(O604/F604,"")</x:f>
        <x:v>0.12081167343130009</x:v>
      </x:c>
      <x:c r="W604" s="196" t="n">
        <x:f>IFERROR(I604/F604,"")</x:f>
        <x:v>-0.09876502429900368</x:v>
      </x:c>
    </x:row>
    <x:row r="605">
      <x:c r="A605" s="186" t="str">
        <x:v>Silver</x:v>
      </x:c>
      <x:c r="B605" s="187" t="n">
        <x:v>44481</x:v>
      </x:c>
      <x:c r="C605" s="187" t="n">
        <x:v>44484</x:v>
      </x:c>
      <x:c r="D605" s="186" t="str">
        <x:v>084691-SILVER</x:v>
      </x:c>
      <x:c r="E605" s="186" t="str">
        <x:v>SILVER - COMMODITY EXCHANGE INC.</x:v>
      </x:c>
      <x:c r="F605" s="186" t="n">
        <x:v>139403</x:v>
      </x:c>
      <x:c r="G605" s="186" t="n">
        <x:v>4968</x:v>
      </x:c>
      <x:c r="H605" s="186" t="n">
        <x:v>37046</x:v>
      </x:c>
      <x:c r="I605" s="186" t="n">
        <x:f>G605-H605</x:f>
        <x:v>-32078</x:v>
      </x:c>
      <x:c r="J605" s="186" t="n">
        <x:v>35086</x:v>
      </x:c>
      <x:c r="K605" s="186" t="n">
        <x:v>33300</x:v>
      </x:c>
      <x:c r="L605" s="186" t="n">
        <x:f>J605-K605</x:f>
        <x:v>1786</x:v>
      </x:c>
      <x:c r="M605" s="186" t="n">
        <x:v>47447</x:v>
      </x:c>
      <x:c r="N605" s="186" t="n">
        <x:v>42391</x:v>
      </x:c>
      <x:c r="O605" s="186" t="n">
        <x:f>M605-N605</x:f>
        <x:v>5056</x:v>
      </x:c>
      <x:c r="P605" s="186" t="n">
        <x:v>16041</x:v>
      </x:c>
      <x:c r="Q605" s="186" t="n">
        <x:v>3110</x:v>
      </x:c>
      <x:c r="R605" s="186" t="n">
        <x:f>P605-Q605</x:f>
        <x:v>12931</x:v>
      </x:c>
      <x:c r="S605" s="186" t="n">
        <x:v>25151</x:v>
      </x:c>
      <x:c r="T605" s="186" t="n">
        <x:v>12846</x:v>
      </x:c>
      <x:c r="U605" s="186" t="n">
        <x:f>S605-T605</x:f>
        <x:v>12305</x:v>
      </x:c>
      <x:c r="V605" s="196" t="n">
        <x:f>IFERROR(O605/F605,"")</x:f>
        <x:v>0.03626894686627978</x:v>
      </x:c>
      <x:c r="W605" s="196" t="n">
        <x:f>IFERROR(I605/F605,"")</x:f>
        <x:v>-0.2301098254700401</x:v>
      </x:c>
    </x:row>
    <x:row r="606">
      <x:c r="A606" s="186" t="str">
        <x:v>Gold</x:v>
      </x:c>
      <x:c r="B606" s="187" t="n">
        <x:v>44488</x:v>
      </x:c>
      <x:c r="C606" s="187" t="n">
        <x:v>44491</x:v>
      </x:c>
      <x:c r="D606" s="186" t="str">
        <x:v>088691-GOLD</x:v>
      </x:c>
      <x:c r="E606" s="186" t="str">
        <x:v>GOLD - COMMODITY EXCHANGE INC.</x:v>
      </x:c>
      <x:c r="F606" s="186" t="n">
        <x:v>485974</x:v>
      </x:c>
      <x:c r="G606" s="186" t="n">
        <x:v>12474</x:v>
      </x:c>
      <x:c r="H606" s="186" t="n">
        <x:v>63126</x:v>
      </x:c>
      <x:c r="I606" s="186" t="n">
        <x:f>G606-H606</x:f>
        <x:v>-50652</x:v>
      </x:c>
      <x:c r="J606" s="186" t="n">
        <x:v>76694</x:v>
      </x:c>
      <x:c r="K606" s="186" t="n">
        <x:v>245232</x:v>
      </x:c>
      <x:c r="L606" s="186" t="n">
        <x:f>J606-K606</x:f>
        <x:v>-168538</x:v>
      </x:c>
      <x:c r="M606" s="186" t="n">
        <x:v>124560</x:v>
      </x:c>
      <x:c r="N606" s="186" t="n">
        <x:v>66761</x:v>
      </x:c>
      <x:c r="O606" s="186" t="n">
        <x:f>M606-N606</x:f>
        <x:v>57799</x:v>
      </x:c>
      <x:c r="P606" s="186" t="n">
        <x:v>175322</x:v>
      </x:c>
      <x:c r="Q606" s="186" t="n">
        <x:v>39772</x:v>
      </x:c>
      <x:c r="R606" s="186" t="n">
        <x:f>P606-Q606</x:f>
        <x:v>135550</x:v>
      </x:c>
      <x:c r="S606" s="186" t="n">
        <x:v>46194</x:v>
      </x:c>
      <x:c r="T606" s="186" t="n">
        <x:v>20353</x:v>
      </x:c>
      <x:c r="U606" s="186" t="n">
        <x:f>S606-T606</x:f>
        <x:v>25841</x:v>
      </x:c>
      <x:c r="V606" s="196" t="n">
        <x:f>IFERROR(O606/F606,"")</x:f>
        <x:v>0.11893434628189986</x:v>
      </x:c>
      <x:c r="W606" s="196" t="n">
        <x:f>IFERROR(I606/F606,"")</x:f>
        <x:v>-0.10422779819496517</x:v>
      </x:c>
    </x:row>
    <x:row r="607">
      <x:c r="A607" s="186" t="str">
        <x:v>Silver</x:v>
      </x:c>
      <x:c r="B607" s="187" t="n">
        <x:v>44488</x:v>
      </x:c>
      <x:c r="C607" s="187" t="n">
        <x:v>44491</x:v>
      </x:c>
      <x:c r="D607" s="186" t="str">
        <x:v>084691-SILVER</x:v>
      </x:c>
      <x:c r="E607" s="186" t="str">
        <x:v>SILVER - COMMODITY EXCHANGE INC.</x:v>
      </x:c>
      <x:c r="F607" s="186" t="n">
        <x:v>143664</x:v>
      </x:c>
      <x:c r="G607" s="186" t="n">
        <x:v>3747</x:v>
      </x:c>
      <x:c r="H607" s="186" t="n">
        <x:v>42051</x:v>
      </x:c>
      <x:c r="I607" s="186" t="n">
        <x:f>G607-H607</x:f>
        <x:v>-38304</x:v>
      </x:c>
      <x:c r="J607" s="186" t="n">
        <x:v>34045</x:v>
      </x:c>
      <x:c r="K607" s="186" t="n">
        <x:v>40321</x:v>
      </x:c>
      <x:c r="L607" s="186" t="n">
        <x:f>J607-K607</x:f>
        <x:v>-6276</x:v>
      </x:c>
      <x:c r="M607" s="186" t="n">
        <x:v>50040</x:v>
      </x:c>
      <x:c r="N607" s="186" t="n">
        <x:v>30603</x:v>
      </x:c>
      <x:c r="O607" s="186" t="n">
        <x:f>M607-N607</x:f>
        <x:v>19437</x:v>
      </x:c>
      <x:c r="P607" s="186" t="n">
        <x:v>16532</x:v>
      </x:c>
      <x:c r="Q607" s="186" t="n">
        <x:v>5613</x:v>
      </x:c>
      <x:c r="R607" s="186" t="n">
        <x:f>P607-Q607</x:f>
        <x:v>10919</x:v>
      </x:c>
      <x:c r="S607" s="186" t="n">
        <x:v>27203</x:v>
      </x:c>
      <x:c r="T607" s="186" t="n">
        <x:v>12979</x:v>
      </x:c>
      <x:c r="U607" s="186" t="n">
        <x:f>S607-T607</x:f>
        <x:v>14224</x:v>
      </x:c>
      <x:c r="V607" s="196" t="n">
        <x:f>IFERROR(O607/F607,"")</x:f>
        <x:v>0.13529485466087537</x:v>
      </x:c>
      <x:c r="W607" s="196" t="n">
        <x:f>IFERROR(I607/F607,"")</x:f>
        <x:v>-0.26662211827597726</x:v>
      </x:c>
    </x:row>
    <x:row r="608">
      <x:c r="A608" s="186" t="str">
        <x:v>Gold</x:v>
      </x:c>
      <x:c r="B608" s="187" t="n">
        <x:v>44495</x:v>
      </x:c>
      <x:c r="C608" s="187" t="n">
        <x:v>44498</x:v>
      </x:c>
      <x:c r="D608" s="186" t="str">
        <x:v>088691-GOLD</x:v>
      </x:c>
      <x:c r="E608" s="186" t="str">
        <x:v>GOLD - COMMODITY EXCHANGE INC.</x:v>
      </x:c>
      <x:c r="F608" s="186" t="n">
        <x:v>509794</x:v>
      </x:c>
      <x:c r="G608" s="186" t="n">
        <x:v>13505</x:v>
      </x:c>
      <x:c r="H608" s="186" t="n">
        <x:v>64600</x:v>
      </x:c>
      <x:c r="I608" s="186" t="n">
        <x:f>G608-H608</x:f>
        <x:v>-51095</x:v>
      </x:c>
      <x:c r="J608" s="186" t="n">
        <x:v>72885</x:v>
      </x:c>
      <x:c r="K608" s="186" t="n">
        <x:v>261444</x:v>
      </x:c>
      <x:c r="L608" s="186" t="n">
        <x:f>J608-K608</x:f>
        <x:v>-188559</x:v>
      </x:c>
      <x:c r="M608" s="186" t="n">
        <x:v>141280</x:v>
      </x:c>
      <x:c r="N608" s="186" t="n">
        <x:v>54918</x:v>
      </x:c>
      <x:c r="O608" s="186" t="n">
        <x:f>M608-N608</x:f>
        <x:v>86362</x:v>
      </x:c>
      <x:c r="P608" s="186" t="n">
        <x:v>172366</x:v>
      </x:c>
      <x:c r="Q608" s="186" t="n">
        <x:v>44168</x:v>
      </x:c>
      <x:c r="R608" s="186" t="n">
        <x:f>P608-Q608</x:f>
        <x:v>128198</x:v>
      </x:c>
      <x:c r="S608" s="186" t="n">
        <x:v>47707</x:v>
      </x:c>
      <x:c r="T608" s="186" t="n">
        <x:v>22613</x:v>
      </x:c>
      <x:c r="U608" s="186" t="n">
        <x:f>S608-T608</x:f>
        <x:v>25094</x:v>
      </x:c>
      <x:c r="V608" s="196" t="n">
        <x:f>IFERROR(O608/F608,"")</x:f>
        <x:v>0.16940568151057095</x:v>
      </x:c>
      <x:c r="W608" s="196" t="n">
        <x:f>IFERROR(I608/F608,"")</x:f>
        <x:v>-0.10022675825921842</x:v>
      </x:c>
    </x:row>
    <x:row r="609">
      <x:c r="A609" s="186" t="str">
        <x:v>Silver</x:v>
      </x:c>
      <x:c r="B609" s="187" t="n">
        <x:v>44495</x:v>
      </x:c>
      <x:c r="C609" s="187" t="n">
        <x:v>44498</x:v>
      </x:c>
      <x:c r="D609" s="186" t="str">
        <x:v>084691-SILVER</x:v>
      </x:c>
      <x:c r="E609" s="186" t="str">
        <x:v>SILVER - COMMODITY EXCHANGE INC.</x:v>
      </x:c>
      <x:c r="F609" s="186" t="n">
        <x:v>141581</x:v>
      </x:c>
      <x:c r="G609" s="186" t="n">
        <x:v>3361</x:v>
      </x:c>
      <x:c r="H609" s="186" t="n">
        <x:v>45213</x:v>
      </x:c>
      <x:c r="I609" s="186" t="n">
        <x:f>G609-H609</x:f>
        <x:v>-41852</x:v>
      </x:c>
      <x:c r="J609" s="186" t="n">
        <x:v>33115</x:v>
      </x:c>
      <x:c r="K609" s="186" t="n">
        <x:v>42767</x:v>
      </x:c>
      <x:c r="L609" s="186" t="n">
        <x:f>J609-K609</x:f>
        <x:v>-9652</x:v>
      </x:c>
      <x:c r="M609" s="186" t="n">
        <x:v>52646</x:v>
      </x:c>
      <x:c r="N609" s="186" t="n">
        <x:v>23514</x:v>
      </x:c>
      <x:c r="O609" s="186" t="n">
        <x:f>M609-N609</x:f>
        <x:v>29132</x:v>
      </x:c>
      <x:c r="P609" s="186" t="n">
        <x:v>14031</x:v>
      </x:c>
      <x:c r="Q609" s="186" t="n">
        <x:v>5631</x:v>
      </x:c>
      <x:c r="R609" s="186" t="n">
        <x:f>P609-Q609</x:f>
        <x:v>8400</x:v>
      </x:c>
      <x:c r="S609" s="186" t="n">
        <x:v>26376</x:v>
      </x:c>
      <x:c r="T609" s="186" t="n">
        <x:v>12404</x:v>
      </x:c>
      <x:c r="U609" s="186" t="n">
        <x:f>S609-T609</x:f>
        <x:v>13972</x:v>
      </x:c>
      <x:c r="V609" s="196" t="n">
        <x:f>IFERROR(O609/F609,"")</x:f>
        <x:v>0.20576207259448656</x:v>
      </x:c>
      <x:c r="W609" s="196" t="n">
        <x:f>IFERROR(I609/F609,"")</x:f>
        <x:v>-0.29560463621531136</x:v>
      </x:c>
    </x:row>
    <x:row r="610">
      <x:c r="A610" s="186" t="str">
        <x:v>Gold</x:v>
      </x:c>
      <x:c r="B610" s="187" t="n">
        <x:v>44502</x:v>
      </x:c>
      <x:c r="C610" s="187" t="n">
        <x:v>44505</x:v>
      </x:c>
      <x:c r="D610" s="186" t="str">
        <x:v>088691-GOLD</x:v>
      </x:c>
      <x:c r="E610" s="186" t="str">
        <x:v>GOLD - COMMODITY EXCHANGE INC.</x:v>
      </x:c>
      <x:c r="F610" s="186" t="n">
        <x:v>507616</x:v>
      </x:c>
      <x:c r="G610" s="186" t="n">
        <x:v>13986</x:v>
      </x:c>
      <x:c r="H610" s="186" t="n">
        <x:v>66307</x:v>
      </x:c>
      <x:c r="I610" s="186" t="n">
        <x:f>G610-H610</x:f>
        <x:v>-52321</x:v>
      </x:c>
      <x:c r="J610" s="186" t="n">
        <x:v>71365</x:v>
      </x:c>
      <x:c r="K610" s="186" t="n">
        <x:v>258921</x:v>
      </x:c>
      <x:c r="L610" s="186" t="n">
        <x:f>J610-K610</x:f>
        <x:v>-187556</x:v>
      </x:c>
      <x:c r="M610" s="186" t="n">
        <x:v>136944</x:v>
      </x:c>
      <x:c r="N610" s="186" t="n">
        <x:v>51705</x:v>
      </x:c>
      <x:c r="O610" s="186" t="n">
        <x:f>M610-N610</x:f>
        <x:v>85239</x:v>
      </x:c>
      <x:c r="P610" s="186" t="n">
        <x:v>174147</x:v>
      </x:c>
      <x:c r="Q610" s="186" t="n">
        <x:v>44257</x:v>
      </x:c>
      <x:c r="R610" s="186" t="n">
        <x:f>P610-Q610</x:f>
        <x:v>129890</x:v>
      </x:c>
      <x:c r="S610" s="186" t="n">
        <x:v>45936</x:v>
      </x:c>
      <x:c r="T610" s="186" t="n">
        <x:v>21188</x:v>
      </x:c>
      <x:c r="U610" s="186" t="n">
        <x:f>S610-T610</x:f>
        <x:v>24748</x:v>
      </x:c>
      <x:c r="V610" s="196" t="n">
        <x:f>IFERROR(O610/F610,"")</x:f>
        <x:v>0.167920238920759</x:v>
      </x:c>
      <x:c r="W610" s="196" t="n">
        <x:f>IFERROR(I610/F610,"")</x:f>
        <x:v>-0.1030720071865347</x:v>
      </x:c>
    </x:row>
    <x:row r="611">
      <x:c r="A611" s="186" t="str">
        <x:v>Silver</x:v>
      </x:c>
      <x:c r="B611" s="187" t="n">
        <x:v>44502</x:v>
      </x:c>
      <x:c r="C611" s="187" t="n">
        <x:v>44505</x:v>
      </x:c>
      <x:c r="D611" s="186" t="str">
        <x:v>084691-SILVER</x:v>
      </x:c>
      <x:c r="E611" s="186" t="str">
        <x:v>SILVER - COMMODITY EXCHANGE INC.</x:v>
      </x:c>
      <x:c r="F611" s="186" t="n">
        <x:v>141394</x:v>
      </x:c>
      <x:c r="G611" s="186" t="n">
        <x:v>3508</x:v>
      </x:c>
      <x:c r="H611" s="186" t="n">
        <x:v>44388</x:v>
      </x:c>
      <x:c r="I611" s="186" t="n">
        <x:f>G611-H611</x:f>
        <x:v>-40880</x:v>
      </x:c>
      <x:c r="J611" s="186" t="n">
        <x:v>35210</x:v>
      </x:c>
      <x:c r="K611" s="186" t="n">
        <x:v>43190</x:v>
      </x:c>
      <x:c r="L611" s="186" t="n">
        <x:f>J611-K611</x:f>
        <x:v>-7980</x:v>
      </x:c>
      <x:c r="M611" s="186" t="n">
        <x:v>50391</x:v>
      </x:c>
      <x:c r="N611" s="186" t="n">
        <x:v>26422</x:v>
      </x:c>
      <x:c r="O611" s="186" t="n">
        <x:f>M611-N611</x:f>
        <x:v>23969</x:v>
      </x:c>
      <x:c r="P611" s="186" t="n">
        <x:v>14111</x:v>
      </x:c>
      <x:c r="Q611" s="186" t="n">
        <x:v>4965</x:v>
      </x:c>
      <x:c r="R611" s="186" t="n">
        <x:f>P611-Q611</x:f>
        <x:v>9146</x:v>
      </x:c>
      <x:c r="S611" s="186" t="n">
        <x:v>27091</x:v>
      </x:c>
      <x:c r="T611" s="186" t="n">
        <x:v>11346</x:v>
      </x:c>
      <x:c r="U611" s="186" t="n">
        <x:f>S611-T611</x:f>
        <x:v>15745</x:v>
      </x:c>
      <x:c r="V611" s="196" t="n">
        <x:f>IFERROR(O611/F611,"")</x:f>
        <x:v>0.1695192158083087</x:v>
      </x:c>
      <x:c r="W611" s="196" t="n">
        <x:f>IFERROR(I611/F611,"")</x:f>
        <x:v>-0.2891211791165113</x:v>
      </x:c>
    </x:row>
    <x:row r="612">
      <x:c r="A612" s="186" t="str">
        <x:v>Gold</x:v>
      </x:c>
      <x:c r="B612" s="187" t="n">
        <x:v>44509</x:v>
      </x:c>
      <x:c r="C612" s="187" t="n">
        <x:v>44512</x:v>
      </x:c>
      <x:c r="D612" s="186" t="str">
        <x:v>088691-GOLD</x:v>
      </x:c>
      <x:c r="E612" s="186" t="str">
        <x:v>GOLD - COMMODITY EXCHANGE INC.</x:v>
      </x:c>
      <x:c r="F612" s="186" t="n">
        <x:v>571025</x:v>
      </x:c>
      <x:c r="G612" s="186" t="n">
        <x:v>17412</x:v>
      </x:c>
      <x:c r="H612" s="186" t="n">
        <x:v>76212</x:v>
      </x:c>
      <x:c r="I612" s="186" t="n">
        <x:f>G612-H612</x:f>
        <x:v>-58800</x:v>
      </x:c>
      <x:c r="J612" s="186" t="n">
        <x:v>68244</x:v>
      </x:c>
      <x:c r="K612" s="186" t="n">
        <x:v>284933</x:v>
      </x:c>
      <x:c r="L612" s="186" t="n">
        <x:f>J612-K612</x:f>
        <x:v>-216689</x:v>
      </x:c>
      <x:c r="M612" s="186" t="n">
        <x:v>168133</x:v>
      </x:c>
      <x:c r="N612" s="186" t="n">
        <x:v>42523</x:v>
      </x:c>
      <x:c r="O612" s="186" t="n">
        <x:f>M612-N612</x:f>
        <x:v>125610</x:v>
      </x:c>
      <x:c r="P612" s="186" t="n">
        <x:v>172978</x:v>
      </x:c>
      <x:c r="Q612" s="186" t="n">
        <x:v>48407</x:v>
      </x:c>
      <x:c r="R612" s="186" t="n">
        <x:f>P612-Q612</x:f>
        <x:v>124571</x:v>
      </x:c>
      <x:c r="S612" s="186" t="n">
        <x:v>50094</x:v>
      </x:c>
      <x:c r="T612" s="186" t="n">
        <x:v>24786</x:v>
      </x:c>
      <x:c r="U612" s="186" t="n">
        <x:f>S612-T612</x:f>
        <x:v>25308</x:v>
      </x:c>
      <x:c r="V612" s="196" t="n">
        <x:f>IFERROR(O612/F612,"")</x:f>
        <x:v>0.21997285582942955</x:v>
      </x:c>
      <x:c r="W612" s="196" t="n">
        <x:f>IFERROR(I612/F612,"")</x:f>
        <x:v>-0.1029727244866687</x:v>
      </x:c>
    </x:row>
    <x:row r="613">
      <x:c r="A613" s="186" t="str">
        <x:v>Silver</x:v>
      </x:c>
      <x:c r="B613" s="187" t="n">
        <x:v>44509</x:v>
      </x:c>
      <x:c r="C613" s="187" t="n">
        <x:v>44512</x:v>
      </x:c>
      <x:c r="D613" s="186" t="str">
        <x:v>084691-SILVER</x:v>
      </x:c>
      <x:c r="E613" s="186" t="str">
        <x:v>SILVER - COMMODITY EXCHANGE INC.</x:v>
      </x:c>
      <x:c r="F613" s="186" t="n">
        <x:v>144370</x:v>
      </x:c>
      <x:c r="G613" s="186" t="n">
        <x:v>3013</x:v>
      </x:c>
      <x:c r="H613" s="186" t="n">
        <x:v>46879</x:v>
      </x:c>
      <x:c r="I613" s="186" t="n">
        <x:f>G613-H613</x:f>
        <x:v>-43866</x:v>
      </x:c>
      <x:c r="J613" s="186" t="n">
        <x:v>34128</x:v>
      </x:c>
      <x:c r="K613" s="186" t="n">
        <x:v>43931</x:v>
      </x:c>
      <x:c r="L613" s="186" t="n">
        <x:f>J613-K613</x:f>
        <x:v>-9803</x:v>
      </x:c>
      <x:c r="M613" s="186" t="n">
        <x:v>50950</x:v>
      </x:c>
      <x:c r="N613" s="186" t="n">
        <x:v>23702</x:v>
      </x:c>
      <x:c r="O613" s="186" t="n">
        <x:f>M613-N613</x:f>
        <x:v>27248</x:v>
      </x:c>
      <x:c r="P613" s="186" t="n">
        <x:v>14063</x:v>
      </x:c>
      <x:c r="Q613" s="186" t="n">
        <x:v>4396</x:v>
      </x:c>
      <x:c r="R613" s="186" t="n">
        <x:f>P613-Q613</x:f>
        <x:v>9667</x:v>
      </x:c>
      <x:c r="S613" s="186" t="n">
        <x:v>28432</x:v>
      </x:c>
      <x:c r="T613" s="186" t="n">
        <x:v>11678</x:v>
      </x:c>
      <x:c r="U613" s="186" t="n">
        <x:f>S613-T613</x:f>
        <x:v>16754</x:v>
      </x:c>
      <x:c r="V613" s="196" t="n">
        <x:f>IFERROR(O613/F613,"")</x:f>
        <x:v>0.18873727228648612</x:v>
      </x:c>
      <x:c r="W613" s="196" t="n">
        <x:f>IFERROR(I613/F613,"")</x:f>
        <x:v>-0.30384428897970495</x:v>
      </x:c>
    </x:row>
    <x:row r="614">
      <x:c r="A614" s="186" t="str">
        <x:v>Gold</x:v>
      </x:c>
      <x:c r="B614" s="187" t="n">
        <x:v>44516</x:v>
      </x:c>
      <x:c r="C614" s="187" t="n">
        <x:v>44519</x:v>
      </x:c>
      <x:c r="D614" s="186" t="str">
        <x:v>088691-GOLD</x:v>
      </x:c>
      <x:c r="E614" s="186" t="str">
        <x:v>GOLD - COMMODITY EXCHANGE INC.</x:v>
      </x:c>
      <x:c r="F614" s="186" t="n">
        <x:v>612612</x:v>
      </x:c>
      <x:c r="G614" s="186" t="n">
        <x:v>17998</x:v>
      </x:c>
      <x:c r="H614" s="186" t="n">
        <x:v>86192</x:v>
      </x:c>
      <x:c r="I614" s="186" t="n">
        <x:f>G614-H614</x:f>
        <x:v>-68194</x:v>
      </x:c>
      <x:c r="J614" s="186" t="n">
        <x:v>68512</x:v>
      </x:c>
      <x:c r="K614" s="186" t="n">
        <x:v>287857</x:v>
      </x:c>
      <x:c r="L614" s="186" t="n">
        <x:f>J614-K614</x:f>
        <x:v>-219345</x:v>
      </x:c>
      <x:c r="M614" s="186" t="n">
        <x:v>185468</x:v>
      </x:c>
      <x:c r="N614" s="186" t="n">
        <x:v>43083</x:v>
      </x:c>
      <x:c r="O614" s="186" t="n">
        <x:f>M614-N614</x:f>
        <x:v>142385</x:v>
      </x:c>
      <x:c r="P614" s="186" t="n">
        <x:v>175061</x:v>
      </x:c>
      <x:c r="Q614" s="186" t="n">
        <x:v>57666</x:v>
      </x:c>
      <x:c r="R614" s="186" t="n">
        <x:f>P614-Q614</x:f>
        <x:v>117395</x:v>
      </x:c>
      <x:c r="S614" s="186" t="n">
        <x:v>52054</x:v>
      </x:c>
      <x:c r="T614" s="186" t="n">
        <x:v>24295</x:v>
      </x:c>
      <x:c r="U614" s="186" t="n">
        <x:f>S614-T614</x:f>
        <x:v>27759</x:v>
      </x:c>
      <x:c r="V614" s="196" t="n">
        <x:f>IFERROR(O614/F614,"")</x:f>
        <x:v>0.2324228059522177</x:v>
      </x:c>
      <x:c r="W614" s="196" t="n">
        <x:f>IFERROR(I614/F614,"")</x:f>
        <x:v>-0.11131678778737603</x:v>
      </x:c>
    </x:row>
    <x:row r="615">
      <x:c r="A615" s="186" t="str">
        <x:v>Silver</x:v>
      </x:c>
      <x:c r="B615" s="187" t="n">
        <x:v>44516</x:v>
      </x:c>
      <x:c r="C615" s="187" t="n">
        <x:v>44519</x:v>
      </x:c>
      <x:c r="D615" s="186" t="str">
        <x:v>084691-SILVER</x:v>
      </x:c>
      <x:c r="E615" s="186" t="str">
        <x:v>SILVER - COMMODITY EXCHANGE INC.</x:v>
      </x:c>
      <x:c r="F615" s="186" t="n">
        <x:v>152404</x:v>
      </x:c>
      <x:c r="G615" s="186" t="n">
        <x:v>2642</x:v>
      </x:c>
      <x:c r="H615" s="186" t="n">
        <x:v>48301</x:v>
      </x:c>
      <x:c r="I615" s="186" t="n">
        <x:f>G615-H615</x:f>
        <x:v>-45659</x:v>
      </x:c>
      <x:c r="J615" s="186" t="n">
        <x:v>27949</x:v>
      </x:c>
      <x:c r="K615" s="186" t="n">
        <x:v>48438</x:v>
      </x:c>
      <x:c r="L615" s="186" t="n">
        <x:f>J615-K615</x:f>
        <x:v>-20489</x:v>
      </x:c>
      <x:c r="M615" s="186" t="n">
        <x:v>59631</x:v>
      </x:c>
      <x:c r="N615" s="186" t="n">
        <x:v>24341</x:v>
      </x:c>
      <x:c r="O615" s="186" t="n">
        <x:f>M615-N615</x:f>
        <x:v>35290</x:v>
      </x:c>
      <x:c r="P615" s="186" t="n">
        <x:v>14313</x:v>
      </x:c>
      <x:c r="Q615" s="186" t="n">
        <x:v>3978</x:v>
      </x:c>
      <x:c r="R615" s="186" t="n">
        <x:f>P615-Q615</x:f>
        <x:v>10335</x:v>
      </x:c>
      <x:c r="S615" s="186" t="n">
        <x:v>31619</x:v>
      </x:c>
      <x:c r="T615" s="186" t="n">
        <x:v>11096</x:v>
      </x:c>
      <x:c r="U615" s="186" t="n">
        <x:f>S615-T615</x:f>
        <x:v>20523</x:v>
      </x:c>
      <x:c r="V615" s="196" t="n">
        <x:f>IFERROR(O615/F615,"")</x:f>
        <x:v>0.23155560221516497</x:v>
      </x:c>
      <x:c r="W615" s="196" t="n">
        <x:f>IFERROR(I615/F615,"")</x:f>
        <x:v>-0.29959187422902284</x:v>
      </x:c>
    </x:row>
    <x:row r="616">
      <x:c r="A616" s="186" t="str">
        <x:v>Gold</x:v>
      </x:c>
      <x:c r="B616" s="187" t="n">
        <x:v>44523</x:v>
      </x:c>
      <x:c r="C616" s="187" t="n">
        <x:v>44526</x:v>
      </x:c>
      <x:c r="D616" s="186" t="str">
        <x:v>088691-GOLD</x:v>
      </x:c>
      <x:c r="E616" s="186" t="str">
        <x:v>GOLD - COMMODITY EXCHANGE INC.</x:v>
      </x:c>
      <x:c r="F616" s="186" t="n">
        <x:v>559823</x:v>
      </x:c>
      <x:c r="G616" s="186" t="n">
        <x:v>14322</x:v>
      </x:c>
      <x:c r="H616" s="186" t="n">
        <x:v>82848</x:v>
      </x:c>
      <x:c r="I616" s="186" t="n">
        <x:f>G616-H616</x:f>
        <x:v>-68526</x:v>
      </x:c>
      <x:c r="J616" s="186" t="n">
        <x:v>67987</x:v>
      </x:c>
      <x:c r="K616" s="186" t="n">
        <x:v>267295</x:v>
      </x:c>
      <x:c r="L616" s="186" t="n">
        <x:f>J616-K616</x:f>
        <x:v>-199308</x:v>
      </x:c>
      <x:c r="M616" s="186" t="n">
        <x:v>152273</x:v>
      </x:c>
      <x:c r="N616" s="186" t="n">
        <x:v>46934</x:v>
      </x:c>
      <x:c r="O616" s="186" t="n">
        <x:f>M616-N616</x:f>
        <x:v>105339</x:v>
      </x:c>
      <x:c r="P616" s="186" t="n">
        <x:v>174136</x:v>
      </x:c>
      <x:c r="Q616" s="186" t="n">
        <x:v>45064</x:v>
      </x:c>
      <x:c r="R616" s="186" t="n">
        <x:f>P616-Q616</x:f>
        <x:v>129072</x:v>
      </x:c>
      <x:c r="S616" s="186" t="n">
        <x:v>55380</x:v>
      </x:c>
      <x:c r="T616" s="186" t="n">
        <x:v>21957</x:v>
      </x:c>
      <x:c r="U616" s="186" t="n">
        <x:f>S616-T616</x:f>
        <x:v>33423</x:v>
      </x:c>
      <x:c r="V616" s="196" t="n">
        <x:f>IFERROR(O616/F616,"")</x:f>
        <x:v>0.1881648306696938</x:v>
      </x:c>
      <x:c r="W616" s="196" t="n">
        <x:f>IFERROR(I616/F616,"")</x:f>
        <x:v>-0.12240654635483</x:v>
      </x:c>
    </x:row>
    <x:row r="617">
      <x:c r="A617" s="186" t="str">
        <x:v>Silver</x:v>
      </x:c>
      <x:c r="B617" s="187" t="n">
        <x:v>44523</x:v>
      </x:c>
      <x:c r="C617" s="187" t="n">
        <x:v>44526</x:v>
      </x:c>
      <x:c r="D617" s="186" t="str">
        <x:v>084691-SILVER</x:v>
      </x:c>
      <x:c r="E617" s="186" t="str">
        <x:v>SILVER - COMMODITY EXCHANGE INC.</x:v>
      </x:c>
      <x:c r="F617" s="186" t="n">
        <x:v>149642</x:v>
      </x:c>
      <x:c r="G617" s="186" t="n">
        <x:v>4283</x:v>
      </x:c>
      <x:c r="H617" s="186" t="n">
        <x:v>48644</x:v>
      </x:c>
      <x:c r="I617" s="186" t="n">
        <x:f>G617-H617</x:f>
        <x:v>-44361</x:v>
      </x:c>
      <x:c r="J617" s="186" t="n">
        <x:v>28325</x:v>
      </x:c>
      <x:c r="K617" s="186" t="n">
        <x:v>40962</x:v>
      </x:c>
      <x:c r="L617" s="186" t="n">
        <x:f>J617-K617</x:f>
        <x:v>-12637</x:v>
      </x:c>
      <x:c r="M617" s="186" t="n">
        <x:v>54714</x:v>
      </x:c>
      <x:c r="N617" s="186" t="n">
        <x:v>24901</x:v>
      </x:c>
      <x:c r="O617" s="186" t="n">
        <x:f>M617-N617</x:f>
        <x:v>29813</x:v>
      </x:c>
      <x:c r="P617" s="186" t="n">
        <x:v>13764</x:v>
      </x:c>
      <x:c r="Q617" s="186" t="n">
        <x:v>3472</x:v>
      </x:c>
      <x:c r="R617" s="186" t="n">
        <x:f>P617-Q617</x:f>
        <x:v>10292</x:v>
      </x:c>
      <x:c r="S617" s="186" t="n">
        <x:v>29715</x:v>
      </x:c>
      <x:c r="T617" s="186" t="n">
        <x:v>12822</x:v>
      </x:c>
      <x:c r="U617" s="186" t="n">
        <x:f>S617-T617</x:f>
        <x:v>16893</x:v>
      </x:c>
      <x:c r="V617" s="196" t="n">
        <x:f>IFERROR(O617/F617,"")</x:f>
        <x:v>0.19922882613170098</x:v>
      </x:c>
      <x:c r="W617" s="196" t="n">
        <x:f>IFERROR(I617/F617,"")</x:f>
        <x:v>-0.2964475214177838</x:v>
      </x:c>
    </x:row>
    <x:row r="618">
      <x:c r="A618" s="186" t="str">
        <x:v>Gold</x:v>
      </x:c>
      <x:c r="B618" s="187" t="n">
        <x:v>44530</x:v>
      </x:c>
      <x:c r="C618" s="187" t="n">
        <x:v>44533</x:v>
      </x:c>
      <x:c r="D618" s="186" t="str">
        <x:v>088691-GOLD</x:v>
      </x:c>
      <x:c r="E618" s="186" t="str">
        <x:v>GOLD - COMMODITY EXCHANGE INC.</x:v>
      </x:c>
      <x:c r="F618" s="186" t="n">
        <x:v>531868</x:v>
      </x:c>
      <x:c r="G618" s="186" t="n">
        <x:v>13584</x:v>
      </x:c>
      <x:c r="H618" s="186" t="n">
        <x:v>67407</x:v>
      </x:c>
      <x:c r="I618" s="186" t="n">
        <x:f>G618-H618</x:f>
        <x:v>-53823</x:v>
      </x:c>
      <x:c r="J618" s="186" t="n">
        <x:v>70183</x:v>
      </x:c>
      <x:c r="K618" s="186" t="n">
        <x:v>274963</x:v>
      </x:c>
      <x:c r="L618" s="186" t="n">
        <x:f>J618-K618</x:f>
        <x:v>-204780</x:v>
      </x:c>
      <x:c r="M618" s="186" t="n">
        <x:v>137469</x:v>
      </x:c>
      <x:c r="N618" s="186" t="n">
        <x:v>45384</x:v>
      </x:c>
      <x:c r="O618" s="186" t="n">
        <x:f>M618-N618</x:f>
        <x:v>92085</x:v>
      </x:c>
      <x:c r="P618" s="186" t="n">
        <x:v>172784</x:v>
      </x:c>
      <x:c r="Q618" s="186" t="n">
        <x:v>39009</x:v>
      </x:c>
      <x:c r="R618" s="186" t="n">
        <x:f>P618-Q618</x:f>
        <x:v>133775</x:v>
      </x:c>
      <x:c r="S618" s="186" t="n">
        <x:v>51657</x:v>
      </x:c>
      <x:c r="T618" s="186" t="n">
        <x:v>18914</x:v>
      </x:c>
      <x:c r="U618" s="186" t="n">
        <x:f>S618-T618</x:f>
        <x:v>32743</x:v>
      </x:c>
      <x:c r="V618" s="196" t="n">
        <x:f>IFERROR(O618/F618,"")</x:f>
        <x:v>0.17313506358720585</x:v>
      </x:c>
      <x:c r="W618" s="196" t="n">
        <x:f>IFERROR(I618/F618,"")</x:f>
        <x:v>-0.10119616145359375</x:v>
      </x:c>
    </x:row>
    <x:row r="619">
      <x:c r="A619" s="186" t="str">
        <x:v>Silver</x:v>
      </x:c>
      <x:c r="B619" s="187" t="n">
        <x:v>44530</x:v>
      </x:c>
      <x:c r="C619" s="187" t="n">
        <x:v>44533</x:v>
      </x:c>
      <x:c r="D619" s="186" t="str">
        <x:v>084691-SILVER</x:v>
      </x:c>
      <x:c r="E619" s="186" t="str">
        <x:v>SILVER - COMMODITY EXCHANGE INC.</x:v>
      </x:c>
      <x:c r="F619" s="186" t="n">
        <x:v>138003</x:v>
      </x:c>
      <x:c r="G619" s="186" t="n">
        <x:v>3915</x:v>
      </x:c>
      <x:c r="H619" s="186" t="n">
        <x:v>44277</x:v>
      </x:c>
      <x:c r="I619" s="186" t="n">
        <x:f>G619-H619</x:f>
        <x:v>-40362</x:v>
      </x:c>
      <x:c r="J619" s="186" t="n">
        <x:v>28569</x:v>
      </x:c>
      <x:c r="K619" s="186" t="n">
        <x:v>40216</x:v>
      </x:c>
      <x:c r="L619" s="186" t="n">
        <x:f>J619-K619</x:f>
        <x:v>-11647</x:v>
      </x:c>
      <x:c r="M619" s="186" t="n">
        <x:v>48877</x:v>
      </x:c>
      <x:c r="N619" s="186" t="n">
        <x:v>21353</x:v>
      </x:c>
      <x:c r="O619" s="186" t="n">
        <x:f>M619-N619</x:f>
        <x:v>27524</x:v>
      </x:c>
      <x:c r="P619" s="186" t="n">
        <x:v>13801</x:v>
      </x:c>
      <x:c r="Q619" s="186" t="n">
        <x:v>2891</x:v>
      </x:c>
      <x:c r="R619" s="186" t="n">
        <x:f>P619-Q619</x:f>
        <x:v>10910</x:v>
      </x:c>
      <x:c r="S619" s="186" t="n">
        <x:v>26184</x:v>
      </x:c>
      <x:c r="T619" s="186" t="n">
        <x:v>12609</x:v>
      </x:c>
      <x:c r="U619" s="186" t="n">
        <x:f>S619-T619</x:f>
        <x:v>13575</x:v>
      </x:c>
      <x:c r="V619" s="196" t="n">
        <x:f>IFERROR(O619/F619,"")</x:f>
        <x:v>0.19944493960276227</x:v>
      </x:c>
      <x:c r="W619" s="196" t="n">
        <x:f>IFERROR(I619/F619,"")</x:f>
        <x:v>-0.29247190278472207</x:v>
      </x:c>
    </x:row>
    <x:row r="620">
      <x:c r="A620" s="186" t="str">
        <x:v>Gold</x:v>
      </x:c>
      <x:c r="B620" s="187" t="n">
        <x:v>44537</x:v>
      </x:c>
      <x:c r="C620" s="187" t="n">
        <x:v>44540</x:v>
      </x:c>
      <x:c r="D620" s="186" t="str">
        <x:v>088691-GOLD</x:v>
      </x:c>
      <x:c r="E620" s="186" t="str">
        <x:v>GOLD - COMMODITY EXCHANGE INC.</x:v>
      </x:c>
      <x:c r="F620" s="186" t="n">
        <x:v>499307</x:v>
      </x:c>
      <x:c r="G620" s="186" t="n">
        <x:v>11713</x:v>
      </x:c>
      <x:c r="H620" s="186" t="n">
        <x:v>65860</x:v>
      </x:c>
      <x:c r="I620" s="186" t="n">
        <x:f>G620-H620</x:f>
        <x:v>-54147</x:v>
      </x:c>
      <x:c r="J620" s="186" t="n">
        <x:v>76290</x:v>
      </x:c>
      <x:c r="K620" s="186" t="n">
        <x:v>267766</x:v>
      </x:c>
      <x:c r="L620" s="186" t="n">
        <x:f>J620-K620</x:f>
        <x:v>-191476</x:v>
      </x:c>
      <x:c r="M620" s="186" t="n">
        <x:v>125067</x:v>
      </x:c>
      <x:c r="N620" s="186" t="n">
        <x:v>44326</x:v>
      </x:c>
      <x:c r="O620" s="186" t="n">
        <x:f>M620-N620</x:f>
        <x:v>80741</x:v>
      </x:c>
      <x:c r="P620" s="186" t="n">
        <x:v>175451</x:v>
      </x:c>
      <x:c r="Q620" s="186" t="n">
        <x:v>39007</x:v>
      </x:c>
      <x:c r="R620" s="186" t="n">
        <x:f>P620-Q620</x:f>
        <x:v>136444</x:v>
      </x:c>
      <x:c r="S620" s="186" t="n">
        <x:v>47358</x:v>
      </x:c>
      <x:c r="T620" s="186" t="n">
        <x:v>18920</x:v>
      </x:c>
      <x:c r="U620" s="186" t="n">
        <x:f>S620-T620</x:f>
        <x:v>28438</x:v>
      </x:c>
      <x:c r="V620" s="196" t="n">
        <x:f>IFERROR(O620/F620,"")</x:f>
        <x:v>0.1617061246888187</x:v>
      </x:c>
      <x:c r="W620" s="196" t="n">
        <x:f>IFERROR(I620/F620,"")</x:f>
        <x:v>-0.10844430380507383</x:v>
      </x:c>
    </x:row>
    <x:row r="621">
      <x:c r="A621" s="186" t="str">
        <x:v>Silver</x:v>
      </x:c>
      <x:c r="B621" s="187" t="n">
        <x:v>44537</x:v>
      </x:c>
      <x:c r="C621" s="187" t="n">
        <x:v>44540</x:v>
      </x:c>
      <x:c r="D621" s="186" t="str">
        <x:v>084691-SILVER</x:v>
      </x:c>
      <x:c r="E621" s="186" t="str">
        <x:v>SILVER - COMMODITY EXCHANGE INC.</x:v>
      </x:c>
      <x:c r="F621" s="186" t="n">
        <x:v>136572</x:v>
      </x:c>
      <x:c r="G621" s="186" t="n">
        <x:v>4490</x:v>
      </x:c>
      <x:c r="H621" s="186" t="n">
        <x:v>43304</x:v>
      </x:c>
      <x:c r="I621" s="186" t="n">
        <x:f>G621-H621</x:f>
        <x:v>-38814</x:v>
      </x:c>
      <x:c r="J621" s="186" t="n">
        <x:v>34003</x:v>
      </x:c>
      <x:c r="K621" s="186" t="n">
        <x:v>38337</x:v>
      </x:c>
      <x:c r="L621" s="186" t="n">
        <x:f>J621-K621</x:f>
        <x:v>-4334</x:v>
      </x:c>
      <x:c r="M621" s="186" t="n">
        <x:v>47419</x:v>
      </x:c>
      <x:c r="N621" s="186" t="n">
        <x:v>29754</x:v>
      </x:c>
      <x:c r="O621" s="186" t="n">
        <x:f>M621-N621</x:f>
        <x:v>17665</x:v>
      </x:c>
      <x:c r="P621" s="186" t="n">
        <x:v>15511</x:v>
      </x:c>
      <x:c r="Q621" s="186" t="n">
        <x:v>3343</x:v>
      </x:c>
      <x:c r="R621" s="186" t="n">
        <x:f>P621-Q621</x:f>
        <x:v>12168</x:v>
      </x:c>
      <x:c r="S621" s="186" t="n">
        <x:v>26328</x:v>
      </x:c>
      <x:c r="T621" s="186" t="n">
        <x:v>13013</x:v>
      </x:c>
      <x:c r="U621" s="186" t="n">
        <x:f>S621-T621</x:f>
        <x:v>13315</x:v>
      </x:c>
      <x:c r="V621" s="196" t="n">
        <x:f>IFERROR(O621/F621,"")</x:f>
        <x:v>0.12934569311425476</x:v>
      </x:c>
      <x:c r="W621" s="196" t="n">
        <x:f>IFERROR(I621/F621,"")</x:f>
        <x:v>-0.28420173974167473</x:v>
      </x:c>
    </x:row>
    <x:row r="622">
      <x:c r="A622" s="186" t="str">
        <x:v>Gold</x:v>
      </x:c>
      <x:c r="B622" s="187" t="n">
        <x:v>44544</x:v>
      </x:c>
      <x:c r="C622" s="187" t="n">
        <x:v>44547</x:v>
      </x:c>
      <x:c r="D622" s="186" t="str">
        <x:v>088691-GOLD</x:v>
      </x:c>
      <x:c r="E622" s="186" t="str">
        <x:v>GOLD - COMMODITY EXCHANGE INC.</x:v>
      </x:c>
      <x:c r="F622" s="186" t="n">
        <x:v>503709</x:v>
      </x:c>
      <x:c r="G622" s="186" t="n">
        <x:v>11823</x:v>
      </x:c>
      <x:c r="H622" s="186" t="n">
        <x:v>63346</x:v>
      </x:c>
      <x:c r="I622" s="186" t="n">
        <x:f>G622-H622</x:f>
        <x:v>-51523</x:v>
      </x:c>
      <x:c r="J622" s="186" t="n">
        <x:v>76488</x:v>
      </x:c>
      <x:c r="K622" s="186" t="n">
        <x:v>256376</x:v>
      </x:c>
      <x:c r="L622" s="186" t="n">
        <x:f>J622-K622</x:f>
        <x:v>-179888</x:v>
      </x:c>
      <x:c r="M622" s="186" t="n">
        <x:v>121492</x:v>
      </x:c>
      <x:c r="N622" s="186" t="n">
        <x:v>58075</x:v>
      </x:c>
      <x:c r="O622" s="186" t="n">
        <x:f>M622-N622</x:f>
        <x:v>63417</x:v>
      </x:c>
      <x:c r="P622" s="186" t="n">
        <x:v>176650</x:v>
      </x:c>
      <x:c r="Q622" s="186" t="n">
        <x:v>37666</x:v>
      </x:c>
      <x:c r="R622" s="186" t="n">
        <x:f>P622-Q622</x:f>
        <x:v>138984</x:v>
      </x:c>
      <x:c r="S622" s="186" t="n">
        <x:v>48697</x:v>
      </x:c>
      <x:c r="T622" s="186" t="n">
        <x:v>19687</x:v>
      </x:c>
      <x:c r="U622" s="186" t="n">
        <x:f>S622-T622</x:f>
        <x:v>29010</x:v>
      </x:c>
      <x:c r="V622" s="196" t="n">
        <x:f>IFERROR(O622/F622,"")</x:f>
        <x:v>0.12590007325658267</x:v>
      </x:c>
      <x:c r="W622" s="196" t="n">
        <x:f>IFERROR(I622/F622,"")</x:f>
        <x:v>-0.1022872333033557</x:v>
      </x:c>
    </x:row>
    <x:row r="623">
      <x:c r="A623" s="186" t="str">
        <x:v>Silver</x:v>
      </x:c>
      <x:c r="B623" s="187" t="n">
        <x:v>44544</x:v>
      </x:c>
      <x:c r="C623" s="187" t="n">
        <x:v>44547</x:v>
      </x:c>
      <x:c r="D623" s="186" t="str">
        <x:v>084691-SILVER</x:v>
      </x:c>
      <x:c r="E623" s="186" t="str">
        <x:v>SILVER - COMMODITY EXCHANGE INC.</x:v>
      </x:c>
      <x:c r="F623" s="186" t="n">
        <x:v>142384</x:v>
      </x:c>
      <x:c r="G623" s="186" t="n">
        <x:v>6477</x:v>
      </x:c>
      <x:c r="H623" s="186" t="n">
        <x:v>41904</x:v>
      </x:c>
      <x:c r="I623" s="186" t="n">
        <x:f>G623-H623</x:f>
        <x:v>-35427</x:v>
      </x:c>
      <x:c r="J623" s="186" t="n">
        <x:v>35755</x:v>
      </x:c>
      <x:c r="K623" s="186" t="n">
        <x:v>36183</x:v>
      </x:c>
      <x:c r="L623" s="186" t="n">
        <x:f>J623-K623</x:f>
        <x:v>-428</x:v>
      </x:c>
      <x:c r="M623" s="186" t="n">
        <x:v>47486</x:v>
      </x:c>
      <x:c r="N623" s="186" t="n">
        <x:v>38281</x:v>
      </x:c>
      <x:c r="O623" s="186" t="n">
        <x:f>M623-N623</x:f>
        <x:v>9205</x:v>
      </x:c>
      <x:c r="P623" s="186" t="n">
        <x:v>16183</x:v>
      </x:c>
      <x:c r="Q623" s="186" t="n">
        <x:v>3404</x:v>
      </x:c>
      <x:c r="R623" s="186" t="n">
        <x:f>P623-Q623</x:f>
        <x:v>12779</x:v>
      </x:c>
      <x:c r="S623" s="186" t="n">
        <x:v>26796</x:v>
      </x:c>
      <x:c r="T623" s="186" t="n">
        <x:v>12925</x:v>
      </x:c>
      <x:c r="U623" s="186" t="n">
        <x:f>S623-T623</x:f>
        <x:v>13871</x:v>
      </x:c>
      <x:c r="V623" s="196" t="n">
        <x:f>IFERROR(O623/F623,"")</x:f>
        <x:v>0.0646491178784133</x:v>
      </x:c>
      <x:c r="W623" s="196" t="n">
        <x:f>IFERROR(I623/F623,"")</x:f>
        <x:v>-0.24881306888414428</x:v>
      </x:c>
    </x:row>
    <x:row r="624">
      <x:c r="A624" s="186" t="str">
        <x:v>Gold</x:v>
      </x:c>
      <x:c r="B624" s="187" t="n">
        <x:v>44551</x:v>
      </x:c>
      <x:c r="C624" s="187" t="n">
        <x:v>44554</x:v>
      </x:c>
      <x:c r="D624" s="186" t="str">
        <x:v>088691-GOLD</x:v>
      </x:c>
      <x:c r="E624" s="186" t="str">
        <x:v>GOLD - COMMODITY EXCHANGE INC.</x:v>
      </x:c>
      <x:c r="F624" s="186" t="n">
        <x:v>500846</x:v>
      </x:c>
      <x:c r="G624" s="186" t="n">
        <x:v>11693</x:v>
      </x:c>
      <x:c r="H624" s="186" t="n">
        <x:v>67486</x:v>
      </x:c>
      <x:c r="I624" s="186" t="n">
        <x:f>G624-H624</x:f>
        <x:v>-55793</x:v>
      </x:c>
      <x:c r="J624" s="186" t="n">
        <x:v>74493</x:v>
      </x:c>
      <x:c r="K624" s="186" t="n">
        <x:v>254729</x:v>
      </x:c>
      <x:c r="L624" s="186" t="n">
        <x:f>J624-K624</x:f>
        <x:v>-180236</x:v>
      </x:c>
      <x:c r="M624" s="186" t="n">
        <x:v>124120</x:v>
      </x:c>
      <x:c r="N624" s="186" t="n">
        <x:v>52372</x:v>
      </x:c>
      <x:c r="O624" s="186" t="n">
        <x:f>M624-N624</x:f>
        <x:v>71748</x:v>
      </x:c>
      <x:c r="P624" s="186" t="n">
        <x:v>172508</x:v>
      </x:c>
      <x:c r="Q624" s="186" t="n">
        <x:v>38445</x:v>
      </x:c>
      <x:c r="R624" s="186" t="n">
        <x:f>P624-Q624</x:f>
        <x:v>134063</x:v>
      </x:c>
      <x:c r="S624" s="186" t="n">
        <x:v>49251</x:v>
      </x:c>
      <x:c r="T624" s="186" t="n">
        <x:v>19033</x:v>
      </x:c>
      <x:c r="U624" s="186" t="n">
        <x:f>S624-T624</x:f>
        <x:v>30218</x:v>
      </x:c>
      <x:c r="V624" s="196" t="n">
        <x:f>IFERROR(O624/F624,"")</x:f>
        <x:v>0.14325361488361693</x:v>
      </x:c>
      <x:c r="W624" s="196" t="n">
        <x:f>IFERROR(I624/F624,"")</x:f>
        <x:v>-0.11139751540393654</x:v>
      </x:c>
    </x:row>
    <x:row r="625">
      <x:c r="A625" s="186" t="str">
        <x:v>Silver</x:v>
      </x:c>
      <x:c r="B625" s="187" t="n">
        <x:v>44551</x:v>
      </x:c>
      <x:c r="C625" s="187" t="n">
        <x:v>44554</x:v>
      </x:c>
      <x:c r="D625" s="186" t="str">
        <x:v>084691-SILVER</x:v>
      </x:c>
      <x:c r="E625" s="186" t="str">
        <x:v>SILVER - COMMODITY EXCHANGE INC.</x:v>
      </x:c>
      <x:c r="F625" s="186" t="n">
        <x:v>141119</x:v>
      </x:c>
      <x:c r="G625" s="186" t="n">
        <x:v>6221</x:v>
      </x:c>
      <x:c r="H625" s="186" t="n">
        <x:v>41047</x:v>
      </x:c>
      <x:c r="I625" s="186" t="n">
        <x:f>G625-H625</x:f>
        <x:v>-34826</x:v>
      </x:c>
      <x:c r="J625" s="186" t="n">
        <x:v>35129</x:v>
      </x:c>
      <x:c r="K625" s="186" t="n">
        <x:v>36702</x:v>
      </x:c>
      <x:c r="L625" s="186" t="n">
        <x:f>J625-K625</x:f>
        <x:v>-1573</x:v>
      </x:c>
      <x:c r="M625" s="186" t="n">
        <x:v>48399</x:v>
      </x:c>
      <x:c r="N625" s="186" t="n">
        <x:v>37741</x:v>
      </x:c>
      <x:c r="O625" s="186" t="n">
        <x:f>M625-N625</x:f>
        <x:v>10658</x:v>
      </x:c>
      <x:c r="P625" s="186" t="n">
        <x:v>13671</x:v>
      </x:c>
      <x:c r="Q625" s="186" t="n">
        <x:v>3403</x:v>
      </x:c>
      <x:c r="R625" s="186" t="n">
        <x:f>P625-Q625</x:f>
        <x:v>10268</x:v>
      </x:c>
      <x:c r="S625" s="186" t="n">
        <x:v>27251</x:v>
      </x:c>
      <x:c r="T625" s="186" t="n">
        <x:v>11778</x:v>
      </x:c>
      <x:c r="U625" s="186" t="n">
        <x:f>S625-T625</x:f>
        <x:v>15473</x:v>
      </x:c>
      <x:c r="V625" s="196" t="n">
        <x:f>IFERROR(O625/F625,"")</x:f>
        <x:v>0.07552491159943027</x:v>
      </x:c>
      <x:c r="W625" s="196" t="n">
        <x:f>IFERROR(I625/F625,"")</x:f>
        <x:v>-0.24678462857588276</x:v>
      </x:c>
    </x:row>
    <x:row r="626">
      <x:c r="A626" s="186" t="str">
        <x:v>Gold</x:v>
      </x:c>
      <x:c r="B626" s="187" t="n">
        <x:v>44558</x:v>
      </x:c>
      <x:c r="C626" s="187" t="n">
        <x:v>44561</x:v>
      </x:c>
      <x:c r="D626" s="186" t="str">
        <x:v>088691-GOLD</x:v>
      </x:c>
      <x:c r="E626" s="186" t="str">
        <x:v>GOLD - COMMODITY EXCHANGE INC.</x:v>
      </x:c>
      <x:c r="F626" s="186" t="n">
        <x:v>508912</x:v>
      </x:c>
      <x:c r="G626" s="186" t="n">
        <x:v>11047</x:v>
      </x:c>
      <x:c r="H626" s="186" t="n">
        <x:v>69200</x:v>
      </x:c>
      <x:c r="I626" s="186" t="n">
        <x:f>G626-H626</x:f>
        <x:v>-58153</x:v>
      </x:c>
      <x:c r="J626" s="186" t="n">
        <x:v>74017</x:v>
      </x:c>
      <x:c r="K626" s="186" t="n">
        <x:v>261528</x:v>
      </x:c>
      <x:c r="L626" s="186" t="n">
        <x:f>J626-K626</x:f>
        <x:v>-187511</x:v>
      </x:c>
      <x:c r="M626" s="186" t="n">
        <x:v>130389</x:v>
      </x:c>
      <x:c r="N626" s="186" t="n">
        <x:v>46726</x:v>
      </x:c>
      <x:c r="O626" s="186" t="n">
        <x:f>M626-N626</x:f>
        <x:v>83663</x:v>
      </x:c>
      <x:c r="P626" s="186" t="n">
        <x:v>173490</x:v>
      </x:c>
      <x:c r="Q626" s="186" t="n">
        <x:v>43997</x:v>
      </x:c>
      <x:c r="R626" s="186" t="n">
        <x:f>P626-Q626</x:f>
        <x:v>129493</x:v>
      </x:c>
      <x:c r="S626" s="186" t="n">
        <x:v>51121</x:v>
      </x:c>
      <x:c r="T626" s="186" t="n">
        <x:v>18613</x:v>
      </x:c>
      <x:c r="U626" s="186" t="n">
        <x:f>S626-T626</x:f>
        <x:v>32508</x:v>
      </x:c>
      <x:c r="V626" s="196" t="n">
        <x:f>IFERROR(O626/F626,"")</x:f>
        <x:v>0.16439580909862608</x:v>
      </x:c>
      <x:c r="W626" s="196" t="n">
        <x:f>IFERROR(I626/F626,"")</x:f>
        <x:v>-0.1142692646272833</x:v>
      </x:c>
    </x:row>
    <x:row r="627">
      <x:c r="A627" s="186" t="str">
        <x:v>Silver</x:v>
      </x:c>
      <x:c r="B627" s="187" t="n">
        <x:v>44558</x:v>
      </x:c>
      <x:c r="C627" s="187" t="n">
        <x:v>44561</x:v>
      </x:c>
      <x:c r="D627" s="186" t="str">
        <x:v>084691-SILVER</x:v>
      </x:c>
      <x:c r="E627" s="186" t="str">
        <x:v>SILVER - COMMODITY EXCHANGE INC.</x:v>
      </x:c>
      <x:c r="F627" s="186" t="n">
        <x:v>141246</x:v>
      </x:c>
      <x:c r="G627" s="186" t="n">
        <x:v>6018</x:v>
      </x:c>
      <x:c r="H627" s="186" t="n">
        <x:v>42440</x:v>
      </x:c>
      <x:c r="I627" s="186" t="n">
        <x:f>G627-H627</x:f>
        <x:v>-36422</x:v>
      </x:c>
      <x:c r="J627" s="186" t="n">
        <x:v>34074</x:v>
      </x:c>
      <x:c r="K627" s="186" t="n">
        <x:v>39580</x:v>
      </x:c>
      <x:c r="L627" s="186" t="n">
        <x:f>J627-K627</x:f>
        <x:v>-5506</x:v>
      </x:c>
      <x:c r="M627" s="186" t="n">
        <x:v>50454</x:v>
      </x:c>
      <x:c r="N627" s="186" t="n">
        <x:v>33008</x:v>
      </x:c>
      <x:c r="O627" s="186" t="n">
        <x:f>M627-N627</x:f>
        <x:v>17446</x:v>
      </x:c>
      <x:c r="P627" s="186" t="n">
        <x:v>13419</x:v>
      </x:c>
      <x:c r="Q627" s="186" t="n">
        <x:v>4407</x:v>
      </x:c>
      <x:c r="R627" s="186" t="n">
        <x:f>P627-Q627</x:f>
        <x:v>9012</x:v>
      </x:c>
      <x:c r="S627" s="186" t="n">
        <x:v>26850</x:v>
      </x:c>
      <x:c r="T627" s="186" t="n">
        <x:v>11380</x:v>
      </x:c>
      <x:c r="U627" s="186" t="n">
        <x:f>S627-T627</x:f>
        <x:v>15470</x:v>
      </x:c>
      <x:c r="V627" s="196" t="n">
        <x:f>IFERROR(O627/F627,"")</x:f>
        <x:v>0.12351500219475242</x:v>
      </x:c>
      <x:c r="W627" s="196" t="n">
        <x:f>IFERROR(I627/F627,"")</x:f>
        <x:v>-0.2578621695481642</x:v>
      </x:c>
    </x:row>
    <x:row r="628">
      <x:c r="A628" s="186" t="str">
        <x:v>Gold</x:v>
      </x:c>
      <x:c r="B628" s="187" t="n">
        <x:v>44565</x:v>
      </x:c>
      <x:c r="C628" s="187" t="n">
        <x:v>44568</x:v>
      </x:c>
      <x:c r="D628" s="186" t="str">
        <x:v>088691-GOLD</x:v>
      </x:c>
      <x:c r="E628" s="186" t="str">
        <x:v>GOLD - COMMODITY EXCHANGE INC.</x:v>
      </x:c>
      <x:c r="F628" s="186" t="n">
        <x:v>502717</x:v>
      </x:c>
      <x:c r="G628" s="186" t="n">
        <x:v>11574</x:v>
      </x:c>
      <x:c r="H628" s="186" t="n">
        <x:v>65049</x:v>
      </x:c>
      <x:c r="I628" s="186" t="n">
        <x:f>G628-H628</x:f>
        <x:v>-53475</x:v>
      </x:c>
      <x:c r="J628" s="186" t="n">
        <x:v>74428</x:v>
      </x:c>
      <x:c r="K628" s="186" t="n">
        <x:v>258411</x:v>
      </x:c>
      <x:c r="L628" s="186" t="n">
        <x:f>J628-K628</x:f>
        <x:v>-183983</x:v>
      </x:c>
      <x:c r="M628" s="186" t="n">
        <x:v>124252</x:v>
      </x:c>
      <x:c r="N628" s="186" t="n">
        <x:v>44744</x:v>
      </x:c>
      <x:c r="O628" s="186" t="n">
        <x:f>M628-N628</x:f>
        <x:v>79508</x:v>
      </x:c>
      <x:c r="P628" s="186" t="n">
        <x:v>172331</x:v>
      </x:c>
      <x:c r="Q628" s="186" t="n">
        <x:v>40484</x:v>
      </x:c>
      <x:c r="R628" s="186" t="n">
        <x:f>P628-Q628</x:f>
        <x:v>131847</x:v>
      </x:c>
      <x:c r="S628" s="186" t="n">
        <x:v>45400</x:v>
      </x:c>
      <x:c r="T628" s="186" t="n">
        <x:v>19297</x:v>
      </x:c>
      <x:c r="U628" s="186" t="n">
        <x:f>S628-T628</x:f>
        <x:v>26103</x:v>
      </x:c>
      <x:c r="V628" s="196" t="n">
        <x:f>IFERROR(O628/F628,"")</x:f>
        <x:v>0.15815657715971412</x:v>
      </x:c>
      <x:c r="W628" s="196" t="n">
        <x:f>IFERROR(I628/F628,"")</x:f>
        <x:v>-0.10637197468953706</x:v>
      </x:c>
    </x:row>
    <x:row r="629">
      <x:c r="A629" s="186" t="str">
        <x:v>Silver</x:v>
      </x:c>
      <x:c r="B629" s="187" t="n">
        <x:v>44565</x:v>
      </x:c>
      <x:c r="C629" s="187" t="n">
        <x:v>44568</x:v>
      </x:c>
      <x:c r="D629" s="186" t="str">
        <x:v>084691-SILVER</x:v>
      </x:c>
      <x:c r="E629" s="186" t="str">
        <x:v>SILVER - COMMODITY EXCHANGE INC.</x:v>
      </x:c>
      <x:c r="F629" s="186" t="n">
        <x:v>139521</x:v>
      </x:c>
      <x:c r="G629" s="186" t="n">
        <x:v>5466</x:v>
      </x:c>
      <x:c r="H629" s="186" t="n">
        <x:v>43248</x:v>
      </x:c>
      <x:c r="I629" s="186" t="n">
        <x:f>G629-H629</x:f>
        <x:v>-37782</x:v>
      </x:c>
      <x:c r="J629" s="186" t="n">
        <x:v>33430</x:v>
      </x:c>
      <x:c r="K629" s="186" t="n">
        <x:v>39621</x:v>
      </x:c>
      <x:c r="L629" s="186" t="n">
        <x:f>J629-K629</x:f>
        <x:v>-6191</x:v>
      </x:c>
      <x:c r="M629" s="186" t="n">
        <x:v>51595</x:v>
      </x:c>
      <x:c r="N629" s="186" t="n">
        <x:v>29818</x:v>
      </x:c>
      <x:c r="O629" s="186" t="n">
        <x:f>M629-N629</x:f>
        <x:v>21777</x:v>
      </x:c>
      <x:c r="P629" s="186" t="n">
        <x:v>13513</x:v>
      </x:c>
      <x:c r="Q629" s="186" t="n">
        <x:v>4371</x:v>
      </x:c>
      <x:c r="R629" s="186" t="n">
        <x:f>P629-Q629</x:f>
        <x:v>9142</x:v>
      </x:c>
      <x:c r="S629" s="186" t="n">
        <x:v>25396</x:v>
      </x:c>
      <x:c r="T629" s="186" t="n">
        <x:v>12342</x:v>
      </x:c>
      <x:c r="U629" s="186" t="n">
        <x:f>S629-T629</x:f>
        <x:v>13054</x:v>
      </x:c>
      <x:c r="V629" s="196" t="n">
        <x:f>IFERROR(O629/F629,"")</x:f>
        <x:v>0.15608403036102092</x:v>
      </x:c>
      <x:c r="W629" s="196" t="n">
        <x:f>IFERROR(I629/F629,"")</x:f>
        <x:v>-0.27079794439546734</x:v>
      </x:c>
    </x:row>
    <x:row r="630">
      <x:c r="A630" s="186" t="str">
        <x:v>Gold</x:v>
      </x:c>
      <x:c r="B630" s="187" t="n">
        <x:v>44572</x:v>
      </x:c>
      <x:c r="C630" s="187" t="n">
        <x:v>44575</x:v>
      </x:c>
      <x:c r="D630" s="186" t="str">
        <x:v>088691-GOLD</x:v>
      </x:c>
      <x:c r="E630" s="186" t="str">
        <x:v>GOLD - COMMODITY EXCHANGE INC.</x:v>
      </x:c>
      <x:c r="F630" s="186" t="n">
        <x:v>546516</x:v>
      </x:c>
      <x:c r="G630" s="186" t="n">
        <x:v>15004</x:v>
      </x:c>
      <x:c r="H630" s="186" t="n">
        <x:v>65710</x:v>
      </x:c>
      <x:c r="I630" s="186" t="n">
        <x:f>G630-H630</x:f>
        <x:v>-50706</x:v>
      </x:c>
      <x:c r="J630" s="186" t="n">
        <x:v>81976</x:v>
      </x:c>
      <x:c r="K630" s="186" t="n">
        <x:v>256343</x:v>
      </x:c>
      <x:c r="L630" s="186" t="n">
        <x:f>J630-K630</x:f>
        <x:v>-174367</x:v>
      </x:c>
      <x:c r="M630" s="186" t="n">
        <x:v>119297</x:v>
      </x:c>
      <x:c r="N630" s="186" t="n">
        <x:v>44987</x:v>
      </x:c>
      <x:c r="O630" s="186" t="n">
        <x:f>M630-N630</x:f>
        <x:v>74310</x:v>
      </x:c>
      <x:c r="P630" s="186" t="n">
        <x:v>170805</x:v>
      </x:c>
      <x:c r="Q630" s="186" t="n">
        <x:v>45378</x:v>
      </x:c>
      <x:c r="R630" s="186" t="n">
        <x:f>P630-Q630</x:f>
        <x:v>125427</x:v>
      </x:c>
      <x:c r="S630" s="186" t="n">
        <x:v>48323</x:v>
      </x:c>
      <x:c r="T630" s="186" t="n">
        <x:v>22987</x:v>
      </x:c>
      <x:c r="U630" s="186" t="n">
        <x:f>S630-T630</x:f>
        <x:v>25336</x:v>
      </x:c>
      <x:c r="V630" s="196" t="n">
        <x:f>IFERROR(O630/F630,"")</x:f>
        <x:v>0.13597040159848933</x:v>
      </x:c>
      <x:c r="W630" s="196" t="n">
        <x:f>IFERROR(I630/F630,"")</x:f>
        <x:v>-0.09278044924576774</x:v>
      </x:c>
    </x:row>
    <x:row r="631">
      <x:c r="A631" s="186" t="str">
        <x:v>Silver</x:v>
      </x:c>
      <x:c r="B631" s="187" t="n">
        <x:v>44572</x:v>
      </x:c>
      <x:c r="C631" s="187" t="n">
        <x:v>44575</x:v>
      </x:c>
      <x:c r="D631" s="186" t="str">
        <x:v>084691-SILVER</x:v>
      </x:c>
      <x:c r="E631" s="186" t="str">
        <x:v>SILVER - COMMODITY EXCHANGE INC.</x:v>
      </x:c>
      <x:c r="F631" s="186" t="n">
        <x:v>144442</x:v>
      </x:c>
      <x:c r="G631" s="186" t="n">
        <x:v>5749</x:v>
      </x:c>
      <x:c r="H631" s="186" t="n">
        <x:v>43334</x:v>
      </x:c>
      <x:c r="I631" s="186" t="n">
        <x:f>G631-H631</x:f>
        <x:v>-37585</x:v>
      </x:c>
      <x:c r="J631" s="186" t="n">
        <x:v>39120</x:v>
      </x:c>
      <x:c r="K631" s="186" t="n">
        <x:v>38895</x:v>
      </x:c>
      <x:c r="L631" s="186" t="n">
        <x:f>J631-K631</x:f>
        <x:v>225</x:v>
      </x:c>
      <x:c r="M631" s="186" t="n">
        <x:v>50316</x:v>
      </x:c>
      <x:c r="N631" s="186" t="n">
        <x:v>32514</x:v>
      </x:c>
      <x:c r="O631" s="186" t="n">
        <x:f>M631-N631</x:f>
        <x:v>17802</x:v>
      </x:c>
      <x:c r="P631" s="186" t="n">
        <x:v>15877</x:v>
      </x:c>
      <x:c r="Q631" s="186" t="n">
        <x:v>6131</x:v>
      </x:c>
      <x:c r="R631" s="186" t="n">
        <x:f>P631-Q631</x:f>
        <x:v>9746</x:v>
      </x:c>
      <x:c r="S631" s="186" t="n">
        <x:v>23703</x:v>
      </x:c>
      <x:c r="T631" s="186" t="n">
        <x:v>13891</x:v>
      </x:c>
      <x:c r="U631" s="186" t="n">
        <x:f>S631-T631</x:f>
        <x:v>9812</x:v>
      </x:c>
      <x:c r="V631" s="196" t="n">
        <x:f>IFERROR(O631/F631,"")</x:f>
        <x:v>0.12324670109801858</x:v>
      </x:c>
      <x:c r="W631" s="196" t="n">
        <x:f>IFERROR(I631/F631,"")</x:f>
        <x:v>-0.2602082496780715</x:v>
      </x:c>
    </x:row>
    <x:row r="632">
      <x:c r="A632" s="186" t="str">
        <x:v>Gold</x:v>
      </x:c>
      <x:c r="B632" s="187" t="n">
        <x:v>44579</x:v>
      </x:c>
      <x:c r="C632" s="187" t="n">
        <x:v>44582</x:v>
      </x:c>
      <x:c r="D632" s="186" t="str">
        <x:v>088691-GOLD</x:v>
      </x:c>
      <x:c r="E632" s="186" t="str">
        <x:v>GOLD - COMMODITY EXCHANGE INC.</x:v>
      </x:c>
      <x:c r="F632" s="186" t="n">
        <x:v>539204</x:v>
      </x:c>
      <x:c r="G632" s="186" t="n">
        <x:v>19188</x:v>
      </x:c>
      <x:c r="H632" s="186" t="n">
        <x:v>70150</x:v>
      </x:c>
      <x:c r="I632" s="186" t="n">
        <x:f>G632-H632</x:f>
        <x:v>-50962</x:v>
      </x:c>
      <x:c r="J632" s="186" t="n">
        <x:v>87223</x:v>
      </x:c>
      <x:c r="K632" s="186" t="n">
        <x:v>257329</x:v>
      </x:c>
      <x:c r="L632" s="186" t="n">
        <x:f>J632-K632</x:f>
        <x:v>-170106</x:v>
      </x:c>
      <x:c r="M632" s="186" t="n">
        <x:v>119807</x:v>
      </x:c>
      <x:c r="N632" s="186" t="n">
        <x:v>48014</x:v>
      </x:c>
      <x:c r="O632" s="186" t="n">
        <x:f>M632-N632</x:f>
        <x:v>71793</x:v>
      </x:c>
      <x:c r="P632" s="186" t="n">
        <x:v>170721</x:v>
      </x:c>
      <x:c r="Q632" s="186" t="n">
        <x:v>48307</x:v>
      </x:c>
      <x:c r="R632" s="186" t="n">
        <x:f>P632-Q632</x:f>
        <x:v>122414</x:v>
      </x:c>
      <x:c r="S632" s="186" t="n">
        <x:v>46978</x:v>
      </x:c>
      <x:c r="T632" s="186" t="n">
        <x:v>20117</x:v>
      </x:c>
      <x:c r="U632" s="186" t="n">
        <x:f>S632-T632</x:f>
        <x:v>26861</x:v>
      </x:c>
      <x:c r="V632" s="196" t="n">
        <x:f>IFERROR(O632/F632,"")</x:f>
        <x:v>0.13314626746092387</x:v>
      </x:c>
      <x:c r="W632" s="196" t="n">
        <x:f>IFERROR(I632/F632,"")</x:f>
        <x:v>-0.09451339381755328</x:v>
      </x:c>
    </x:row>
    <x:row r="633">
      <x:c r="A633" s="186" t="str">
        <x:v>Silver</x:v>
      </x:c>
      <x:c r="B633" s="187" t="n">
        <x:v>44579</x:v>
      </x:c>
      <x:c r="C633" s="187" t="n">
        <x:v>44582</x:v>
      </x:c>
      <x:c r="D633" s="186" t="str">
        <x:v>084691-SILVER</x:v>
      </x:c>
      <x:c r="E633" s="186" t="str">
        <x:v>SILVER - COMMODITY EXCHANGE INC.</x:v>
      </x:c>
      <x:c r="F633" s="186" t="n">
        <x:v>148737</x:v>
      </x:c>
      <x:c r="G633" s="186" t="n">
        <x:v>5561</x:v>
      </x:c>
      <x:c r="H633" s="186" t="n">
        <x:v>47992</x:v>
      </x:c>
      <x:c r="I633" s="186" t="n">
        <x:f>G633-H633</x:f>
        <x:v>-42431</x:v>
      </x:c>
      <x:c r="J633" s="186" t="n">
        <x:v>42420</x:v>
      </x:c>
      <x:c r="K633" s="186" t="n">
        <x:v>41529</x:v>
      </x:c>
      <x:c r="L633" s="186" t="n">
        <x:f>J633-K633</x:f>
        <x:v>891</x:v>
      </x:c>
      <x:c r="M633" s="186" t="n">
        <x:v>53143</x:v>
      </x:c>
      <x:c r="N633" s="186" t="n">
        <x:v>29427</x:v>
      </x:c>
      <x:c r="O633" s="186" t="n">
        <x:f>M633-N633</x:f>
        <x:v>23716</x:v>
      </x:c>
      <x:c r="P633" s="186" t="n">
        <x:v>12842</x:v>
      </x:c>
      <x:c r="Q633" s="186" t="n">
        <x:v>6858</x:v>
      </x:c>
      <x:c r="R633" s="186" t="n">
        <x:f>P633-Q633</x:f>
        <x:v>5984</x:v>
      </x:c>
      <x:c r="S633" s="186" t="n">
        <x:v>24763</x:v>
      </x:c>
      <x:c r="T633" s="186" t="n">
        <x:v>12923</x:v>
      </x:c>
      <x:c r="U633" s="186" t="n">
        <x:f>S633-T633</x:f>
        <x:v>11840</x:v>
      </x:c>
      <x:c r="V633" s="196" t="n">
        <x:f>IFERROR(O633/F633,"")</x:f>
        <x:v>0.15944922917633136</x:v>
      </x:c>
      <x:c r="W633" s="196" t="n">
        <x:f>IFERROR(I633/F633,"")</x:f>
        <x:v>-0.28527535179545105</x:v>
      </x:c>
    </x:row>
    <x:row r="634">
      <x:c r="A634" s="186" t="str">
        <x:v>Gold</x:v>
      </x:c>
      <x:c r="B634" s="187" t="n">
        <x:v>44586</x:v>
      </x:c>
      <x:c r="C634" s="187" t="n">
        <x:v>44589</x:v>
      </x:c>
      <x:c r="D634" s="186" t="str">
        <x:v>088691-GOLD</x:v>
      </x:c>
      <x:c r="E634" s="186" t="str">
        <x:v>GOLD - COMMODITY EXCHANGE INC.</x:v>
      </x:c>
      <x:c r="F634" s="186" t="n">
        <x:v>572078</x:v>
      </x:c>
      <x:c r="G634" s="186" t="n">
        <x:v>13494</x:v>
      </x:c>
      <x:c r="H634" s="186" t="n">
        <x:v>79264</x:v>
      </x:c>
      <x:c r="I634" s="186" t="n">
        <x:f>G634-H634</x:f>
        <x:v>-65770</x:v>
      </x:c>
      <x:c r="J634" s="186" t="n">
        <x:v>86207</x:v>
      </x:c>
      <x:c r="K634" s="186" t="n">
        <x:v>270183</x:v>
      </x:c>
      <x:c r="L634" s="186" t="n">
        <x:f>J634-K634</x:f>
        <x:v>-183976</x:v>
      </x:c>
      <x:c r="M634" s="186" t="n">
        <x:v>140640</x:v>
      </x:c>
      <x:c r="N634" s="186" t="n">
        <x:v>39265</x:v>
      </x:c>
      <x:c r="O634" s="186" t="n">
        <x:f>M634-N634</x:f>
        <x:v>101375</x:v>
      </x:c>
      <x:c r="P634" s="186" t="n">
        <x:v>172775</x:v>
      </x:c>
      <x:c r="Q634" s="186" t="n">
        <x:v>53999</x:v>
      </x:c>
      <x:c r="R634" s="186" t="n">
        <x:f>P634-Q634</x:f>
        <x:v>118776</x:v>
      </x:c>
      <x:c r="S634" s="186" t="n">
        <x:v>50669</x:v>
      </x:c>
      <x:c r="T634" s="186" t="n">
        <x:v>21074</x:v>
      </x:c>
      <x:c r="U634" s="186" t="n">
        <x:f>S634-T634</x:f>
        <x:v>29595</x:v>
      </x:c>
      <x:c r="V634" s="196" t="n">
        <x:f>IFERROR(O634/F634,"")</x:f>
        <x:v>0.17720485668038274</x:v>
      </x:c>
      <x:c r="W634" s="196" t="n">
        <x:f>IFERROR(I634/F634,"")</x:f>
        <x:v>-0.11496684018612846</x:v>
      </x:c>
    </x:row>
    <x:row r="635">
      <x:c r="A635" s="186" t="str">
        <x:v>Silver</x:v>
      </x:c>
      <x:c r="B635" s="187" t="n">
        <x:v>44586</x:v>
      </x:c>
      <x:c r="C635" s="187" t="n">
        <x:v>44589</x:v>
      </x:c>
      <x:c r="D635" s="186" t="str">
        <x:v>084691-SILVER</x:v>
      </x:c>
      <x:c r="E635" s="186" t="str">
        <x:v>SILVER - COMMODITY EXCHANGE INC.</x:v>
      </x:c>
      <x:c r="F635" s="186" t="n">
        <x:v>151779</x:v>
      </x:c>
      <x:c r="G635" s="186" t="n">
        <x:v>5207</x:v>
      </x:c>
      <x:c r="H635" s="186" t="n">
        <x:v>49276</x:v>
      </x:c>
      <x:c r="I635" s="186" t="n">
        <x:f>G635-H635</x:f>
        <x:v>-44069</x:v>
      </x:c>
      <x:c r="J635" s="186" t="n">
        <x:v>41837</x:v>
      </x:c>
      <x:c r="K635" s="186" t="n">
        <x:v>45452</x:v>
      </x:c>
      <x:c r="L635" s="186" t="n">
        <x:f>J635-K635</x:f>
        <x:v>-3615</x:v>
      </x:c>
      <x:c r="M635" s="186" t="n">
        <x:v>51622</x:v>
      </x:c>
      <x:c r="N635" s="186" t="n">
        <x:v>24203</x:v>
      </x:c>
      <x:c r="O635" s="186" t="n">
        <x:f>M635-N635</x:f>
        <x:v>27419</x:v>
      </x:c>
      <x:c r="P635" s="186" t="n">
        <x:v>12301</x:v>
      </x:c>
      <x:c r="Q635" s="186" t="n">
        <x:v>7579</x:v>
      </x:c>
      <x:c r="R635" s="186" t="n">
        <x:f>P635-Q635</x:f>
        <x:v>4722</x:v>
      </x:c>
      <x:c r="S635" s="186" t="n">
        <x:v>28132</x:v>
      </x:c>
      <x:c r="T635" s="186" t="n">
        <x:v>12589</x:v>
      </x:c>
      <x:c r="U635" s="186" t="n">
        <x:f>S635-T635</x:f>
        <x:v>15543</x:v>
      </x:c>
      <x:c r="V635" s="196" t="n">
        <x:f>IFERROR(O635/F635,"")</x:f>
        <x:v>0.18065081467133134</x:v>
      </x:c>
      <x:c r="W635" s="196" t="n">
        <x:f>IFERROR(I635/F635,"")</x:f>
        <x:v>-0.29034978488460195</x:v>
      </x:c>
    </x:row>
    <x:row r="636">
      <x:c r="A636" s="186" t="str">
        <x:v>Gold</x:v>
      </x:c>
      <x:c r="B636" s="187" t="n">
        <x:v>44593</x:v>
      </x:c>
      <x:c r="C636" s="187" t="n">
        <x:v>44596</x:v>
      </x:c>
      <x:c r="D636" s="186" t="str">
        <x:v>088691-GOLD</x:v>
      </x:c>
      <x:c r="E636" s="186" t="str">
        <x:v>GOLD - COMMODITY EXCHANGE INC.</x:v>
      </x:c>
      <x:c r="F636" s="186" t="n">
        <x:v>515331</x:v>
      </x:c>
      <x:c r="G636" s="186" t="n">
        <x:v>13294</x:v>
      </x:c>
      <x:c r="H636" s="186" t="n">
        <x:v>65627</x:v>
      </x:c>
      <x:c r="I636" s="186" t="n">
        <x:f>G636-H636</x:f>
        <x:v>-52333</x:v>
      </x:c>
      <x:c r="J636" s="186" t="n">
        <x:v>95639</x:v>
      </x:c>
      <x:c r="K636" s="186" t="n">
        <x:v>244648</x:v>
      </x:c>
      <x:c r="L636" s="186" t="n">
        <x:f>J636-K636</x:f>
        <x:v>-149009</x:v>
      </x:c>
      <x:c r="M636" s="186" t="n">
        <x:v>108309</x:v>
      </x:c>
      <x:c r="N636" s="186" t="n">
        <x:v>58395</x:v>
      </x:c>
      <x:c r="O636" s="186" t="n">
        <x:f>M636-N636</x:f>
        <x:v>49914</x:v>
      </x:c>
      <x:c r="P636" s="186" t="n">
        <x:v>167685</x:v>
      </x:c>
      <x:c r="Q636" s="186" t="n">
        <x:v>45457</x:v>
      </x:c>
      <x:c r="R636" s="186" t="n">
        <x:f>P636-Q636</x:f>
        <x:v>122228</x:v>
      </x:c>
      <x:c r="S636" s="186" t="n">
        <x:v>46819</x:v>
      </x:c>
      <x:c r="T636" s="186" t="n">
        <x:v>17619</x:v>
      </x:c>
      <x:c r="U636" s="186" t="n">
        <x:f>S636-T636</x:f>
        <x:v>29200</x:v>
      </x:c>
      <x:c r="V636" s="196" t="n">
        <x:f>IFERROR(O636/F636,"")</x:f>
        <x:v>0.09685813583890741</x:v>
      </x:c>
      <x:c r="W636" s="196" t="n">
        <x:f>IFERROR(I636/F636,"")</x:f>
        <x:v>-0.10155220625190411</x:v>
      </x:c>
    </x:row>
    <x:row r="637">
      <x:c r="A637" s="186" t="str">
        <x:v>Silver</x:v>
      </x:c>
      <x:c r="B637" s="187" t="n">
        <x:v>44593</x:v>
      </x:c>
      <x:c r="C637" s="187" t="n">
        <x:v>44596</x:v>
      </x:c>
      <x:c r="D637" s="186" t="str">
        <x:v>084691-SILVER</x:v>
      </x:c>
      <x:c r="E637" s="186" t="str">
        <x:v>SILVER - COMMODITY EXCHANGE INC.</x:v>
      </x:c>
      <x:c r="F637" s="186" t="n">
        <x:v>149136</x:v>
      </x:c>
      <x:c r="G637" s="186" t="n">
        <x:v>6738</x:v>
      </x:c>
      <x:c r="H637" s="186" t="n">
        <x:v>44913</x:v>
      </x:c>
      <x:c r="I637" s="186" t="n">
        <x:f>G637-H637</x:f>
        <x:v>-38175</x:v>
      </x:c>
      <x:c r="J637" s="186" t="n">
        <x:v>42714</x:v>
      </x:c>
      <x:c r="K637" s="186" t="n">
        <x:v>39802</x:v>
      </x:c>
      <x:c r="L637" s="186" t="n">
        <x:f>J637-K637</x:f>
        <x:v>2912</x:v>
      </x:c>
      <x:c r="M637" s="186" t="n">
        <x:v>46101</x:v>
      </x:c>
      <x:c r="N637" s="186" t="n">
        <x:v>34142</x:v>
      </x:c>
      <x:c r="O637" s="186" t="n">
        <x:f>M637-N637</x:f>
        <x:v>11959</x:v>
      </x:c>
      <x:c r="P637" s="186" t="n">
        <x:v>14622</x:v>
      </x:c>
      <x:c r="Q637" s="186" t="n">
        <x:v>4463</x:v>
      </x:c>
      <x:c r="R637" s="186" t="n">
        <x:f>P637-Q637</x:f>
        <x:v>10159</x:v>
      </x:c>
      <x:c r="S637" s="186" t="n">
        <x:v>24681</x:v>
      </x:c>
      <x:c r="T637" s="186" t="n">
        <x:v>11536</x:v>
      </x:c>
      <x:c r="U637" s="186" t="n">
        <x:f>S637-T637</x:f>
        <x:v>13145</x:v>
      </x:c>
      <x:c r="V637" s="196" t="n">
        <x:f>IFERROR(O637/F637,"")</x:f>
        <x:v>0.08018855273039373</x:v>
      </x:c>
      <x:c r="W637" s="196" t="n">
        <x:f>IFERROR(I637/F637,"")</x:f>
        <x:v>-0.25597441261667203</x:v>
      </x:c>
    </x:row>
    <x:row r="638">
      <x:c r="A638" s="186" t="str">
        <x:v>Gold</x:v>
      </x:c>
      <x:c r="B638" s="187" t="n">
        <x:v>44600</x:v>
      </x:c>
      <x:c r="C638" s="187" t="n">
        <x:v>44603</x:v>
      </x:c>
      <x:c r="D638" s="186" t="str">
        <x:v>088691-GOLD</x:v>
      </x:c>
      <x:c r="E638" s="186" t="str">
        <x:v>GOLD - COMMODITY EXCHANGE INC.</x:v>
      </x:c>
      <x:c r="F638" s="186" t="n">
        <x:v>512842</x:v>
      </x:c>
      <x:c r="G638" s="186" t="n">
        <x:v>12653</x:v>
      </x:c>
      <x:c r="H638" s="186" t="n">
        <x:v>66144</x:v>
      </x:c>
      <x:c r="I638" s="186" t="n">
        <x:f>G638-H638</x:f>
        <x:v>-53491</x:v>
      </x:c>
      <x:c r="J638" s="186" t="n">
        <x:v>97101</x:v>
      </x:c>
      <x:c r="K638" s="186" t="n">
        <x:v>255044</x:v>
      </x:c>
      <x:c r="L638" s="186" t="n">
        <x:f>J638-K638</x:f>
        <x:v>-157943</x:v>
      </x:c>
      <x:c r="M638" s="186" t="n">
        <x:v>117234</x:v>
      </x:c>
      <x:c r="N638" s="186" t="n">
        <x:v>47767</x:v>
      </x:c>
      <x:c r="O638" s="186" t="n">
        <x:f>M638-N638</x:f>
        <x:v>69467</x:v>
      </x:c>
      <x:c r="P638" s="186" t="n">
        <x:v>162325</x:v>
      </x:c>
      <x:c r="Q638" s="186" t="n">
        <x:v>45086</x:v>
      </x:c>
      <x:c r="R638" s="186" t="n">
        <x:f>P638-Q638</x:f>
        <x:v>117239</x:v>
      </x:c>
      <x:c r="S638" s="186" t="n">
        <x:v>44869</x:v>
      </x:c>
      <x:c r="T638" s="186" t="n">
        <x:v>20141</x:v>
      </x:c>
      <x:c r="U638" s="186" t="n">
        <x:f>S638-T638</x:f>
        <x:v>24728</x:v>
      </x:c>
      <x:c r="V638" s="196" t="n">
        <x:f>IFERROR(O638/F638,"")</x:f>
        <x:v>0.13545497443657112</x:v>
      </x:c>
      <x:c r="W638" s="196" t="n">
        <x:f>IFERROR(I638/F638,"")</x:f>
        <x:v>-0.10430307970096053</x:v>
      </x:c>
    </x:row>
    <x:row r="639">
      <x:c r="A639" s="186" t="str">
        <x:v>Silver</x:v>
      </x:c>
      <x:c r="B639" s="187" t="n">
        <x:v>44600</x:v>
      </x:c>
      <x:c r="C639" s="187" t="n">
        <x:v>44603</x:v>
      </x:c>
      <x:c r="D639" s="186" t="str">
        <x:v>084691-SILVER</x:v>
      </x:c>
      <x:c r="E639" s="186" t="str">
        <x:v>SILVER - COMMODITY EXCHANGE INC.</x:v>
      </x:c>
      <x:c r="F639" s="186" t="n">
        <x:v>147379</x:v>
      </x:c>
      <x:c r="G639" s="186" t="n">
        <x:v>6490</x:v>
      </x:c>
      <x:c r="H639" s="186" t="n">
        <x:v>43357</x:v>
      </x:c>
      <x:c r="I639" s="186" t="n">
        <x:f>G639-H639</x:f>
        <x:v>-36867</x:v>
      </x:c>
      <x:c r="J639" s="186" t="n">
        <x:v>43832</x:v>
      </x:c>
      <x:c r="K639" s="186" t="n">
        <x:v>39536</x:v>
      </x:c>
      <x:c r="L639" s="186" t="n">
        <x:f>J639-K639</x:f>
        <x:v>4296</x:v>
      </x:c>
      <x:c r="M639" s="186" t="n">
        <x:v>43252</x:v>
      </x:c>
      <x:c r="N639" s="186" t="n">
        <x:v>33091</x:v>
      </x:c>
      <x:c r="O639" s="186" t="n">
        <x:f>M639-N639</x:f>
        <x:v>10161</x:v>
      </x:c>
      <x:c r="P639" s="186" t="n">
        <x:v>13653</x:v>
      </x:c>
      <x:c r="Q639" s="186" t="n">
        <x:v>4515</x:v>
      </x:c>
      <x:c r="R639" s="186" t="n">
        <x:f>P639-Q639</x:f>
        <x:v>9138</x:v>
      </x:c>
      <x:c r="S639" s="186" t="n">
        <x:v>26231</x:v>
      </x:c>
      <x:c r="T639" s="186" t="n">
        <x:v>12959</x:v>
      </x:c>
      <x:c r="U639" s="186" t="n">
        <x:f>S639-T639</x:f>
        <x:v>13272</x:v>
      </x:c>
      <x:c r="V639" s="196" t="n">
        <x:f>IFERROR(O639/F639,"")</x:f>
        <x:v>0.06894469361306563</x:v>
      </x:c>
      <x:c r="W639" s="196" t="n">
        <x:f>IFERROR(I639/F639,"")</x:f>
        <x:v>-0.25015097130527414</x:v>
      </x:c>
    </x:row>
    <x:row r="640">
      <x:c r="A640" s="186" t="str">
        <x:v>Gold</x:v>
      </x:c>
      <x:c r="B640" s="187" t="n">
        <x:v>44607</x:v>
      </x:c>
      <x:c r="C640" s="187" t="n">
        <x:v>44610</x:v>
      </x:c>
      <x:c r="D640" s="186" t="str">
        <x:v>088691-GOLD</x:v>
      </x:c>
      <x:c r="E640" s="186" t="str">
        <x:v>GOLD - COMMODITY EXCHANGE INC.</x:v>
      </x:c>
      <x:c r="F640" s="186" t="n">
        <x:v>558645</x:v>
      </x:c>
      <x:c r="G640" s="186" t="n">
        <x:v>13840</x:v>
      </x:c>
      <x:c r="H640" s="186" t="n">
        <x:v>77522</x:v>
      </x:c>
      <x:c r="I640" s="186" t="n">
        <x:f>G640-H640</x:f>
        <x:v>-63682</x:v>
      </x:c>
      <x:c r="J640" s="186" t="n">
        <x:v>97299</x:v>
      </x:c>
      <x:c r="K640" s="186" t="n">
        <x:v>272492</x:v>
      </x:c>
      <x:c r="L640" s="186" t="n">
        <x:f>J640-K640</x:f>
        <x:v>-175193</x:v>
      </x:c>
      <x:c r="M640" s="186" t="n">
        <x:v>151530</x:v>
      </x:c>
      <x:c r="N640" s="186" t="n">
        <x:v>43824</x:v>
      </x:c>
      <x:c r="O640" s="186" t="n">
        <x:f>M640-N640</x:f>
        <x:v>107706</x:v>
      </x:c>
      <x:c r="P640" s="186" t="n">
        <x:v>161739</x:v>
      </x:c>
      <x:c r="Q640" s="186" t="n">
        <x:v>55832</x:v>
      </x:c>
      <x:c r="R640" s="186" t="n">
        <x:f>P640-Q640</x:f>
        <x:v>105907</x:v>
      </x:c>
      <x:c r="S640" s="186" t="n">
        <x:v>46689</x:v>
      </x:c>
      <x:c r="T640" s="186" t="n">
        <x:v>21427</x:v>
      </x:c>
      <x:c r="U640" s="186" t="n">
        <x:f>S640-T640</x:f>
        <x:v>25262</x:v>
      </x:c>
      <x:c r="V640" s="196" t="n">
        <x:f>IFERROR(O640/F640,"")</x:f>
        <x:v>0.19279864672555916</x:v>
      </x:c>
      <x:c r="W640" s="196" t="n">
        <x:f>IFERROR(I640/F640,"")</x:f>
        <x:v>-0.113993681139185</x:v>
      </x:c>
    </x:row>
    <x:row r="641">
      <x:c r="A641" s="186" t="str">
        <x:v>Silver</x:v>
      </x:c>
      <x:c r="B641" s="187" t="n">
        <x:v>44607</x:v>
      </x:c>
      <x:c r="C641" s="187" t="n">
        <x:v>44610</x:v>
      </x:c>
      <x:c r="D641" s="186" t="str">
        <x:v>084691-SILVER</x:v>
      </x:c>
      <x:c r="E641" s="186" t="str">
        <x:v>SILVER - COMMODITY EXCHANGE INC.</x:v>
      </x:c>
      <x:c r="F641" s="186" t="n">
        <x:v>156968</x:v>
      </x:c>
      <x:c r="G641" s="186" t="n">
        <x:v>5951</x:v>
      </x:c>
      <x:c r="H641" s="186" t="n">
        <x:v>43793</x:v>
      </x:c>
      <x:c r="I641" s="186" t="n">
        <x:f>G641-H641</x:f>
        <x:v>-37842</x:v>
      </x:c>
      <x:c r="J641" s="186" t="n">
        <x:v>42401</x:v>
      </x:c>
      <x:c r="K641" s="186" t="n">
        <x:v>40907</x:v>
      </x:c>
      <x:c r="L641" s="186" t="n">
        <x:f>J641-K641</x:f>
        <x:v>1494</x:v>
      </x:c>
      <x:c r="M641" s="186" t="n">
        <x:v>44274</x:v>
      </x:c>
      <x:c r="N641" s="186" t="n">
        <x:v>26809</x:v>
      </x:c>
      <x:c r="O641" s="186" t="n">
        <x:f>M641-N641</x:f>
        <x:v>17465</x:v>
      </x:c>
      <x:c r="P641" s="186" t="n">
        <x:v>12637</x:v>
      </x:c>
      <x:c r="Q641" s="186" t="n">
        <x:v>6546</x:v>
      </x:c>
      <x:c r="R641" s="186" t="n">
        <x:f>P641-Q641</x:f>
        <x:v>6091</x:v>
      </x:c>
      <x:c r="S641" s="186" t="n">
        <x:v>25107</x:v>
      </x:c>
      <x:c r="T641" s="186" t="n">
        <x:v>12315</x:v>
      </x:c>
      <x:c r="U641" s="186" t="n">
        <x:f>S641-T641</x:f>
        <x:v>12792</x:v>
      </x:c>
      <x:c r="V641" s="196" t="n">
        <x:f>IFERROR(O641/F641,"")</x:f>
        <x:v>0.11126471637531217</x:v>
      </x:c>
      <x:c r="W641" s="196" t="n">
        <x:f>IFERROR(I641/F641,"")</x:f>
        <x:v>-0.24108098465929362</x:v>
      </x:c>
    </x:row>
    <x:row r="642">
      <x:c r="A642" s="186" t="str">
        <x:v>Gold</x:v>
      </x:c>
      <x:c r="B642" s="187" t="n">
        <x:v>44614</x:v>
      </x:c>
      <x:c r="C642" s="187" t="n">
        <x:v>44617</x:v>
      </x:c>
      <x:c r="D642" s="186" t="str">
        <x:v>088691-GOLD</x:v>
      </x:c>
      <x:c r="E642" s="186" t="str">
        <x:v>GOLD - COMMODITY EXCHANGE INC.</x:v>
      </x:c>
      <x:c r="F642" s="186" t="n">
        <x:v>611488</x:v>
      </x:c>
      <x:c r="G642" s="186" t="n">
        <x:v>14747</x:v>
      </x:c>
      <x:c r="H642" s="186" t="n">
        <x:v>85658</x:v>
      </x:c>
      <x:c r="I642" s="186" t="n">
        <x:f>G642-H642</x:f>
        <x:v>-70911</x:v>
      </x:c>
      <x:c r="J642" s="186" t="n">
        <x:v>97911</x:v>
      </x:c>
      <x:c r="K642" s="186" t="n">
        <x:v>296722</x:v>
      </x:c>
      <x:c r="L642" s="186" t="n">
        <x:f>J642-K642</x:f>
        <x:v>-198811</x:v>
      </x:c>
      <x:c r="M642" s="186" t="n">
        <x:v>183356</x:v>
      </x:c>
      <x:c r="N642" s="186" t="n">
        <x:v>44380</x:v>
      </x:c>
      <x:c r="O642" s="186" t="n">
        <x:f>M642-N642</x:f>
        <x:v>138976</x:v>
      </x:c>
      <x:c r="P642" s="186" t="n">
        <x:v>166740</x:v>
      </x:c>
      <x:c r="Q642" s="186" t="n">
        <x:v>62568</x:v>
      </x:c>
      <x:c r="R642" s="186" t="n">
        <x:f>P642-Q642</x:f>
        <x:v>104172</x:v>
      </x:c>
      <x:c r="S642" s="186" t="n">
        <x:v>49090</x:v>
      </x:c>
      <x:c r="T642" s="186" t="n">
        <x:v>22516</x:v>
      </x:c>
      <x:c r="U642" s="186" t="n">
        <x:f>S642-T642</x:f>
        <x:v>26574</x:v>
      </x:c>
      <x:c r="V642" s="196" t="n">
        <x:f>IFERROR(O642/F642,"")</x:f>
        <x:v>0.22727510597100842</x:v>
      </x:c>
      <x:c r="W642" s="196" t="n">
        <x:f>IFERROR(I642/F642,"")</x:f>
        <x:v>-0.11596466324768434</x:v>
      </x:c>
    </x:row>
    <x:row r="643">
      <x:c r="A643" s="186" t="str">
        <x:v>Silver</x:v>
      </x:c>
      <x:c r="B643" s="187" t="n">
        <x:v>44614</x:v>
      </x:c>
      <x:c r="C643" s="187" t="n">
        <x:v>44617</x:v>
      </x:c>
      <x:c r="D643" s="186" t="str">
        <x:v>084691-SILVER</x:v>
      </x:c>
      <x:c r="E643" s="186" t="str">
        <x:v>SILVER - COMMODITY EXCHANGE INC.</x:v>
      </x:c>
      <x:c r="F643" s="186" t="n">
        <x:v>163745</x:v>
      </x:c>
      <x:c r="G643" s="186" t="n">
        <x:v>4903</x:v>
      </x:c>
      <x:c r="H643" s="186" t="n">
        <x:v>46798</x:v>
      </x:c>
      <x:c r="I643" s="186" t="n">
        <x:f>G643-H643</x:f>
        <x:v>-41895</x:v>
      </x:c>
      <x:c r="J643" s="186" t="n">
        <x:v>42868</x:v>
      </x:c>
      <x:c r="K643" s="186" t="n">
        <x:v>44693</x:v>
      </x:c>
      <x:c r="L643" s="186" t="n">
        <x:f>J643-K643</x:f>
        <x:v>-1825</x:v>
      </x:c>
      <x:c r="M643" s="186" t="n">
        <x:v>46736</x:v>
      </x:c>
      <x:c r="N643" s="186" t="n">
        <x:v>21087</x:v>
      </x:c>
      <x:c r="O643" s="186" t="n">
        <x:f>M643-N643</x:f>
        <x:v>25649</x:v>
      </x:c>
      <x:c r="P643" s="186" t="n">
        <x:v>12094</x:v>
      </x:c>
      <x:c r="Q643" s="186" t="n">
        <x:v>7441</x:v>
      </x:c>
      <x:c r="R643" s="186" t="n">
        <x:f>P643-Q643</x:f>
        <x:v>4653</x:v>
      </x:c>
      <x:c r="S643" s="186" t="n">
        <x:v>26556</x:v>
      </x:c>
      <x:c r="T643" s="186" t="n">
        <x:v>13138</x:v>
      </x:c>
      <x:c r="U643" s="186" t="n">
        <x:f>S643-T643</x:f>
        <x:v>13418</x:v>
      </x:c>
      <x:c r="V643" s="196" t="n">
        <x:f>IFERROR(O643/F643,"")</x:f>
        <x:v>0.15663989740144738</x:v>
      </x:c>
      <x:c r="W643" s="196" t="n">
        <x:f>IFERROR(I643/F643,"")</x:f>
        <x:v>-0.2558551406149806</x:v>
      </x:c>
    </x:row>
    <x:row r="644">
      <x:c r="A644" s="186" t="str">
        <x:v>Gold</x:v>
      </x:c>
      <x:c r="B644" s="187" t="n">
        <x:v>44621</x:v>
      </x:c>
      <x:c r="C644" s="187" t="n">
        <x:v>44624</x:v>
      </x:c>
      <x:c r="D644" s="186" t="str">
        <x:v>088691-GOLD</x:v>
      </x:c>
      <x:c r="E644" s="186" t="str">
        <x:v>GOLD - COMMODITY EXCHANGE INC.</x:v>
      </x:c>
      <x:c r="F644" s="186" t="n">
        <x:v>615600</x:v>
      </x:c>
      <x:c r="G644" s="186" t="n">
        <x:v>18689</x:v>
      </x:c>
      <x:c r="H644" s="186" t="n">
        <x:v>94503</x:v>
      </x:c>
      <x:c r="I644" s="186" t="n">
        <x:f>G644-H644</x:f>
        <x:v>-75814</x:v>
      </x:c>
      <x:c r="J644" s="186" t="n">
        <x:v>95700</x:v>
      </x:c>
      <x:c r="K644" s="186" t="n">
        <x:v>305695</x:v>
      </x:c>
      <x:c r="L644" s="186" t="n">
        <x:f>J644-K644</x:f>
        <x:v>-209995</x:v>
      </x:c>
      <x:c r="M644" s="186" t="n">
        <x:v>187215</x:v>
      </x:c>
      <x:c r="N644" s="186" t="n">
        <x:v>38594</x:v>
      </x:c>
      <x:c r="O644" s="186" t="n">
        <x:f>M644-N644</x:f>
        <x:v>148621</x:v>
      </x:c>
      <x:c r="P644" s="186" t="n">
        <x:v>166962</x:v>
      </x:c>
      <x:c r="Q644" s="186" t="n">
        <x:v>57961</x:v>
      </x:c>
      <x:c r="R644" s="186" t="n">
        <x:f>P644-Q644</x:f>
        <x:v>109001</x:v>
      </x:c>
      <x:c r="S644" s="186" t="n">
        <x:v>50266</x:v>
      </x:c>
      <x:c r="T644" s="186" t="n">
        <x:v>22079</x:v>
      </x:c>
      <x:c r="U644" s="186" t="n">
        <x:f>S644-T644</x:f>
        <x:v>28187</x:v>
      </x:c>
      <x:c r="V644" s="196" t="n">
        <x:f>IFERROR(O644/F644,"")</x:f>
        <x:v>0.24142462638076673</x:v>
      </x:c>
      <x:c r="W644" s="196" t="n">
        <x:f>IFERROR(I644/F644,"")</x:f>
        <x:v>-0.12315464587394412</x:v>
      </x:c>
    </x:row>
    <x:row r="645">
      <x:c r="A645" s="186" t="str">
        <x:v>Silver</x:v>
      </x:c>
      <x:c r="B645" s="187" t="n">
        <x:v>44621</x:v>
      </x:c>
      <x:c r="C645" s="187" t="n">
        <x:v>44624</x:v>
      </x:c>
      <x:c r="D645" s="186" t="str">
        <x:v>084691-SILVER</x:v>
      </x:c>
      <x:c r="E645" s="186" t="str">
        <x:v>SILVER - COMMODITY EXCHANGE INC.</x:v>
      </x:c>
      <x:c r="F645" s="186" t="n">
        <x:v>157391</x:v>
      </x:c>
      <x:c r="G645" s="186" t="n">
        <x:v>3684</x:v>
      </x:c>
      <x:c r="H645" s="186" t="n">
        <x:v>49889</x:v>
      </x:c>
      <x:c r="I645" s="186" t="n">
        <x:f>G645-H645</x:f>
        <x:v>-46205</x:v>
      </x:c>
      <x:c r="J645" s="186" t="n">
        <x:v>42498</x:v>
      </x:c>
      <x:c r="K645" s="186" t="n">
        <x:v>53443</x:v>
      </x:c>
      <x:c r="L645" s="186" t="n">
        <x:f>J645-K645</x:f>
        <x:v>-10945</x:v>
      </x:c>
      <x:c r="M645" s="186" t="n">
        <x:v>59592</x:v>
      </x:c>
      <x:c r="N645" s="186" t="n">
        <x:v>17297</x:v>
      </x:c>
      <x:c r="O645" s="186" t="n">
        <x:f>M645-N645</x:f>
        <x:v>42295</x:v>
      </x:c>
      <x:c r="P645" s="186" t="n">
        <x:v>11643</x:v>
      </x:c>
      <x:c r="Q645" s="186" t="n">
        <x:v>8990</x:v>
      </x:c>
      <x:c r="R645" s="186" t="n">
        <x:f>P645-Q645</x:f>
        <x:v>2653</x:v>
      </x:c>
      <x:c r="S645" s="186" t="n">
        <x:v>25234</x:v>
      </x:c>
      <x:c r="T645" s="186" t="n">
        <x:v>13032</x:v>
      </x:c>
      <x:c r="U645" s="186" t="n">
        <x:f>S645-T645</x:f>
        <x:v>12202</x:v>
      </x:c>
      <x:c r="V645" s="196" t="n">
        <x:f>IFERROR(O645/F645,"")</x:f>
        <x:v>0.26872565775679674</x:v>
      </x:c>
      <x:c r="W645" s="196" t="n">
        <x:f>IFERROR(I645/F645,"")</x:f>
        <x:v>-0.2935682472314173</x:v>
      </x:c>
    </x:row>
    <x:row r="646">
      <x:c r="A646" s="186" t="str">
        <x:v>Gold</x:v>
      </x:c>
      <x:c r="B646" s="187" t="n">
        <x:v>44628</x:v>
      </x:c>
      <x:c r="C646" s="187" t="n">
        <x:v>44631</x:v>
      </x:c>
      <x:c r="D646" s="186" t="str">
        <x:v>088691-GOLD</x:v>
      </x:c>
      <x:c r="E646" s="186" t="str">
        <x:v>GOLD - COMMODITY EXCHANGE INC.</x:v>
      </x:c>
      <x:c r="F646" s="186" t="n">
        <x:v>638502</x:v>
      </x:c>
      <x:c r="G646" s="186" t="n">
        <x:v>23736</x:v>
      </x:c>
      <x:c r="H646" s="186" t="n">
        <x:v>99813</x:v>
      </x:c>
      <x:c r="I646" s="186" t="n">
        <x:f>G646-H646</x:f>
        <x:v>-76077</x:v>
      </x:c>
      <x:c r="J646" s="186" t="n">
        <x:v>100587</x:v>
      </x:c>
      <x:c r="K646" s="186" t="n">
        <x:v>331456</x:v>
      </x:c>
      <x:c r="L646" s="186" t="n">
        <x:f>J646-K646</x:f>
        <x:v>-230869</x:v>
      </x:c>
      <x:c r="M646" s="186" t="n">
        <x:v>181510</x:v>
      </x:c>
      <x:c r="N646" s="186" t="n">
        <x:v>38537</x:v>
      </x:c>
      <x:c r="O646" s="186" t="n">
        <x:f>M646-N646</x:f>
        <x:v>142973</x:v>
      </x:c>
      <x:c r="P646" s="186" t="n">
        <x:v>183108</x:v>
      </x:c>
      <x:c r="Q646" s="186" t="n">
        <x:v>51693</x:v>
      </x:c>
      <x:c r="R646" s="186" t="n">
        <x:f>P646-Q646</x:f>
        <x:v>131415</x:v>
      </x:c>
      <x:c r="S646" s="186" t="n">
        <x:v>55964</x:v>
      </x:c>
      <x:c r="T646" s="186" t="n">
        <x:v>23406</x:v>
      </x:c>
      <x:c r="U646" s="186" t="n">
        <x:f>S646-T646</x:f>
        <x:v>32558</x:v>
      </x:c>
      <x:c r="V646" s="196" t="n">
        <x:f>IFERROR(O646/F646,"")</x:f>
        <x:v>0.2239194239015696</x:v>
      </x:c>
      <x:c r="W646" s="196" t="n">
        <x:f>IFERROR(I646/F646,"")</x:f>
        <x:v>-0.11914919608709135</x:v>
      </x:c>
    </x:row>
    <x:row r="647">
      <x:c r="A647" s="186" t="str">
        <x:v>Silver</x:v>
      </x:c>
      <x:c r="B647" s="187" t="n">
        <x:v>44628</x:v>
      </x:c>
      <x:c r="C647" s="187" t="n">
        <x:v>44631</x:v>
      </x:c>
      <x:c r="D647" s="186" t="str">
        <x:v>084691-SILVER</x:v>
      </x:c>
      <x:c r="E647" s="186" t="str">
        <x:v>SILVER - COMMODITY EXCHANGE INC.</x:v>
      </x:c>
      <x:c r="F647" s="186" t="n">
        <x:v>168283</x:v>
      </x:c>
      <x:c r="G647" s="186" t="n">
        <x:v>4754</x:v>
      </x:c>
      <x:c r="H647" s="186" t="n">
        <x:v>55154</x:v>
      </x:c>
      <x:c r="I647" s="186" t="n">
        <x:f>G647-H647</x:f>
        <x:v>-50400</x:v>
      </x:c>
      <x:c r="J647" s="186" t="n">
        <x:v>39880</x:v>
      </x:c>
      <x:c r="K647" s="186" t="n">
        <x:v>59089</x:v>
      </x:c>
      <x:c r="L647" s="186" t="n">
        <x:f>J647-K647</x:f>
        <x:v>-19209</x:v>
      </x:c>
      <x:c r="M647" s="186" t="n">
        <x:v>64367</x:v>
      </x:c>
      <x:c r="N647" s="186" t="n">
        <x:v>15687</x:v>
      </x:c>
      <x:c r="O647" s="186" t="n">
        <x:f>M647-N647</x:f>
        <x:v>48680</x:v>
      </x:c>
      <x:c r="P647" s="186" t="n">
        <x:v>12198</x:v>
      </x:c>
      <x:c r="Q647" s="186" t="n">
        <x:v>8581</x:v>
      </x:c>
      <x:c r="R647" s="186" t="n">
        <x:f>P647-Q647</x:f>
        <x:v>3617</x:v>
      </x:c>
      <x:c r="S647" s="186" t="n">
        <x:v>28583</x:v>
      </x:c>
      <x:c r="T647" s="186" t="n">
        <x:v>11271</x:v>
      </x:c>
      <x:c r="U647" s="186" t="n">
        <x:f>S647-T647</x:f>
        <x:v>17312</x:v>
      </x:c>
      <x:c r="V647" s="196" t="n">
        <x:f>IFERROR(O647/F647,"")</x:f>
        <x:v>0.28927461478580724</x:v>
      </x:c>
      <x:c r="W647" s="196" t="n">
        <x:f>IFERROR(I647/F647,"")</x:f>
        <x:v>-0.29949549271168213</x:v>
      </x:c>
    </x:row>
    <x:row r="648">
      <x:c r="A648" s="186" t="str">
        <x:v>Gold</x:v>
      </x:c>
      <x:c r="B648" s="187" t="n">
        <x:v>44635</x:v>
      </x:c>
      <x:c r="C648" s="187" t="n">
        <x:v>44638</x:v>
      </x:c>
      <x:c r="D648" s="186" t="str">
        <x:v>088691-GOLD</x:v>
      </x:c>
      <x:c r="E648" s="186" t="str">
        <x:v>GOLD - COMMODITY EXCHANGE INC.</x:v>
      </x:c>
      <x:c r="F648" s="186" t="n">
        <x:v>617605</x:v>
      </x:c>
      <x:c r="G648" s="186" t="n">
        <x:v>26287</x:v>
      </x:c>
      <x:c r="H648" s="186" t="n">
        <x:v>93725</x:v>
      </x:c>
      <x:c r="I648" s="186" t="n">
        <x:f>G648-H648</x:f>
        <x:v>-67438</x:v>
      </x:c>
      <x:c r="J648" s="186" t="n">
        <x:v>96765</x:v>
      </x:c>
      <x:c r="K648" s="186" t="n">
        <x:v>326768</x:v>
      </x:c>
      <x:c r="L648" s="186" t="n">
        <x:f>J648-K648</x:f>
        <x:v>-230003</x:v>
      </x:c>
      <x:c r="M648" s="186" t="n">
        <x:v>165597</x:v>
      </x:c>
      <x:c r="N648" s="186" t="n">
        <x:v>39060</x:v>
      </x:c>
      <x:c r="O648" s="186" t="n">
        <x:f>M648-N648</x:f>
        <x:v>126537</x:v>
      </x:c>
      <x:c r="P648" s="186" t="n">
        <x:v>181134</x:v>
      </x:c>
      <x:c r="Q648" s="186" t="n">
        <x:v>45883</x:v>
      </x:c>
      <x:c r="R648" s="186" t="n">
        <x:f>P648-Q648</x:f>
        <x:v>135251</x:v>
      </x:c>
      <x:c r="S648" s="186" t="n">
        <x:v>54330</x:v>
      </x:c>
      <x:c r="T648" s="186" t="n">
        <x:v>18677</x:v>
      </x:c>
      <x:c r="U648" s="186" t="n">
        <x:f>S648-T648</x:f>
        <x:v>35653</x:v>
      </x:c>
      <x:c r="V648" s="196" t="n">
        <x:f>IFERROR(O648/F648,"")</x:f>
        <x:v>0.20488338015398191</x:v>
      </x:c>
      <x:c r="W648" s="196" t="n">
        <x:f>IFERROR(I648/F648,"")</x:f>
        <x:v>-0.10919276884092584</x:v>
      </x:c>
    </x:row>
    <x:row r="649">
      <x:c r="A649" s="186" t="str">
        <x:v>Silver</x:v>
      </x:c>
      <x:c r="B649" s="187" t="n">
        <x:v>44635</x:v>
      </x:c>
      <x:c r="C649" s="187" t="n">
        <x:v>44638</x:v>
      </x:c>
      <x:c r="D649" s="186" t="str">
        <x:v>084691-SILVER</x:v>
      </x:c>
      <x:c r="E649" s="186" t="str">
        <x:v>SILVER - COMMODITY EXCHANGE INC.</x:v>
      </x:c>
      <x:c r="F649" s="186" t="n">
        <x:v>159571</x:v>
      </x:c>
      <x:c r="G649" s="186" t="n">
        <x:v>3762</x:v>
      </x:c>
      <x:c r="H649" s="186" t="n">
        <x:v>49385</x:v>
      </x:c>
      <x:c r="I649" s="186" t="n">
        <x:f>G649-H649</x:f>
        <x:v>-45623</x:v>
      </x:c>
      <x:c r="J649" s="186" t="n">
        <x:v>37523</x:v>
      </x:c>
      <x:c r="K649" s="186" t="n">
        <x:v>59479</x:v>
      </x:c>
      <x:c r="L649" s="186" t="n">
        <x:f>J649-K649</x:f>
        <x:v>-21956</x:v>
      </x:c>
      <x:c r="M649" s="186" t="n">
        <x:v>62249</x:v>
      </x:c>
      <x:c r="N649" s="186" t="n">
        <x:v>14206</x:v>
      </x:c>
      <x:c r="O649" s="186" t="n">
        <x:f>M649-N649</x:f>
        <x:v>48043</x:v>
      </x:c>
      <x:c r="P649" s="186" t="n">
        <x:v>11795</x:v>
      </x:c>
      <x:c r="Q649" s="186" t="n">
        <x:v>8284</x:v>
      </x:c>
      <x:c r="R649" s="186" t="n">
        <x:f>P649-Q649</x:f>
        <x:v>3511</x:v>
      </x:c>
      <x:c r="S649" s="186" t="n">
        <x:v>26270</x:v>
      </x:c>
      <x:c r="T649" s="186" t="n">
        <x:v>10245</x:v>
      </x:c>
      <x:c r="U649" s="186" t="n">
        <x:f>S649-T649</x:f>
        <x:v>16025</x:v>
      </x:c>
      <x:c r="V649" s="196" t="n">
        <x:f>IFERROR(O649/F649,"")</x:f>
        <x:v>0.3010760100519518</x:v>
      </x:c>
      <x:c r="W649" s="196" t="n">
        <x:f>IFERROR(I649/F649,"")</x:f>
        <x:v>-0.28591034711821073</x:v>
      </x:c>
    </x:row>
    <x:row r="650">
      <x:c r="A650" s="186" t="str">
        <x:v>Gold</x:v>
      </x:c>
      <x:c r="B650" s="187" t="n">
        <x:v>44642</x:v>
      </x:c>
      <x:c r="C650" s="187" t="n">
        <x:v>44645</x:v>
      </x:c>
      <x:c r="D650" s="186" t="str">
        <x:v>088691-GOLD</x:v>
      </x:c>
      <x:c r="E650" s="186" t="str">
        <x:v>GOLD - COMMODITY EXCHANGE INC.</x:v>
      </x:c>
      <x:c r="F650" s="186" t="n">
        <x:v>605191</x:v>
      </x:c>
      <x:c r="G650" s="186" t="n">
        <x:v>28886</x:v>
      </x:c>
      <x:c r="H650" s="186" t="n">
        <x:v>93799</x:v>
      </x:c>
      <x:c r="I650" s="186" t="n">
        <x:f>G650-H650</x:f>
        <x:v>-64913</x:v>
      </x:c>
      <x:c r="J650" s="186" t="n">
        <x:v>103016</x:v>
      </x:c>
      <x:c r="K650" s="186" t="n">
        <x:v>319698</x:v>
      </x:c>
      <x:c r="L650" s="186" t="n">
        <x:f>J650-K650</x:f>
        <x:v>-216682</x:v>
      </x:c>
      <x:c r="M650" s="186" t="n">
        <x:v>152589</x:v>
      </x:c>
      <x:c r="N650" s="186" t="n">
        <x:v>37457</x:v>
      </x:c>
      <x:c r="O650" s="186" t="n">
        <x:f>M650-N650</x:f>
        <x:v>115132</x:v>
      </x:c>
      <x:c r="P650" s="186" t="n">
        <x:v>176071</x:v>
      </x:c>
      <x:c r="Q650" s="186" t="n">
        <x:v>43171</x:v>
      </x:c>
      <x:c r="R650" s="186" t="n">
        <x:f>P650-Q650</x:f>
        <x:v>132900</x:v>
      </x:c>
      <x:c r="S650" s="186" t="n">
        <x:v>53441</x:v>
      </x:c>
      <x:c r="T650" s="186" t="n">
        <x:v>19878</x:v>
      </x:c>
      <x:c r="U650" s="186" t="n">
        <x:f>S650-T650</x:f>
        <x:v>33563</x:v>
      </x:c>
      <x:c r="V650" s="196" t="n">
        <x:f>IFERROR(O650/F650,"")</x:f>
        <x:v>0.19024076696447897</x:v>
      </x:c>
      <x:c r="W650" s="196" t="n">
        <x:f>IFERROR(I650/F650,"")</x:f>
        <x:v>-0.10726035251680874</x:v>
      </x:c>
    </x:row>
    <x:row r="651">
      <x:c r="A651" s="186" t="str">
        <x:v>Silver</x:v>
      </x:c>
      <x:c r="B651" s="187" t="n">
        <x:v>44642</x:v>
      </x:c>
      <x:c r="C651" s="187" t="n">
        <x:v>44645</x:v>
      </x:c>
      <x:c r="D651" s="186" t="str">
        <x:v>084691-SILVER</x:v>
      </x:c>
      <x:c r="E651" s="186" t="str">
        <x:v>SILVER - COMMODITY EXCHANGE INC.</x:v>
      </x:c>
      <x:c r="F651" s="186" t="n">
        <x:v>155456</x:v>
      </x:c>
      <x:c r="G651" s="186" t="n">
        <x:v>3605</x:v>
      </x:c>
      <x:c r="H651" s="186" t="n">
        <x:v>48546</x:v>
      </x:c>
      <x:c r="I651" s="186" t="n">
        <x:f>G651-H651</x:f>
        <x:v>-44941</x:v>
      </x:c>
      <x:c r="J651" s="186" t="n">
        <x:v>36906</x:v>
      </x:c>
      <x:c r="K651" s="186" t="n">
        <x:v>56522</x:v>
      </x:c>
      <x:c r="L651" s="186" t="n">
        <x:f>J651-K651</x:f>
        <x:v>-19616</x:v>
      </x:c>
      <x:c r="M651" s="186" t="n">
        <x:v>57604</x:v>
      </x:c>
      <x:c r="N651" s="186" t="n">
        <x:v>13776</x:v>
      </x:c>
      <x:c r="O651" s="186" t="n">
        <x:f>M651-N651</x:f>
        <x:v>43828</x:v>
      </x:c>
      <x:c r="P651" s="186" t="n">
        <x:v>11675</x:v>
      </x:c>
      <x:c r="Q651" s="186" t="n">
        <x:v>7556</x:v>
      </x:c>
      <x:c r="R651" s="186" t="n">
        <x:f>P651-Q651</x:f>
        <x:v>4119</x:v>
      </x:c>
      <x:c r="S651" s="186" t="n">
        <x:v>26925</x:v>
      </x:c>
      <x:c r="T651" s="186" t="n">
        <x:v>10315</x:v>
      </x:c>
      <x:c r="U651" s="186" t="n">
        <x:f>S651-T651</x:f>
        <x:v>16610</x:v>
      </x:c>
      <x:c r="V651" s="196" t="n">
        <x:f>IFERROR(O651/F651,"")</x:f>
        <x:v>0.28193186496500616</x:v>
      </x:c>
      <x:c r="W651" s="196" t="n">
        <x:f>IFERROR(I651/F651,"")</x:f>
        <x:v>-0.289091447097571</x:v>
      </x:c>
    </x:row>
    <x:row r="652">
      <x:c r="A652" s="186" t="str">
        <x:v>Gold</x:v>
      </x:c>
      <x:c r="B652" s="187" t="n">
        <x:v>44649</x:v>
      </x:c>
      <x:c r="C652" s="187" t="n">
        <x:v>44652</x:v>
      </x:c>
      <x:c r="D652" s="186" t="str">
        <x:v>088691-GOLD</x:v>
      </x:c>
      <x:c r="E652" s="186" t="str">
        <x:v>GOLD - COMMODITY EXCHANGE INC.</x:v>
      </x:c>
      <x:c r="F652" s="186" t="n">
        <x:v>574521</x:v>
      </x:c>
      <x:c r="G652" s="186" t="n">
        <x:v>18389</x:v>
      </x:c>
      <x:c r="H652" s="186" t="n">
        <x:v>70315</x:v>
      </x:c>
      <x:c r="I652" s="186" t="n">
        <x:f>G652-H652</x:f>
        <x:v>-51926</x:v>
      </x:c>
      <x:c r="J652" s="186" t="n">
        <x:v>89623</x:v>
      </x:c>
      <x:c r="K652" s="186" t="n">
        <x:v>323634</x:v>
      </x:c>
      <x:c r="L652" s="186" t="n">
        <x:f>J652-K652</x:f>
        <x:v>-234011</x:v>
      </x:c>
      <x:c r="M652" s="186" t="n">
        <x:v>146486</x:v>
      </x:c>
      <x:c r="N652" s="186" t="n">
        <x:v>38184</x:v>
      </x:c>
      <x:c r="O652" s="186" t="n">
        <x:f>M652-N652</x:f>
        <x:v>108302</x:v>
      </x:c>
      <x:c r="P652" s="186" t="n">
        <x:v>181146</x:v>
      </x:c>
      <x:c r="Q652" s="186" t="n">
        <x:v>31852</x:v>
      </x:c>
      <x:c r="R652" s="186" t="n">
        <x:f>P652-Q652</x:f>
        <x:v>149294</x:v>
      </x:c>
      <x:c r="S652" s="186" t="n">
        <x:v>49022</x:v>
      </x:c>
      <x:c r="T652" s="186" t="n">
        <x:v>20681</x:v>
      </x:c>
      <x:c r="U652" s="186" t="n">
        <x:f>S652-T652</x:f>
        <x:v>28341</x:v>
      </x:c>
      <x:c r="V652" s="196" t="n">
        <x:f>IFERROR(O652/F652,"")</x:f>
        <x:v>0.1885083399910534</x:v>
      </x:c>
      <x:c r="W652" s="196" t="n">
        <x:f>IFERROR(I652/F652,"")</x:f>
        <x:v>-0.09038137857449945</x:v>
      </x:c>
    </x:row>
    <x:row r="653">
      <x:c r="A653" s="186" t="str">
        <x:v>Silver</x:v>
      </x:c>
      <x:c r="B653" s="187" t="n">
        <x:v>44649</x:v>
      </x:c>
      <x:c r="C653" s="187" t="n">
        <x:v>44652</x:v>
      </x:c>
      <x:c r="D653" s="186" t="str">
        <x:v>084691-SILVER</x:v>
      </x:c>
      <x:c r="E653" s="186" t="str">
        <x:v>SILVER - COMMODITY EXCHANGE INC.</x:v>
      </x:c>
      <x:c r="F653" s="186" t="n">
        <x:v>147370</x:v>
      </x:c>
      <x:c r="G653" s="186" t="n">
        <x:v>3747</x:v>
      </x:c>
      <x:c r="H653" s="186" t="n">
        <x:v>46729</x:v>
      </x:c>
      <x:c r="I653" s="186" t="n">
        <x:f>G653-H653</x:f>
        <x:v>-42982</x:v>
      </x:c>
      <x:c r="J653" s="186" t="n">
        <x:v>36540</x:v>
      </x:c>
      <x:c r="K653" s="186" t="n">
        <x:v>54930</x:v>
      </x:c>
      <x:c r="L653" s="186" t="n">
        <x:f>J653-K653</x:f>
        <x:v>-18390</x:v>
      </x:c>
      <x:c r="M653" s="186" t="n">
        <x:v>54378</x:v>
      </x:c>
      <x:c r="N653" s="186" t="n">
        <x:v>12247</x:v>
      </x:c>
      <x:c r="O653" s="186" t="n">
        <x:f>M653-N653</x:f>
        <x:v>42131</x:v>
      </x:c>
      <x:c r="P653" s="186" t="n">
        <x:v>11539</x:v>
      </x:c>
      <x:c r="Q653" s="186" t="n">
        <x:v>5430</x:v>
      </x:c>
      <x:c r="R653" s="186" t="n">
        <x:f>P653-Q653</x:f>
        <x:v>6109</x:v>
      </x:c>
      <x:c r="S653" s="186" t="n">
        <x:v>25145</x:v>
      </x:c>
      <x:c r="T653" s="186" t="n">
        <x:v>12013</x:v>
      </x:c>
      <x:c r="U653" s="186" t="n">
        <x:f>S653-T653</x:f>
        <x:v>13132</x:v>
      </x:c>
      <x:c r="V653" s="196" t="n">
        <x:f>IFERROR(O653/F653,"")</x:f>
        <x:v>0.28588586550858386</x:v>
      </x:c>
      <x:c r="W653" s="196" t="n">
        <x:f>IFERROR(I653/F653,"")</x:f>
        <x:v>-0.2916604464952161</x:v>
      </x:c>
    </x:row>
    <x:row r="654">
      <x:c r="A654" s="186" t="str">
        <x:v>Gold</x:v>
      </x:c>
      <x:c r="B654" s="187" t="n">
        <x:v>44656</x:v>
      </x:c>
      <x:c r="C654" s="187" t="n">
        <x:v>44659</x:v>
      </x:c>
      <x:c r="D654" s="186" t="str">
        <x:v>088691-GOLD</x:v>
      </x:c>
      <x:c r="E654" s="186" t="str">
        <x:v>GOLD - COMMODITY EXCHANGE INC.</x:v>
      </x:c>
      <x:c r="F654" s="186" t="n">
        <x:v>560666</x:v>
      </x:c>
      <x:c r="G654" s="186" t="n">
        <x:v>18989</x:v>
      </x:c>
      <x:c r="H654" s="186" t="n">
        <x:v>71333</x:v>
      </x:c>
      <x:c r="I654" s="186" t="n">
        <x:f>G654-H654</x:f>
        <x:v>-52344</x:v>
      </x:c>
      <x:c r="J654" s="186" t="n">
        <x:v>87989</x:v>
      </x:c>
      <x:c r="K654" s="186" t="n">
        <x:v>314403</x:v>
      </x:c>
      <x:c r="L654" s="186" t="n">
        <x:f>J654-K654</x:f>
        <x:v>-226414</x:v>
      </x:c>
      <x:c r="M654" s="186" t="n">
        <x:v>148320</x:v>
      </x:c>
      <x:c r="N654" s="186" t="n">
        <x:v>46693</x:v>
      </x:c>
      <x:c r="O654" s="186" t="n">
        <x:f>M654-N654</x:f>
        <x:v>101627</x:v>
      </x:c>
      <x:c r="P654" s="186" t="n">
        <x:v>176250</x:v>
      </x:c>
      <x:c r="Q654" s="186" t="n">
        <x:v>32336</x:v>
      </x:c>
      <x:c r="R654" s="186" t="n">
        <x:f>P654-Q654</x:f>
        <x:v>143914</x:v>
      </x:c>
      <x:c r="S654" s="186" t="n">
        <x:v>51778</x:v>
      </x:c>
      <x:c r="T654" s="186" t="n">
        <x:v>18561</x:v>
      </x:c>
      <x:c r="U654" s="186" t="n">
        <x:f>S654-T654</x:f>
        <x:v>33217</x:v>
      </x:c>
      <x:c r="V654" s="196" t="n">
        <x:f>IFERROR(O654/F654,"")</x:f>
        <x:v>0.18126121434151526</x:v>
      </x:c>
      <x:c r="W654" s="196" t="n">
        <x:f>IFERROR(I654/F654,"")</x:f>
        <x:v>-0.09336039638572698</x:v>
      </x:c>
    </x:row>
    <x:row r="655">
      <x:c r="A655" s="186" t="str">
        <x:v>Silver</x:v>
      </x:c>
      <x:c r="B655" s="187" t="n">
        <x:v>44656</x:v>
      </x:c>
      <x:c r="C655" s="187" t="n">
        <x:v>44659</x:v>
      </x:c>
      <x:c r="D655" s="186" t="str">
        <x:v>084691-SILVER</x:v>
      </x:c>
      <x:c r="E655" s="186" t="str">
        <x:v>SILVER - COMMODITY EXCHANGE INC.</x:v>
      </x:c>
      <x:c r="F655" s="186" t="n">
        <x:v>148526</x:v>
      </x:c>
      <x:c r="G655" s="186" t="n">
        <x:v>4275</x:v>
      </x:c>
      <x:c r="H655" s="186" t="n">
        <x:v>45011</x:v>
      </x:c>
      <x:c r="I655" s="186" t="n">
        <x:f>G655-H655</x:f>
        <x:v>-40736</x:v>
      </x:c>
      <x:c r="J655" s="186" t="n">
        <x:v>35649</x:v>
      </x:c>
      <x:c r="K655" s="186" t="n">
        <x:v>54949</x:v>
      </x:c>
      <x:c r="L655" s="186" t="n">
        <x:f>J655-K655</x:f>
        <x:v>-19300</x:v>
      </x:c>
      <x:c r="M655" s="186" t="n">
        <x:v>52412</x:v>
      </x:c>
      <x:c r="N655" s="186" t="n">
        <x:v>13447</x:v>
      </x:c>
      <x:c r="O655" s="186" t="n">
        <x:f>M655-N655</x:f>
        <x:v>38965</x:v>
      </x:c>
      <x:c r="P655" s="186" t="n">
        <x:v>12524</x:v>
      </x:c>
      <x:c r="Q655" s="186" t="n">
        <x:v>6455</x:v>
      </x:c>
      <x:c r="R655" s="186" t="n">
        <x:f>P655-Q655</x:f>
        <x:v>6069</x:v>
      </x:c>
      <x:c r="S655" s="186" t="n">
        <x:v>26307</x:v>
      </x:c>
      <x:c r="T655" s="186" t="n">
        <x:v>11305</x:v>
      </x:c>
      <x:c r="U655" s="186" t="n">
        <x:f>S655-T655</x:f>
        <x:v>15002</x:v>
      </x:c>
      <x:c r="V655" s="196" t="n">
        <x:f>IFERROR(O655/F655,"")</x:f>
        <x:v>0.26234463999569096</x:v>
      </x:c>
      <x:c r="W655" s="196" t="n">
        <x:f>IFERROR(I655/F655,"")</x:f>
        <x:v>-0.27426847824623296</x:v>
      </x:c>
    </x:row>
    <x:row r="656">
      <x:c r="A656" s="186" t="str">
        <x:v>Gold</x:v>
      </x:c>
      <x:c r="B656" s="187" t="n">
        <x:v>44663</x:v>
      </x:c>
      <x:c r="C656" s="187" t="n">
        <x:v>44666</x:v>
      </x:c>
      <x:c r="D656" s="186" t="str">
        <x:v>088691-GOLD</x:v>
      </x:c>
      <x:c r="E656" s="186" t="str">
        <x:v>GOLD - COMMODITY EXCHANGE INC.</x:v>
      </x:c>
      <x:c r="F656" s="186" t="n">
        <x:v>577639</x:v>
      </x:c>
      <x:c r="G656" s="186" t="n">
        <x:v>20272</x:v>
      </x:c>
      <x:c r="H656" s="186" t="n">
        <x:v>72001</x:v>
      </x:c>
      <x:c r="I656" s="186" t="n">
        <x:f>G656-H656</x:f>
        <x:v>-51729</x:v>
      </x:c>
      <x:c r="J656" s="186" t="n">
        <x:v>88326</x:v>
      </x:c>
      <x:c r="K656" s="186" t="n">
        <x:v>324690</x:v>
      </x:c>
      <x:c r="L656" s="186" t="n">
        <x:f>J656-K656</x:f>
        <x:v>-236364</x:v>
      </x:c>
      <x:c r="M656" s="186" t="n">
        <x:v>165244</x:v>
      </x:c>
      <x:c r="N656" s="186" t="n">
        <x:v>48219</x:v>
      </x:c>
      <x:c r="O656" s="186" t="n">
        <x:f>M656-N656</x:f>
        <x:v>117025</x:v>
      </x:c>
      <x:c r="P656" s="186" t="n">
        <x:v>172920</x:v>
      </x:c>
      <x:c r="Q656" s="186" t="n">
        <x:v>35658</x:v>
      </x:c>
      <x:c r="R656" s="186" t="n">
        <x:f>P656-Q656</x:f>
        <x:v>137262</x:v>
      </x:c>
      <x:c r="S656" s="186" t="n">
        <x:v>55264</x:v>
      </x:c>
      <x:c r="T656" s="186" t="n">
        <x:v>21458</x:v>
      </x:c>
      <x:c r="U656" s="186" t="n">
        <x:f>S656-T656</x:f>
        <x:v>33806</x:v>
      </x:c>
      <x:c r="V656" s="196" t="n">
        <x:f>IFERROR(O656/F656,"")</x:f>
        <x:v>0.20259193025401678</x:v>
      </x:c>
      <x:c r="W656" s="196" t="n">
        <x:f>IFERROR(I656/F656,"")</x:f>
        <x:v>-0.08955247135321541</x:v>
      </x:c>
    </x:row>
    <x:row r="657">
      <x:c r="A657" s="186" t="str">
        <x:v>Silver</x:v>
      </x:c>
      <x:c r="B657" s="187" t="n">
        <x:v>44663</x:v>
      </x:c>
      <x:c r="C657" s="187" t="n">
        <x:v>44666</x:v>
      </x:c>
      <x:c r="D657" s="186" t="str">
        <x:v>084691-SILVER</x:v>
      </x:c>
      <x:c r="E657" s="186" t="str">
        <x:v>SILVER - COMMODITY EXCHANGE INC.</x:v>
      </x:c>
      <x:c r="F657" s="186" t="n">
        <x:v>158813</x:v>
      </x:c>
      <x:c r="G657" s="186" t="n">
        <x:v>4279</x:v>
      </x:c>
      <x:c r="H657" s="186" t="n">
        <x:v>47501</x:v>
      </x:c>
      <x:c r="I657" s="186" t="n">
        <x:f>G657-H657</x:f>
        <x:v>-43222</x:v>
      </x:c>
      <x:c r="J657" s="186" t="n">
        <x:v>35390</x:v>
      </x:c>
      <x:c r="K657" s="186" t="n">
        <x:v>55858</x:v>
      </x:c>
      <x:c r="L657" s="186" t="n">
        <x:f>J657-K657</x:f>
        <x:v>-20468</x:v>
      </x:c>
      <x:c r="M657" s="186" t="n">
        <x:v>54935</x:v>
      </x:c>
      <x:c r="N657" s="186" t="n">
        <x:v>12855</x:v>
      </x:c>
      <x:c r="O657" s="186" t="n">
        <x:f>M657-N657</x:f>
        <x:v>42080</x:v>
      </x:c>
      <x:c r="P657" s="186" t="n">
        <x:v>11421</x:v>
      </x:c>
      <x:c r="Q657" s="186" t="n">
        <x:v>7515</x:v>
      </x:c>
      <x:c r="R657" s="186" t="n">
        <x:f>P657-Q657</x:f>
        <x:v>3906</x:v>
      </x:c>
      <x:c r="S657" s="186" t="n">
        <x:v>29877</x:v>
      </x:c>
      <x:c r="T657" s="186" t="n">
        <x:v>12173</x:v>
      </x:c>
      <x:c r="U657" s="186" t="n">
        <x:f>S657-T657</x:f>
        <x:v>17704</x:v>
      </x:c>
      <x:c r="V657" s="196" t="n">
        <x:f>IFERROR(O657/F657,"")</x:f>
        <x:v>0.26496571439365796</x:v>
      </x:c>
      <x:c r="W657" s="196" t="n">
        <x:f>IFERROR(I657/F657,"")</x:f>
        <x:v>-0.27215656149055806</x:v>
      </x:c>
    </x:row>
    <x:row r="658">
      <x:c r="A658" s="186" t="str">
        <x:v>Gold</x:v>
      </x:c>
      <x:c r="B658" s="187" t="n">
        <x:v>44670</x:v>
      </x:c>
      <x:c r="C658" s="187" t="n">
        <x:v>44673</x:v>
      </x:c>
      <x:c r="D658" s="186" t="str">
        <x:v>088691-GOLD</x:v>
      </x:c>
      <x:c r="E658" s="186" t="str">
        <x:v>GOLD - COMMODITY EXCHANGE INC.</x:v>
      </x:c>
      <x:c r="F658" s="186" t="n">
        <x:v>575202</x:v>
      </x:c>
      <x:c r="G658" s="186" t="n">
        <x:v>22596</x:v>
      </x:c>
      <x:c r="H658" s="186" t="n">
        <x:v>72545</x:v>
      </x:c>
      <x:c r="I658" s="186" t="n">
        <x:f>G658-H658</x:f>
        <x:v>-49949</x:v>
      </x:c>
      <x:c r="J658" s="186" t="n">
        <x:v>89457</x:v>
      </x:c>
      <x:c r="K658" s="186" t="n">
        <x:v>315033</x:v>
      </x:c>
      <x:c r="L658" s="186" t="n">
        <x:f>J658-K658</x:f>
        <x:v>-225576</x:v>
      </x:c>
      <x:c r="M658" s="186" t="n">
        <x:v>157560</x:v>
      </x:c>
      <x:c r="N658" s="186" t="n">
        <x:v>56294</x:v>
      </x:c>
      <x:c r="O658" s="186" t="n">
        <x:f>M658-N658</x:f>
        <x:v>101266</x:v>
      </x:c>
      <x:c r="P658" s="186" t="n">
        <x:v>173185</x:v>
      </x:c>
      <x:c r="Q658" s="186" t="n">
        <x:v>34694</x:v>
      </x:c>
      <x:c r="R658" s="186" t="n">
        <x:f>P658-Q658</x:f>
        <x:v>138491</x:v>
      </x:c>
      <x:c r="S658" s="186" t="n">
        <x:v>55032</x:v>
      </x:c>
      <x:c r="T658" s="186" t="n">
        <x:v>19264</x:v>
      </x:c>
      <x:c r="U658" s="186" t="n">
        <x:f>S658-T658</x:f>
        <x:v>35768</x:v>
      </x:c>
      <x:c r="V658" s="196" t="n">
        <x:f>IFERROR(O658/F658,"")</x:f>
        <x:v>0.17605293444737674</x:v>
      </x:c>
      <x:c r="W658" s="196" t="n">
        <x:f>IFERROR(I658/F658,"")</x:f>
        <x:v>-0.08683731975897163</x:v>
      </x:c>
    </x:row>
    <x:row r="659">
      <x:c r="A659" s="186" t="str">
        <x:v>Silver</x:v>
      </x:c>
      <x:c r="B659" s="187" t="n">
        <x:v>44670</x:v>
      </x:c>
      <x:c r="C659" s="187" t="n">
        <x:v>44673</x:v>
      </x:c>
      <x:c r="D659" s="186" t="str">
        <x:v>084691-SILVER</x:v>
      </x:c>
      <x:c r="E659" s="186" t="str">
        <x:v>SILVER - COMMODITY EXCHANGE INC.</x:v>
      </x:c>
      <x:c r="F659" s="186" t="n">
        <x:v>170577</x:v>
      </x:c>
      <x:c r="G659" s="186" t="n">
        <x:v>3456</x:v>
      </x:c>
      <x:c r="H659" s="186" t="n">
        <x:v>47109</x:v>
      </x:c>
      <x:c r="I659" s="186" t="n">
        <x:f>G659-H659</x:f>
        <x:v>-43653</x:v>
      </x:c>
      <x:c r="J659" s="186" t="n">
        <x:v>36412</x:v>
      </x:c>
      <x:c r="K659" s="186" t="n">
        <x:v>56047</x:v>
      </x:c>
      <x:c r="L659" s="186" t="n">
        <x:f>J659-K659</x:f>
        <x:v>-19635</x:v>
      </x:c>
      <x:c r="M659" s="186" t="n">
        <x:v>57303</x:v>
      </x:c>
      <x:c r="N659" s="186" t="n">
        <x:v>16585</x:v>
      </x:c>
      <x:c r="O659" s="186" t="n">
        <x:f>M659-N659</x:f>
        <x:v>40718</x:v>
      </x:c>
      <x:c r="P659" s="186" t="n">
        <x:v>11785</x:v>
      </x:c>
      <x:c r="Q659" s="186" t="n">
        <x:v>6074</x:v>
      </x:c>
      <x:c r="R659" s="186" t="n">
        <x:f>P659-Q659</x:f>
        <x:v>5711</x:v>
      </x:c>
      <x:c r="S659" s="186" t="n">
        <x:v>28471</x:v>
      </x:c>
      <x:c r="T659" s="186" t="n">
        <x:v>11612</x:v>
      </x:c>
      <x:c r="U659" s="186" t="n">
        <x:f>S659-T659</x:f>
        <x:v>16859</x:v>
      </x:c>
      <x:c r="V659" s="196" t="n">
        <x:f>IFERROR(O659/F659,"")</x:f>
        <x:v>0.23870744590419576</x:v>
      </x:c>
      <x:c r="W659" s="196" t="n">
        <x:f>IFERROR(I659/F659,"")</x:f>
        <x:v>-0.25591375156087864</x:v>
      </x:c>
    </x:row>
    <x:row r="660">
      <x:c r="A660" s="186" t="str">
        <x:v>Gold</x:v>
      </x:c>
      <x:c r="B660" s="187" t="n">
        <x:v>44677</x:v>
      </x:c>
      <x:c r="C660" s="187" t="n">
        <x:v>44680</x:v>
      </x:c>
      <x:c r="D660" s="186" t="str">
        <x:v>088691-GOLD</x:v>
      </x:c>
      <x:c r="E660" s="186" t="str">
        <x:v>GOLD - COMMODITY EXCHANGE INC.</x:v>
      </x:c>
      <x:c r="F660" s="186" t="n">
        <x:v>557785</x:v>
      </x:c>
      <x:c r="G660" s="186" t="n">
        <x:v>22665</x:v>
      </x:c>
      <x:c r="H660" s="186" t="n">
        <x:v>66838</x:v>
      </x:c>
      <x:c r="I660" s="186" t="n">
        <x:f>G660-H660</x:f>
        <x:v>-44173</x:v>
      </x:c>
      <x:c r="J660" s="186" t="n">
        <x:v>90532</x:v>
      </x:c>
      <x:c r="K660" s="186" t="n">
        <x:v>295653</x:v>
      </x:c>
      <x:c r="L660" s="186" t="n">
        <x:f>J660-K660</x:f>
        <x:v>-205121</x:v>
      </x:c>
      <x:c r="M660" s="186" t="n">
        <x:v>138215</x:v>
      </x:c>
      <x:c r="N660" s="186" t="n">
        <x:v>57098</x:v>
      </x:c>
      <x:c r="O660" s="186" t="n">
        <x:f>M660-N660</x:f>
        <x:v>81117</x:v>
      </x:c>
      <x:c r="P660" s="186" t="n">
        <x:v>172296</x:v>
      </x:c>
      <x:c r="Q660" s="186" t="n">
        <x:v>35389</x:v>
      </x:c>
      <x:c r="R660" s="186" t="n">
        <x:f>P660-Q660</x:f>
        <x:v>136907</x:v>
      </x:c>
      <x:c r="S660" s="186" t="n">
        <x:v>50938</x:v>
      </x:c>
      <x:c r="T660" s="186" t="n">
        <x:v>19668</x:v>
      </x:c>
      <x:c r="U660" s="186" t="n">
        <x:f>S660-T660</x:f>
        <x:v>31270</x:v>
      </x:c>
      <x:c r="V660" s="196" t="n">
        <x:f>IFERROR(O660/F660,"")</x:f>
        <x:v>0.14542700144320841</x:v>
      </x:c>
      <x:c r="W660" s="196" t="n">
        <x:f>IFERROR(I660/F660,"")</x:f>
        <x:v>-0.07919359609885529</x:v>
      </x:c>
    </x:row>
    <x:row r="661">
      <x:c r="A661" s="186" t="str">
        <x:v>Silver</x:v>
      </x:c>
      <x:c r="B661" s="187" t="n">
        <x:v>44677</x:v>
      </x:c>
      <x:c r="C661" s="187" t="n">
        <x:v>44680</x:v>
      </x:c>
      <x:c r="D661" s="186" t="str">
        <x:v>084691-SILVER</x:v>
      </x:c>
      <x:c r="E661" s="186" t="str">
        <x:v>SILVER - COMMODITY EXCHANGE INC.</x:v>
      </x:c>
      <x:c r="F661" s="186" t="n">
        <x:v>145538</x:v>
      </x:c>
      <x:c r="G661" s="186" t="n">
        <x:v>4365</x:v>
      </x:c>
      <x:c r="H661" s="186" t="n">
        <x:v>43649</x:v>
      </x:c>
      <x:c r="I661" s="186" t="n">
        <x:f>G661-H661</x:f>
        <x:v>-39284</x:v>
      </x:c>
      <x:c r="J661" s="186" t="n">
        <x:v>39455</x:v>
      </x:c>
      <x:c r="K661" s="186" t="n">
        <x:v>48954</x:v>
      </x:c>
      <x:c r="L661" s="186" t="n">
        <x:f>J661-K661</x:f>
        <x:v>-9499</x:v>
      </x:c>
      <x:c r="M661" s="186" t="n">
        <x:v>44689</x:v>
      </x:c>
      <x:c r="N661" s="186" t="n">
        <x:v>18291</x:v>
      </x:c>
      <x:c r="O661" s="186" t="n">
        <x:f>M661-N661</x:f>
        <x:v>26398</x:v>
      </x:c>
      <x:c r="P661" s="186" t="n">
        <x:v>12093</x:v>
      </x:c>
      <x:c r="Q661" s="186" t="n">
        <x:v>3085</x:v>
      </x:c>
      <x:c r="R661" s="186" t="n">
        <x:f>P661-Q661</x:f>
        <x:v>9008</x:v>
      </x:c>
      <x:c r="S661" s="186" t="n">
        <x:v>26656</x:v>
      </x:c>
      <x:c r="T661" s="186" t="n">
        <x:v>13279</x:v>
      </x:c>
      <x:c r="U661" s="186" t="n">
        <x:f>S661-T661</x:f>
        <x:v>13377</x:v>
      </x:c>
      <x:c r="V661" s="196" t="n">
        <x:f>IFERROR(O661/F661,"")</x:f>
        <x:v>0.18138218197309294</x:v>
      </x:c>
      <x:c r="W661" s="196" t="n">
        <x:f>IFERROR(I661/F661,"")</x:f>
        <x:v>-0.26992263188995314</x:v>
      </x:c>
    </x:row>
    <x:row r="662">
      <x:c r="A662" s="186" t="str">
        <x:v>Gold</x:v>
      </x:c>
      <x:c r="B662" s="187" t="n">
        <x:v>44684</x:v>
      </x:c>
      <x:c r="C662" s="187" t="n">
        <x:v>44687</x:v>
      </x:c>
      <x:c r="D662" s="186" t="str">
        <x:v>088691-GOLD</x:v>
      </x:c>
      <x:c r="E662" s="186" t="str">
        <x:v>GOLD - COMMODITY EXCHANGE INC.</x:v>
      </x:c>
      <x:c r="F662" s="186" t="n">
        <x:v>560441</x:v>
      </x:c>
      <x:c r="G662" s="186" t="n">
        <x:v>23431</x:v>
      </x:c>
      <x:c r="H662" s="186" t="n">
        <x:v>63612</x:v>
      </x:c>
      <x:c r="I662" s="186" t="n">
        <x:f>G662-H662</x:f>
        <x:v>-40181</x:v>
      </x:c>
      <x:c r="J662" s="186" t="n">
        <x:v>92223</x:v>
      </x:c>
      <x:c r="K662" s="186" t="n">
        <x:v>283894</x:v>
      </x:c>
      <x:c r="L662" s="186" t="n">
        <x:f>J662-K662</x:f>
        <x:v>-191671</x:v>
      </x:c>
      <x:c r="M662" s="186" t="n">
        <x:v>128828</x:v>
      </x:c>
      <x:c r="N662" s="186" t="n">
        <x:v>60981</x:v>
      </x:c>
      <x:c r="O662" s="186" t="n">
        <x:f>M662-N662</x:f>
        <x:v>67847</x:v>
      </x:c>
      <x:c r="P662" s="186" t="n">
        <x:v>164611</x:v>
      </x:c>
      <x:c r="Q662" s="186" t="n">
        <x:v>33290</x:v>
      </x:c>
      <x:c r="R662" s="186" t="n">
        <x:f>P662-Q662</x:f>
        <x:v>131321</x:v>
      </x:c>
      <x:c r="S662" s="186" t="n">
        <x:v>51270</x:v>
      </x:c>
      <x:c r="T662" s="186" t="n">
        <x:v>18586</x:v>
      </x:c>
      <x:c r="U662" s="186" t="n">
        <x:f>S662-T662</x:f>
        <x:v>32684</x:v>
      </x:c>
      <x:c r="V662" s="196" t="n">
        <x:f>IFERROR(O662/F662,"")</x:f>
        <x:v>0.12106002237523665</x:v>
      </x:c>
      <x:c r="W662" s="196" t="n">
        <x:f>IFERROR(I662/F662,"")</x:f>
        <x:v>-0.07169532564534001</x:v>
      </x:c>
    </x:row>
    <x:row r="663">
      <x:c r="A663" s="186" t="str">
        <x:v>Silver</x:v>
      </x:c>
      <x:c r="B663" s="187" t="n">
        <x:v>44684</x:v>
      </x:c>
      <x:c r="C663" s="187" t="n">
        <x:v>44687</x:v>
      </x:c>
      <x:c r="D663" s="186" t="str">
        <x:v>084691-SILVER</x:v>
      </x:c>
      <x:c r="E663" s="186" t="str">
        <x:v>SILVER - COMMODITY EXCHANGE INC.</x:v>
      </x:c>
      <x:c r="F663" s="186" t="n">
        <x:v>137692</x:v>
      </x:c>
      <x:c r="G663" s="186" t="n">
        <x:v>4197</x:v>
      </x:c>
      <x:c r="H663" s="186" t="n">
        <x:v>38907</x:v>
      </x:c>
      <x:c r="I663" s="186" t="n">
        <x:f>G663-H663</x:f>
        <x:v>-34710</x:v>
      </x:c>
      <x:c r="J663" s="186" t="n">
        <x:v>43349</x:v>
      </x:c>
      <x:c r="K663" s="186" t="n">
        <x:v>47956</x:v>
      </x:c>
      <x:c r="L663" s="186" t="n">
        <x:f>J663-K663</x:f>
        <x:v>-4607</x:v>
      </x:c>
      <x:c r="M663" s="186" t="n">
        <x:v>40692</x:v>
      </x:c>
      <x:c r="N663" s="186" t="n">
        <x:v>25502</x:v>
      </x:c>
      <x:c r="O663" s="186" t="n">
        <x:f>M663-N663</x:f>
        <x:v>15190</x:v>
      </x:c>
      <x:c r="P663" s="186" t="n">
        <x:v>16072</x:v>
      </x:c>
      <x:c r="Q663" s="186" t="n">
        <x:v>3194</x:v>
      </x:c>
      <x:c r="R663" s="186" t="n">
        <x:f>P663-Q663</x:f>
        <x:v>12878</x:v>
      </x:c>
      <x:c r="S663" s="186" t="n">
        <x:v>23860</x:v>
      </x:c>
      <x:c r="T663" s="186" t="n">
        <x:v>12611</x:v>
      </x:c>
      <x:c r="U663" s="186" t="n">
        <x:f>S663-T663</x:f>
        <x:v>11249</x:v>
      </x:c>
      <x:c r="V663" s="196" t="n">
        <x:f>IFERROR(O663/F663,"")</x:f>
        <x:v>0.11031868227638497</x:v>
      </x:c>
      <x:c r="W663" s="196" t="n">
        <x:f>IFERROR(I663/F663,"")</x:f>
        <x:v>-0.25208436219969205</x:v>
      </x:c>
    </x:row>
    <x:row r="664">
      <x:c r="A664" s="186" t="str">
        <x:v>Gold</x:v>
      </x:c>
      <x:c r="B664" s="187" t="n">
        <x:v>44691</x:v>
      </x:c>
      <x:c r="C664" s="187" t="n">
        <x:v>44694</x:v>
      </x:c>
      <x:c r="D664" s="186" t="str">
        <x:v>088691-GOLD</x:v>
      </x:c>
      <x:c r="E664" s="186" t="str">
        <x:v>GOLD - COMMODITY EXCHANGE INC.</x:v>
      </x:c>
      <x:c r="F664" s="186" t="n">
        <x:v>571447</x:v>
      </x:c>
      <x:c r="G664" s="186" t="n">
        <x:v>22242</x:v>
      </x:c>
      <x:c r="H664" s="186" t="n">
        <x:v>65143</x:v>
      </x:c>
      <x:c r="I664" s="186" t="n">
        <x:f>G664-H664</x:f>
        <x:v>-42901</x:v>
      </x:c>
      <x:c r="J664" s="186" t="n">
        <x:v>89722</x:v>
      </x:c>
      <x:c r="K664" s="186" t="n">
        <x:v>274577</x:v>
      </x:c>
      <x:c r="L664" s="186" t="n">
        <x:f>J664-K664</x:f>
        <x:v>-184855</x:v>
      </x:c>
      <x:c r="M664" s="186" t="n">
        <x:v>123931</x:v>
      </x:c>
      <x:c r="N664" s="186" t="n">
        <x:v>61939</x:v>
      </x:c>
      <x:c r="O664" s="186" t="n">
        <x:f>M664-N664</x:f>
        <x:v>61992</x:v>
      </x:c>
      <x:c r="P664" s="186" t="n">
        <x:v>165016</x:v>
      </x:c>
      <x:c r="Q664" s="186" t="n">
        <x:v>33693</x:v>
      </x:c>
      <x:c r="R664" s="186" t="n">
        <x:f>P664-Q664</x:f>
        <x:v>131323</x:v>
      </x:c>
      <x:c r="S664" s="186" t="n">
        <x:v>52098</x:v>
      </x:c>
      <x:c r="T664" s="186" t="n">
        <x:v>17657</x:v>
      </x:c>
      <x:c r="U664" s="186" t="n">
        <x:f>S664-T664</x:f>
        <x:v>34441</x:v>
      </x:c>
      <x:c r="V664" s="196" t="n">
        <x:f>IFERROR(O664/F664,"")</x:f>
        <x:v>0.10848250143932858</x:v>
      </x:c>
      <x:c r="W664" s="196" t="n">
        <x:f>IFERROR(I664/F664,"")</x:f>
        <x:v>-0.0750743288528945</x:v>
      </x:c>
    </x:row>
    <x:row r="665">
      <x:c r="A665" s="186" t="str">
        <x:v>Silver</x:v>
      </x:c>
      <x:c r="B665" s="187" t="n">
        <x:v>44691</x:v>
      </x:c>
      <x:c r="C665" s="187" t="n">
        <x:v>44694</x:v>
      </x:c>
      <x:c r="D665" s="186" t="str">
        <x:v>084691-SILVER</x:v>
      </x:c>
      <x:c r="E665" s="186" t="str">
        <x:v>SILVER - COMMODITY EXCHANGE INC.</x:v>
      </x:c>
      <x:c r="F665" s="186" t="n">
        <x:v>142752</x:v>
      </x:c>
      <x:c r="G665" s="186" t="n">
        <x:v>5397</x:v>
      </x:c>
      <x:c r="H665" s="186" t="n">
        <x:v>36108</x:v>
      </x:c>
      <x:c r="I665" s="186" t="n">
        <x:f>G665-H665</x:f>
        <x:v>-30711</x:v>
      </x:c>
      <x:c r="J665" s="186" t="n">
        <x:v>45364</x:v>
      </x:c>
      <x:c r="K665" s="186" t="n">
        <x:v>45172</x:v>
      </x:c>
      <x:c r="L665" s="186" t="n">
        <x:f>J665-K665</x:f>
        <x:v>192</x:v>
      </x:c>
      <x:c r="M665" s="186" t="n">
        <x:v>39862</x:v>
      </x:c>
      <x:c r="N665" s="186" t="n">
        <x:v>38016</x:v>
      </x:c>
      <x:c r="O665" s="186" t="n">
        <x:f>M665-N665</x:f>
        <x:v>1846</x:v>
      </x:c>
      <x:c r="P665" s="186" t="n">
        <x:v>19967</x:v>
      </x:c>
      <x:c r="Q665" s="186" t="n">
        <x:v>2731</x:v>
      </x:c>
      <x:c r="R665" s="186" t="n">
        <x:f>P665-Q665</x:f>
        <x:v>17236</x:v>
      </x:c>
      <x:c r="S665" s="186" t="n">
        <x:v>24862</x:v>
      </x:c>
      <x:c r="T665" s="186" t="n">
        <x:v>13425</x:v>
      </x:c>
      <x:c r="U665" s="186" t="n">
        <x:f>S665-T665</x:f>
        <x:v>11437</x:v>
      </x:c>
      <x:c r="V665" s="196" t="n">
        <x:f>IFERROR(O665/F665,"")</x:f>
        <x:v>0.012931517596951356</x:v>
      </x:c>
      <x:c r="W665" s="196" t="n">
        <x:f>IFERROR(I665/F665,"")</x:f>
        <x:v>-0.21513533960995293</x:v>
      </x:c>
    </x:row>
    <x:row r="666">
      <x:c r="A666" s="186" t="str">
        <x:v>Gold</x:v>
      </x:c>
      <x:c r="B666" s="187" t="n">
        <x:v>44698</x:v>
      </x:c>
      <x:c r="C666" s="187" t="n">
        <x:v>44701</x:v>
      </x:c>
      <x:c r="D666" s="186" t="str">
        <x:v>088691-GOLD</x:v>
      </x:c>
      <x:c r="E666" s="186" t="str">
        <x:v>GOLD - COMMODITY EXCHANGE INC.</x:v>
      </x:c>
      <x:c r="F666" s="186" t="n">
        <x:v>555756</x:v>
      </x:c>
      <x:c r="G666" s="186" t="n">
        <x:v>24468</x:v>
      </x:c>
      <x:c r="H666" s="186" t="n">
        <x:v>62025</x:v>
      </x:c>
      <x:c r="I666" s="186" t="n">
        <x:f>G666-H666</x:f>
        <x:v>-37557</x:v>
      </x:c>
      <x:c r="J666" s="186" t="n">
        <x:v>89655</x:v>
      </x:c>
      <x:c r="K666" s="186" t="n">
        <x:v>258977</x:v>
      </x:c>
      <x:c r="L666" s="186" t="n">
        <x:f>J666-K666</x:f>
        <x:v>-169322</x:v>
      </x:c>
      <x:c r="M666" s="186" t="n">
        <x:v>115572</x:v>
      </x:c>
      <x:c r="N666" s="186" t="n">
        <x:v>72212</x:v>
      </x:c>
      <x:c r="O666" s="186" t="n">
        <x:f>M666-N666</x:f>
        <x:v>43360</x:v>
      </x:c>
      <x:c r="P666" s="186" t="n">
        <x:v>167439</x:v>
      </x:c>
      <x:c r="Q666" s="186" t="n">
        <x:v>35439</x:v>
      </x:c>
      <x:c r="R666" s="186" t="n">
        <x:f>P666-Q666</x:f>
        <x:v>132000</x:v>
      </x:c>
      <x:c r="S666" s="186" t="n">
        <x:v>50588</x:v>
      </x:c>
      <x:c r="T666" s="186" t="n">
        <x:v>19069</x:v>
      </x:c>
      <x:c r="U666" s="186" t="n">
        <x:f>S666-T666</x:f>
        <x:v>31519</x:v>
      </x:c>
      <x:c r="V666" s="196" t="n">
        <x:f>IFERROR(O666/F666,"")</x:f>
        <x:v>0.07801985043796199</x:v>
      </x:c>
      <x:c r="W666" s="196" t="n">
        <x:f>IFERROR(I666/F666,"")</x:f>
        <x:v>-0.06757821777902533</x:v>
      </x:c>
    </x:row>
    <x:row r="667">
      <x:c r="A667" s="186" t="str">
        <x:v>Silver</x:v>
      </x:c>
      <x:c r="B667" s="187" t="n">
        <x:v>44698</x:v>
      </x:c>
      <x:c r="C667" s="187" t="n">
        <x:v>44701</x:v>
      </x:c>
      <x:c r="D667" s="186" t="str">
        <x:v>084691-SILVER</x:v>
      </x:c>
      <x:c r="E667" s="186" t="str">
        <x:v>SILVER - COMMODITY EXCHANGE INC.</x:v>
      </x:c>
      <x:c r="F667" s="186" t="n">
        <x:v>144534</x:v>
      </x:c>
      <x:c r="G667" s="186" t="n">
        <x:v>6566</x:v>
      </x:c>
      <x:c r="H667" s="186" t="n">
        <x:v>36352</x:v>
      </x:c>
      <x:c r="I667" s="186" t="n">
        <x:f>G667-H667</x:f>
        <x:v>-29786</x:v>
      </x:c>
      <x:c r="J667" s="186" t="n">
        <x:v>46499</x:v>
      </x:c>
      <x:c r="K667" s="186" t="n">
        <x:v>41554</x:v>
      </x:c>
      <x:c r="L667" s="186" t="n">
        <x:f>J667-K667</x:f>
        <x:v>4945</x:v>
      </x:c>
      <x:c r="M667" s="186" t="n">
        <x:v>40809</x:v>
      </x:c>
      <x:c r="N667" s="186" t="n">
        <x:v>40482</x:v>
      </x:c>
      <x:c r="O667" s="186" t="n">
        <x:f>M667-N667</x:f>
        <x:v>327</x:v>
      </x:c>
      <x:c r="P667" s="186" t="n">
        <x:v>19048</x:v>
      </x:c>
      <x:c r="Q667" s="186" t="n">
        <x:v>3261</x:v>
      </x:c>
      <x:c r="R667" s="186" t="n">
        <x:f>P667-Q667</x:f>
        <x:v>15787</x:v>
      </x:c>
      <x:c r="S667" s="186" t="n">
        <x:v>23121</x:v>
      </x:c>
      <x:c r="T667" s="186" t="n">
        <x:v>14394</x:v>
      </x:c>
      <x:c r="U667" s="186" t="n">
        <x:f>S667-T667</x:f>
        <x:v>8727</x:v>
      </x:c>
      <x:c r="V667" s="196" t="n">
        <x:f>IFERROR(O667/F667,"")</x:f>
        <x:v>0.0022624434389140274</x:v>
      </x:c>
      <x:c r="W667" s="196" t="n">
        <x:f>IFERROR(I667/F667,"")</x:f>
        <x:v>-0.2060829977721505</x:v>
      </x:c>
    </x:row>
    <x:row r="668">
      <x:c r="A668" s="186" t="str">
        <x:v>Gold</x:v>
      </x:c>
      <x:c r="B668" s="187" t="n">
        <x:v>44705</x:v>
      </x:c>
      <x:c r="C668" s="187" t="n">
        <x:v>44708</x:v>
      </x:c>
      <x:c r="D668" s="186" t="str">
        <x:v>088691-GOLD</x:v>
      </x:c>
      <x:c r="E668" s="186" t="str">
        <x:v>GOLD - COMMODITY EXCHANGE INC.</x:v>
      </x:c>
      <x:c r="F668" s="186" t="n">
        <x:v>530098</x:v>
      </x:c>
      <x:c r="G668" s="186" t="n">
        <x:v>21184</x:v>
      </x:c>
      <x:c r="H668" s="186" t="n">
        <x:v>63194</x:v>
      </x:c>
      <x:c r="I668" s="186" t="n">
        <x:f>G668-H668</x:f>
        <x:v>-42010</x:v>
      </x:c>
      <x:c r="J668" s="186" t="n">
        <x:v>88932</x:v>
      </x:c>
      <x:c r="K668" s="186" t="n">
        <x:v>258869</x:v>
      </x:c>
      <x:c r="L668" s="186" t="n">
        <x:f>J668-K668</x:f>
        <x:v>-169937</x:v>
      </x:c>
      <x:c r="M668" s="186" t="n">
        <x:v>121174</x:v>
      </x:c>
      <x:c r="N668" s="186" t="n">
        <x:v>60117</x:v>
      </x:c>
      <x:c r="O668" s="186" t="n">
        <x:f>M668-N668</x:f>
        <x:v>61057</x:v>
      </x:c>
      <x:c r="P668" s="186" t="n">
        <x:v>161028</x:v>
      </x:c>
      <x:c r="Q668" s="186" t="n">
        <x:v>38272</x:v>
      </x:c>
      <x:c r="R668" s="186" t="n">
        <x:f>P668-Q668</x:f>
        <x:v>122756</x:v>
      </x:c>
      <x:c r="S668" s="186" t="n">
        <x:v>47411</x:v>
      </x:c>
      <x:c r="T668" s="186" t="n">
        <x:v>19277</x:v>
      </x:c>
      <x:c r="U668" s="186" t="n">
        <x:f>S668-T668</x:f>
        <x:v>28134</x:v>
      </x:c>
      <x:c r="V668" s="196" t="n">
        <x:f>IFERROR(O668/F668,"")</x:f>
        <x:v>0.11518058924953499</x:v>
      </x:c>
      <x:c r="W668" s="196" t="n">
        <x:f>IFERROR(I668/F668,"")</x:f>
        <x:v>-0.07924949726277028</x:v>
      </x:c>
    </x:row>
    <x:row r="669">
      <x:c r="A669" s="186" t="str">
        <x:v>Silver</x:v>
      </x:c>
      <x:c r="B669" s="187" t="n">
        <x:v>44705</x:v>
      </x:c>
      <x:c r="C669" s="187" t="n">
        <x:v>44708</x:v>
      </x:c>
      <x:c r="D669" s="186" t="str">
        <x:v>084691-SILVER</x:v>
      </x:c>
      <x:c r="E669" s="186" t="str">
        <x:v>SILVER - COMMODITY EXCHANGE INC.</x:v>
      </x:c>
      <x:c r="F669" s="186" t="n">
        <x:v>146456</x:v>
      </x:c>
      <x:c r="G669" s="186" t="n">
        <x:v>7083</x:v>
      </x:c>
      <x:c r="H669" s="186" t="n">
        <x:v>36567</x:v>
      </x:c>
      <x:c r="I669" s="186" t="n">
        <x:f>G669-H669</x:f>
        <x:v>-29484</x:v>
      </x:c>
      <x:c r="J669" s="186" t="n">
        <x:v>47866</x:v>
      </x:c>
      <x:c r="K669" s="186" t="n">
        <x:v>41679</x:v>
      </x:c>
      <x:c r="L669" s="186" t="n">
        <x:f>J669-K669</x:f>
        <x:v>6187</x:v>
      </x:c>
      <x:c r="M669" s="186" t="n">
        <x:v>41545</x:v>
      </x:c>
      <x:c r="N669" s="186" t="n">
        <x:v>42404</x:v>
      </x:c>
      <x:c r="O669" s="186" t="n">
        <x:f>M669-N669</x:f>
        <x:v>-859</x:v>
      </x:c>
      <x:c r="P669" s="186" t="n">
        <x:v>17203</x:v>
      </x:c>
      <x:c r="Q669" s="186" t="n">
        <x:v>2241</x:v>
      </x:c>
      <x:c r="R669" s="186" t="n">
        <x:f>P669-Q669</x:f>
        <x:v>14962</x:v>
      </x:c>
      <x:c r="S669" s="186" t="n">
        <x:v>23064</x:v>
      </x:c>
      <x:c r="T669" s="186" t="n">
        <x:v>13870</x:v>
      </x:c>
      <x:c r="U669" s="186" t="n">
        <x:f>S669-T669</x:f>
        <x:v>9194</x:v>
      </x:c>
      <x:c r="V669" s="196" t="n">
        <x:f>IFERROR(O669/F669,"")</x:f>
        <x:v>-0.005865242803299284</x:v>
      </x:c>
      <x:c r="W669" s="196" t="n">
        <x:f>IFERROR(I669/F669,"")</x:f>
        <x:v>-0.20131643633582783</x:v>
      </x:c>
    </x:row>
    <x:row r="670">
      <x:c r="A670" s="186" t="str">
        <x:v>Gold</x:v>
      </x:c>
      <x:c r="B670" s="187" t="n">
        <x:v>44712</x:v>
      </x:c>
      <x:c r="C670" s="187" t="n">
        <x:v>44715</x:v>
      </x:c>
      <x:c r="D670" s="186" t="str">
        <x:v>088691-GOLD</x:v>
      </x:c>
      <x:c r="E670" s="186" t="str">
        <x:v>GOLD - COMMODITY EXCHANGE INC.</x:v>
      </x:c>
      <x:c r="F670" s="186" t="n">
        <x:v>513722</x:v>
      </x:c>
      <x:c r="G670" s="186" t="n">
        <x:v>19970</x:v>
      </x:c>
      <x:c r="H670" s="186" t="n">
        <x:v>65269</x:v>
      </x:c>
      <x:c r="I670" s="186" t="n">
        <x:f>G670-H670</x:f>
        <x:v>-45299</x:v>
      </x:c>
      <x:c r="J670" s="186" t="n">
        <x:v>87433</x:v>
      </x:c>
      <x:c r="K670" s="186" t="n">
        <x:v>242190</x:v>
      </x:c>
      <x:c r="L670" s="186" t="n">
        <x:f>J670-K670</x:f>
        <x:v>-154757</x:v>
      </x:c>
      <x:c r="M670" s="186" t="n">
        <x:v>112731</x:v>
      </x:c>
      <x:c r="N670" s="186" t="n">
        <x:v>61938</x:v>
      </x:c>
      <x:c r="O670" s="186" t="n">
        <x:f>M670-N670</x:f>
        <x:v>50793</x:v>
      </x:c>
      <x:c r="P670" s="186" t="n">
        <x:v>156728</x:v>
      </x:c>
      <x:c r="Q670" s="186" t="n">
        <x:v>34932</x:v>
      </x:c>
      <x:c r="R670" s="186" t="n">
        <x:f>P670-Q670</x:f>
        <x:v>121796</x:v>
      </x:c>
      <x:c r="S670" s="186" t="n">
        <x:v>46639</x:v>
      </x:c>
      <x:c r="T670" s="186" t="n">
        <x:v>19172</x:v>
      </x:c>
      <x:c r="U670" s="186" t="n">
        <x:f>S670-T670</x:f>
        <x:v>27467</x:v>
      </x:c>
      <x:c r="V670" s="196" t="n">
        <x:f>IFERROR(O670/F670,"")</x:f>
        <x:v>0.09887254195849117</x:v>
      </x:c>
      <x:c r="W670" s="196" t="n">
        <x:f>IFERROR(I670/F670,"")</x:f>
        <x:v>-0.08817804182028412</x:v>
      </x:c>
    </x:row>
    <x:row r="671">
      <x:c r="A671" s="186" t="str">
        <x:v>Silver</x:v>
      </x:c>
      <x:c r="B671" s="187" t="n">
        <x:v>44712</x:v>
      </x:c>
      <x:c r="C671" s="187" t="n">
        <x:v>44715</x:v>
      </x:c>
      <x:c r="D671" s="186" t="str">
        <x:v>084691-SILVER</x:v>
      </x:c>
      <x:c r="E671" s="186" t="str">
        <x:v>SILVER - COMMODITY EXCHANGE INC.</x:v>
      </x:c>
      <x:c r="F671" s="186" t="n">
        <x:v>147301</x:v>
      </x:c>
      <x:c r="G671" s="186" t="n">
        <x:v>6826</x:v>
      </x:c>
      <x:c r="H671" s="186" t="n">
        <x:v>37701</x:v>
      </x:c>
      <x:c r="I671" s="186" t="n">
        <x:f>G671-H671</x:f>
        <x:v>-30875</x:v>
      </x:c>
      <x:c r="J671" s="186" t="n">
        <x:v>48266</x:v>
      </x:c>
      <x:c r="K671" s="186" t="n">
        <x:v>41252</x:v>
      </x:c>
      <x:c r="L671" s="186" t="n">
        <x:f>J671-K671</x:f>
        <x:v>7014</x:v>
      </x:c>
      <x:c r="M671" s="186" t="n">
        <x:v>40984</x:v>
      </x:c>
      <x:c r="N671" s="186" t="n">
        <x:v>37933</x:v>
      </x:c>
      <x:c r="O671" s="186" t="n">
        <x:f>M671-N671</x:f>
        <x:v>3051</x:v>
      </x:c>
      <x:c r="P671" s="186" t="n">
        <x:v>14561</x:v>
      </x:c>
      <x:c r="Q671" s="186" t="n">
        <x:v>3615</x:v>
      </x:c>
      <x:c r="R671" s="186" t="n">
        <x:f>P671-Q671</x:f>
        <x:v>10946</x:v>
      </x:c>
      <x:c r="S671" s="186" t="n">
        <x:v>24482</x:v>
      </x:c>
      <x:c r="T671" s="186" t="n">
        <x:v>14618</x:v>
      </x:c>
      <x:c r="U671" s="186" t="n">
        <x:f>S671-T671</x:f>
        <x:v>9864</x:v>
      </x:c>
      <x:c r="V671" s="196" t="n">
        <x:f>IFERROR(O671/F671,"")</x:f>
        <x:v>0.020712690341545544</x:v>
      </x:c>
      <x:c r="W671" s="196" t="n">
        <x:f>IFERROR(I671/F671,"")</x:f>
        <x:v>-0.20960482277784945</x:v>
      </x:c>
    </x:row>
    <x:row r="672">
      <x:c r="A672" s="186" t="str">
        <x:v>Gold</x:v>
      </x:c>
      <x:c r="B672" s="187" t="n">
        <x:v>44719</x:v>
      </x:c>
      <x:c r="C672" s="187" t="n">
        <x:v>44722</x:v>
      </x:c>
      <x:c r="D672" s="186" t="str">
        <x:v>088691-GOLD</x:v>
      </x:c>
      <x:c r="E672" s="186" t="str">
        <x:v>GOLD - COMMODITY EXCHANGE INC.</x:v>
      </x:c>
      <x:c r="F672" s="186" t="n">
        <x:v>494130</x:v>
      </x:c>
      <x:c r="G672" s="186" t="n">
        <x:v>16570</x:v>
      </x:c>
      <x:c r="H672" s="186" t="n">
        <x:v>61112</x:v>
      </x:c>
      <x:c r="I672" s="186" t="n">
        <x:f>G672-H672</x:f>
        <x:v>-44542</x:v>
      </x:c>
      <x:c r="J672" s="186" t="n">
        <x:v>83943</x:v>
      </x:c>
      <x:c r="K672" s="186" t="n">
        <x:v>239287</x:v>
      </x:c>
      <x:c r="L672" s="186" t="n">
        <x:f>J672-K672</x:f>
        <x:v>-155344</x:v>
      </x:c>
      <x:c r="M672" s="186" t="n">
        <x:v>115215</x:v>
      </x:c>
      <x:c r="N672" s="186" t="n">
        <x:v>57684</x:v>
      </x:c>
      <x:c r="O672" s="186" t="n">
        <x:f>M672-N672</x:f>
        <x:v>57531</x:v>
      </x:c>
      <x:c r="P672" s="186" t="n">
        <x:v>155141</x:v>
      </x:c>
      <x:c r="Q672" s="186" t="n">
        <x:v>37404</x:v>
      </x:c>
      <x:c r="R672" s="186" t="n">
        <x:f>P672-Q672</x:f>
        <x:v>117737</x:v>
      </x:c>
      <x:c r="S672" s="186" t="n">
        <x:v>44090</x:v>
      </x:c>
      <x:c r="T672" s="186" t="n">
        <x:v>19472</x:v>
      </x:c>
      <x:c r="U672" s="186" t="n">
        <x:f>S672-T672</x:f>
        <x:v>24618</x:v>
      </x:c>
      <x:c r="V672" s="196" t="n">
        <x:f>IFERROR(O672/F672,"")</x:f>
        <x:v>0.1164288749924109</x:v>
      </x:c>
      <x:c r="W672" s="196" t="n">
        <x:f>IFERROR(I672/F672,"")</x:f>
        <x:v>-0.09014227025276748</x:v>
      </x:c>
    </x:row>
    <x:row r="673">
      <x:c r="A673" s="186" t="str">
        <x:v>Silver</x:v>
      </x:c>
      <x:c r="B673" s="187" t="n">
        <x:v>44719</x:v>
      </x:c>
      <x:c r="C673" s="187" t="n">
        <x:v>44722</x:v>
      </x:c>
      <x:c r="D673" s="186" t="str">
        <x:v>084691-SILVER</x:v>
      </x:c>
      <x:c r="E673" s="186" t="str">
        <x:v>SILVER - COMMODITY EXCHANGE INC.</x:v>
      </x:c>
      <x:c r="F673" s="186" t="n">
        <x:v>148294</x:v>
      </x:c>
      <x:c r="G673" s="186" t="n">
        <x:v>6370</x:v>
      </x:c>
      <x:c r="H673" s="186" t="n">
        <x:v>39428</x:v>
      </x:c>
      <x:c r="I673" s="186" t="n">
        <x:f>G673-H673</x:f>
        <x:v>-33058</x:v>
      </x:c>
      <x:c r="J673" s="186" t="n">
        <x:v>46506</x:v>
      </x:c>
      <x:c r="K673" s="186" t="n">
        <x:v>41438</x:v>
      </x:c>
      <x:c r="L673" s="186" t="n">
        <x:f>J673-K673</x:f>
        <x:v>5068</x:v>
      </x:c>
      <x:c r="M673" s="186" t="n">
        <x:v>40650</x:v>
      </x:c>
      <x:c r="N673" s="186" t="n">
        <x:v>33818</x:v>
      </x:c>
      <x:c r="O673" s="186" t="n">
        <x:f>M673-N673</x:f>
        <x:v>6832</x:v>
      </x:c>
      <x:c r="P673" s="186" t="n">
        <x:v>14249</x:v>
      </x:c>
      <x:c r="Q673" s="186" t="n">
        <x:v>3677</x:v>
      </x:c>
      <x:c r="R673" s="186" t="n">
        <x:f>P673-Q673</x:f>
        <x:v>10572</x:v>
      </x:c>
      <x:c r="S673" s="186" t="n">
        <x:v>25089</x:v>
      </x:c>
      <x:c r="T673" s="186" t="n">
        <x:v>14503</x:v>
      </x:c>
      <x:c r="U673" s="186" t="n">
        <x:f>S673-T673</x:f>
        <x:v>10586</x:v>
      </x:c>
      <x:c r="V673" s="196" t="n">
        <x:f>IFERROR(O673/F673,"")</x:f>
        <x:v>0.046070643451521974</x:v>
      </x:c>
      <x:c r="W673" s="196" t="n">
        <x:f>IFERROR(I673/F673,"")</x:f>
        <x:v>-0.22292203325825724</x:v>
      </x:c>
    </x:row>
    <x:row r="674">
      <x:c r="A674" s="186" t="str">
        <x:v>Gold</x:v>
      </x:c>
      <x:c r="B674" s="187" t="n">
        <x:v>44726</x:v>
      </x:c>
      <x:c r="C674" s="187" t="n">
        <x:v>44729</x:v>
      </x:c>
      <x:c r="D674" s="186" t="str">
        <x:v>088691-GOLD</x:v>
      </x:c>
      <x:c r="E674" s="186" t="str">
        <x:v>GOLD - COMMODITY EXCHANGE INC.</x:v>
      </x:c>
      <x:c r="F674" s="186" t="n">
        <x:v>497456</x:v>
      </x:c>
      <x:c r="G674" s="186" t="n">
        <x:v>14920</x:v>
      </x:c>
      <x:c r="H674" s="186" t="n">
        <x:v>55975</x:v>
      </x:c>
      <x:c r="I674" s="186" t="n">
        <x:f>G674-H674</x:f>
        <x:v>-41055</x:v>
      </x:c>
      <x:c r="J674" s="186" t="n">
        <x:v>90077</x:v>
      </x:c>
      <x:c r="K674" s="186" t="n">
        <x:v>227591</x:v>
      </x:c>
      <x:c r="L674" s="186" t="n">
        <x:f>J674-K674</x:f>
        <x:v>-137514</x:v>
      </x:c>
      <x:c r="M674" s="186" t="n">
        <x:v>109111</x:v>
      </x:c>
      <x:c r="N674" s="186" t="n">
        <x:v>72206</x:v>
      </x:c>
      <x:c r="O674" s="186" t="n">
        <x:f>M674-N674</x:f>
        <x:v>36905</x:v>
      </x:c>
      <x:c r="P674" s="186" t="n">
        <x:v>157485</x:v>
      </x:c>
      <x:c r="Q674" s="186" t="n">
        <x:v>39792</x:v>
      </x:c>
      <x:c r="R674" s="186" t="n">
        <x:f>P674-Q674</x:f>
        <x:v>117693</x:v>
      </x:c>
      <x:c r="S674" s="186" t="n">
        <x:v>45726</x:v>
      </x:c>
      <x:c r="T674" s="186" t="n">
        <x:v>21755</x:v>
      </x:c>
      <x:c r="U674" s="186" t="n">
        <x:f>S674-T674</x:f>
        <x:v>23971</x:v>
      </x:c>
      <x:c r="V674" s="196" t="n">
        <x:f>IFERROR(O674/F674,"")</x:f>
        <x:v>0.07418746582612332</x:v>
      </x:c>
      <x:c r="W674" s="196" t="n">
        <x:f>IFERROR(I674/F674,"")</x:f>
        <x:v>-0.0825299121932392</x:v>
      </x:c>
    </x:row>
    <x:row r="675">
      <x:c r="A675" s="186" t="str">
        <x:v>Silver</x:v>
      </x:c>
      <x:c r="B675" s="187" t="n">
        <x:v>44726</x:v>
      </x:c>
      <x:c r="C675" s="187" t="n">
        <x:v>44729</x:v>
      </x:c>
      <x:c r="D675" s="186" t="str">
        <x:v>084691-SILVER</x:v>
      </x:c>
      <x:c r="E675" s="186" t="str">
        <x:v>SILVER - COMMODITY EXCHANGE INC.</x:v>
      </x:c>
      <x:c r="F675" s="186" t="n">
        <x:v>151978</x:v>
      </x:c>
      <x:c r="G675" s="186" t="n">
        <x:v>8215</x:v>
      </x:c>
      <x:c r="H675" s="186" t="n">
        <x:v>37326</x:v>
      </x:c>
      <x:c r="I675" s="186" t="n">
        <x:f>G675-H675</x:f>
        <x:v>-29111</x:v>
      </x:c>
      <x:c r="J675" s="186" t="n">
        <x:v>48341</x:v>
      </x:c>
      <x:c r="K675" s="186" t="n">
        <x:v>41277</x:v>
      </x:c>
      <x:c r="L675" s="186" t="n">
        <x:f>J675-K675</x:f>
        <x:v>7064</x:v>
      </x:c>
      <x:c r="M675" s="186" t="n">
        <x:v>40712</x:v>
      </x:c>
      <x:c r="N675" s="186" t="n">
        <x:v>39103</x:v>
      </x:c>
      <x:c r="O675" s="186" t="n">
        <x:f>M675-N675</x:f>
        <x:v>1609</x:v>
      </x:c>
      <x:c r="P675" s="186" t="n">
        <x:v>16504</x:v>
      </x:c>
      <x:c r="Q675" s="186" t="n">
        <x:v>4108</x:v>
      </x:c>
      <x:c r="R675" s="186" t="n">
        <x:f>P675-Q675</x:f>
        <x:v>12396</x:v>
      </x:c>
      <x:c r="S675" s="186" t="n">
        <x:v>24268</x:v>
      </x:c>
      <x:c r="T675" s="186" t="n">
        <x:v>16226</x:v>
      </x:c>
      <x:c r="U675" s="186" t="n">
        <x:f>S675-T675</x:f>
        <x:v>8042</x:v>
      </x:c>
      <x:c r="V675" s="196" t="n">
        <x:f>IFERROR(O675/F675,"")</x:f>
        <x:v>0.010587058653226124</x:v>
      </x:c>
      <x:c r="W675" s="196" t="n">
        <x:f>IFERROR(I675/F675,"")</x:f>
        <x:v>-0.19154746081669716</x:v>
      </x:c>
    </x:row>
    <x:row r="676">
      <x:c r="A676" s="186" t="str">
        <x:v>Gold</x:v>
      </x:c>
      <x:c r="B676" s="187" t="n">
        <x:v>44733</x:v>
      </x:c>
      <x:c r="C676" s="187" t="n">
        <x:v>44736</x:v>
      </x:c>
      <x:c r="D676" s="186" t="str">
        <x:v>088691-GOLD</x:v>
      </x:c>
      <x:c r="E676" s="186" t="str">
        <x:v>GOLD - COMMODITY EXCHANGE INC.</x:v>
      </x:c>
      <x:c r="F676" s="186" t="n">
        <x:v>500276</x:v>
      </x:c>
      <x:c r="G676" s="186" t="n">
        <x:v>13019</x:v>
      </x:c>
      <x:c r="H676" s="186" t="n">
        <x:v>57208</x:v>
      </x:c>
      <x:c r="I676" s="186" t="n">
        <x:f>G676-H676</x:f>
        <x:v>-44189</x:v>
      </x:c>
      <x:c r="J676" s="186" t="n">
        <x:v>89736</x:v>
      </x:c>
      <x:c r="K676" s="186" t="n">
        <x:v>232476</x:v>
      </x:c>
      <x:c r="L676" s="186" t="n">
        <x:f>J676-K676</x:f>
        <x:v>-142740</x:v>
      </x:c>
      <x:c r="M676" s="186" t="n">
        <x:v>113220</x:v>
      </x:c>
      <x:c r="N676" s="186" t="n">
        <x:v>63417</x:v>
      </x:c>
      <x:c r="O676" s="186" t="n">
        <x:f>M676-N676</x:f>
        <x:v>49803</x:v>
      </x:c>
      <x:c r="P676" s="186" t="n">
        <x:v>154899</x:v>
      </x:c>
      <x:c r="Q676" s="186" t="n">
        <x:v>41415</x:v>
      </x:c>
      <x:c r="R676" s="186" t="n">
        <x:f>P676-Q676</x:f>
        <x:v>113484</x:v>
      </x:c>
      <x:c r="S676" s="186" t="n">
        <x:v>44380</x:v>
      </x:c>
      <x:c r="T676" s="186" t="n">
        <x:v>20738</x:v>
      </x:c>
      <x:c r="U676" s="186" t="n">
        <x:f>S676-T676</x:f>
        <x:v>23642</x:v>
      </x:c>
      <x:c r="V676" s="196" t="n">
        <x:f>IFERROR(O676/F676,"")</x:f>
        <x:v>0.09955104782160247</x:v>
      </x:c>
      <x:c r="W676" s="196" t="n">
        <x:f>IFERROR(I676/F676,"")</x:f>
        <x:v>-0.08832924225827343</x:v>
      </x:c>
    </x:row>
    <x:row r="677">
      <x:c r="A677" s="186" t="str">
        <x:v>Silver</x:v>
      </x:c>
      <x:c r="B677" s="187" t="n">
        <x:v>44733</x:v>
      </x:c>
      <x:c r="C677" s="187" t="n">
        <x:v>44736</x:v>
      </x:c>
      <x:c r="D677" s="186" t="str">
        <x:v>084691-SILVER</x:v>
      </x:c>
      <x:c r="E677" s="186" t="str">
        <x:v>SILVER - COMMODITY EXCHANGE INC.</x:v>
      </x:c>
      <x:c r="F677" s="186" t="n">
        <x:v>145356</x:v>
      </x:c>
      <x:c r="G677" s="186" t="n">
        <x:v>5309</x:v>
      </x:c>
      <x:c r="H677" s="186" t="n">
        <x:v>36787</x:v>
      </x:c>
      <x:c r="I677" s="186" t="n">
        <x:f>G677-H677</x:f>
        <x:v>-31478</x:v>
      </x:c>
      <x:c r="J677" s="186" t="n">
        <x:v>45366</x:v>
      </x:c>
      <x:c r="K677" s="186" t="n">
        <x:v>41138</x:v>
      </x:c>
      <x:c r="L677" s="186" t="n">
        <x:f>J677-K677</x:f>
        <x:v>4228</x:v>
      </x:c>
      <x:c r="M677" s="186" t="n">
        <x:v>39405</x:v>
      </x:c>
      <x:c r="N677" s="186" t="n">
        <x:v>32175</x:v>
      </x:c>
      <x:c r="O677" s="186" t="n">
        <x:f>M677-N677</x:f>
        <x:v>7230</x:v>
      </x:c>
      <x:c r="P677" s="186" t="n">
        <x:v>15046</x:v>
      </x:c>
      <x:c r="Q677" s="186" t="n">
        <x:v>3857</x:v>
      </x:c>
      <x:c r="R677" s="186" t="n">
        <x:f>P677-Q677</x:f>
        <x:v>11189</x:v>
      </x:c>
      <x:c r="S677" s="186" t="n">
        <x:v>25018</x:v>
      </x:c>
      <x:c r="T677" s="186" t="n">
        <x:v>16187</x:v>
      </x:c>
      <x:c r="U677" s="186" t="n">
        <x:f>S677-T677</x:f>
        <x:v>8831</x:v>
      </x:c>
      <x:c r="V677" s="196" t="n">
        <x:f>IFERROR(O677/F677,"")</x:f>
        <x:v>0.04973994881532238</x:v>
      </x:c>
      <x:c r="W677" s="196" t="n">
        <x:f>IFERROR(I677/F677,"")</x:f>
        <x:v>-0.21655796802333582</x:v>
      </x:c>
    </x:row>
    <x:row r="678">
      <x:c r="A678" s="186" t="str">
        <x:v>Gold</x:v>
      </x:c>
      <x:c r="B678" s="187" t="n">
        <x:v>44740</x:v>
      </x:c>
      <x:c r="C678" s="187" t="n">
        <x:v>44743</x:v>
      </x:c>
      <x:c r="D678" s="186" t="str">
        <x:v>088691-GOLD</x:v>
      </x:c>
      <x:c r="E678" s="186" t="str">
        <x:v>GOLD - COMMODITY EXCHANGE INC.</x:v>
      </x:c>
      <x:c r="F678" s="186" t="n">
        <x:v>497005</x:v>
      </x:c>
      <x:c r="G678" s="186" t="n">
        <x:v>13971</x:v>
      </x:c>
      <x:c r="H678" s="186" t="n">
        <x:v>57758</x:v>
      </x:c>
      <x:c r="I678" s="186" t="n">
        <x:f>G678-H678</x:f>
        <x:v>-43787</x:v>
      </x:c>
      <x:c r="J678" s="186" t="n">
        <x:v>88706</x:v>
      </x:c>
      <x:c r="K678" s="186" t="n">
        <x:v>226926</x:v>
      </x:c>
      <x:c r="L678" s="186" t="n">
        <x:f>J678-K678</x:f>
        <x:v>-138220</x:v>
      </x:c>
      <x:c r="M678" s="186" t="n">
        <x:v>110850</x:v>
      </x:c>
      <x:c r="N678" s="186" t="n">
        <x:v>74748</x:v>
      </x:c>
      <x:c r="O678" s="186" t="n">
        <x:f>M678-N678</x:f>
        <x:v>36102</x:v>
      </x:c>
      <x:c r="P678" s="186" t="n">
        <x:v>157862</x:v>
      </x:c>
      <x:c r="Q678" s="186" t="n">
        <x:v>36271</x:v>
      </x:c>
      <x:c r="R678" s="186" t="n">
        <x:f>P678-Q678</x:f>
        <x:v>121591</x:v>
      </x:c>
      <x:c r="S678" s="186" t="n">
        <x:v>44823</x:v>
      </x:c>
      <x:c r="T678" s="186" t="n">
        <x:v>20509</x:v>
      </x:c>
      <x:c r="U678" s="186" t="n">
        <x:f>S678-T678</x:f>
        <x:v>24314</x:v>
      </x:c>
      <x:c r="V678" s="196" t="n">
        <x:f>IFERROR(O678/F678,"")</x:f>
        <x:v>0.07263910825846823</x:v>
      </x:c>
      <x:c r="W678" s="196" t="n">
        <x:f>IFERROR(I678/F678,"")</x:f>
        <x:v>-0.08810172935885957</x:v>
      </x:c>
    </x:row>
    <x:row r="679">
      <x:c r="A679" s="186" t="str">
        <x:v>Silver</x:v>
      </x:c>
      <x:c r="B679" s="187" t="n">
        <x:v>44740</x:v>
      </x:c>
      <x:c r="C679" s="187" t="n">
        <x:v>44743</x:v>
      </x:c>
      <x:c r="D679" s="186" t="str">
        <x:v>084691-SILVER</x:v>
      </x:c>
      <x:c r="E679" s="186" t="str">
        <x:v>SILVER - COMMODITY EXCHANGE INC.</x:v>
      </x:c>
      <x:c r="F679" s="186" t="n">
        <x:v>135775</x:v>
      </x:c>
      <x:c r="G679" s="186" t="n">
        <x:v>7147</x:v>
      </x:c>
      <x:c r="H679" s="186" t="n">
        <x:v>31629</x:v>
      </x:c>
      <x:c r="I679" s="186" t="n">
        <x:f>G679-H679</x:f>
        <x:v>-24482</x:v>
      </x:c>
      <x:c r="J679" s="186" t="n">
        <x:v>45788</x:v>
      </x:c>
      <x:c r="K679" s="186" t="n">
        <x:v>39791</x:v>
      </x:c>
      <x:c r="L679" s="186" t="n">
        <x:f>J679-K679</x:f>
        <x:v>5997</x:v>
      </x:c>
      <x:c r="M679" s="186" t="n">
        <x:v>39039</x:v>
      </x:c>
      <x:c r="N679" s="186" t="n">
        <x:v>38294</x:v>
      </x:c>
      <x:c r="O679" s="186" t="n">
        <x:f>M679-N679</x:f>
        <x:v>745</x:v>
      </x:c>
      <x:c r="P679" s="186" t="n">
        <x:v>13893</x:v>
      </x:c>
      <x:c r="Q679" s="186" t="n">
        <x:v>3747</x:v>
      </x:c>
      <x:c r="R679" s="186" t="n">
        <x:f>P679-Q679</x:f>
        <x:v>10146</x:v>
      </x:c>
      <x:c r="S679" s="186" t="n">
        <x:v>22724</x:v>
      </x:c>
      <x:c r="T679" s="186" t="n">
        <x:v>15130</x:v>
      </x:c>
      <x:c r="U679" s="186" t="n">
        <x:f>S679-T679</x:f>
        <x:v>7594</x:v>
      </x:c>
      <x:c r="V679" s="196" t="n">
        <x:f>IFERROR(O679/F679,"")</x:f>
        <x:v>0.005487018965199779</x:v>
      </x:c>
      <x:c r="W679" s="196" t="n">
        <x:f>IFERROR(I679/F679,"")</x:f>
        <x:v>-0.18031301786043086</x:v>
      </x:c>
    </x:row>
    <x:row r="680">
      <x:c r="A680" s="186" t="str">
        <x:v>Gold</x:v>
      </x:c>
      <x:c r="B680" s="187" t="n">
        <x:v>44747</x:v>
      </x:c>
      <x:c r="C680" s="187" t="n">
        <x:v>44750</x:v>
      </x:c>
      <x:c r="D680" s="186" t="str">
        <x:v>088691-GOLD</x:v>
      </x:c>
      <x:c r="E680" s="186" t="str">
        <x:v>GOLD - COMMODITY EXCHANGE INC.</x:v>
      </x:c>
      <x:c r="F680" s="186" t="n">
        <x:v>498210</x:v>
      </x:c>
      <x:c r="G680" s="186" t="n">
        <x:v>15404</x:v>
      </x:c>
      <x:c r="H680" s="186" t="n">
        <x:v>53894</x:v>
      </x:c>
      <x:c r="I680" s="186" t="n">
        <x:f>G680-H680</x:f>
        <x:v>-38490</x:v>
      </x:c>
      <x:c r="J680" s="186" t="n">
        <x:v>88196</x:v>
      </x:c>
      <x:c r="K680" s="186" t="n">
        <x:v>215291</x:v>
      </x:c>
      <x:c r="L680" s="186" t="n">
        <x:f>J680-K680</x:f>
        <x:v>-127095</x:v>
      </x:c>
      <x:c r="M680" s="186" t="n">
        <x:v>103472</x:v>
      </x:c>
      <x:c r="N680" s="186" t="n">
        <x:v>86438</x:v>
      </x:c>
      <x:c r="O680" s="186" t="n">
        <x:f>M680-N680</x:f>
        <x:v>17034</x:v>
      </x:c>
      <x:c r="P680" s="186" t="n">
        <x:v>164334</x:v>
      </x:c>
      <x:c r="Q680" s="186" t="n">
        <x:v>35708</x:v>
      </x:c>
      <x:c r="R680" s="186" t="n">
        <x:f>P680-Q680</x:f>
        <x:v>128626</x:v>
      </x:c>
      <x:c r="S680" s="186" t="n">
        <x:v>43933</x:v>
      </x:c>
      <x:c r="T680" s="186" t="n">
        <x:v>24008</x:v>
      </x:c>
      <x:c r="U680" s="186" t="n">
        <x:f>S680-T680</x:f>
        <x:v>19925</x:v>
      </x:c>
      <x:c r="V680" s="196" t="n">
        <x:f>IFERROR(O680/F680,"")</x:f>
        <x:v>0.03419040163786355</x:v>
      </x:c>
      <x:c r="W680" s="196" t="n">
        <x:f>IFERROR(I680/F680,"")</x:f>
        <x:v>-0.07725657855121335</x:v>
      </x:c>
    </x:row>
    <x:row r="681">
      <x:c r="A681" s="186" t="str">
        <x:v>Silver</x:v>
      </x:c>
      <x:c r="B681" s="187" t="n">
        <x:v>44747</x:v>
      </x:c>
      <x:c r="C681" s="187" t="n">
        <x:v>44750</x:v>
      </x:c>
      <x:c r="D681" s="186" t="str">
        <x:v>084691-SILVER</x:v>
      </x:c>
      <x:c r="E681" s="186" t="str">
        <x:v>SILVER - COMMODITY EXCHANGE INC.</x:v>
      </x:c>
      <x:c r="F681" s="186" t="n">
        <x:v>140463</x:v>
      </x:c>
      <x:c r="G681" s="186" t="n">
        <x:v>9022</x:v>
      </x:c>
      <x:c r="H681" s="186" t="n">
        <x:v>28082</x:v>
      </x:c>
      <x:c r="I681" s="186" t="n">
        <x:f>G681-H681</x:f>
        <x:v>-19060</x:v>
      </x:c>
      <x:c r="J681" s="186" t="n">
        <x:v>45868</x:v>
      </x:c>
      <x:c r="K681" s="186" t="n">
        <x:v>38430</x:v>
      </x:c>
      <x:c r="L681" s="186" t="n">
        <x:f>J681-K681</x:f>
        <x:v>7438</x:v>
      </x:c>
      <x:c r="M681" s="186" t="n">
        <x:v>37322</x:v>
      </x:c>
      <x:c r="N681" s="186" t="n">
        <x:v>46067</x:v>
      </x:c>
      <x:c r="O681" s="186" t="n">
        <x:f>M681-N681</x:f>
        <x:v>-8745</x:v>
      </x:c>
      <x:c r="P681" s="186" t="n">
        <x:v>17519</x:v>
      </x:c>
      <x:c r="Q681" s="186" t="n">
        <x:v>3635</x:v>
      </x:c>
      <x:c r="R681" s="186" t="n">
        <x:f>P681-Q681</x:f>
        <x:v>13884</x:v>
      </x:c>
      <x:c r="S681" s="186" t="n">
        <x:v>22495</x:v>
      </x:c>
      <x:c r="T681" s="186" t="n">
        <x:v>16012</x:v>
      </x:c>
      <x:c r="U681" s="186" t="n">
        <x:f>S681-T681</x:f>
        <x:v>6483</x:v>
      </x:c>
      <x:c r="V681" s="196" t="n">
        <x:f>IFERROR(O681/F681,"")</x:f>
        <x:v>-0.062258388330022854</x:v>
      </x:c>
      <x:c r="W681" s="196" t="n">
        <x:f>IFERROR(I681/F681,"")</x:f>
        <x:v>-0.13569409737795718</x:v>
      </x:c>
    </x:row>
    <x:row r="682">
      <x:c r="A682" s="186" t="str">
        <x:v>Gold</x:v>
      </x:c>
      <x:c r="B682" s="187" t="n">
        <x:v>44754</x:v>
      </x:c>
      <x:c r="C682" s="187" t="n">
        <x:v>44757</x:v>
      </x:c>
      <x:c r="D682" s="186" t="str">
        <x:v>088691-GOLD</x:v>
      </x:c>
      <x:c r="E682" s="186" t="str">
        <x:v>GOLD - COMMODITY EXCHANGE INC.</x:v>
      </x:c>
      <x:c r="F682" s="186" t="n">
        <x:v>542493</x:v>
      </x:c>
      <x:c r="G682" s="186" t="n">
        <x:v>18149</x:v>
      </x:c>
      <x:c r="H682" s="186" t="n">
        <x:v>46218</x:v>
      </x:c>
      <x:c r="I682" s="186" t="n">
        <x:f>G682-H682</x:f>
        <x:v>-28069</x:v>
      </x:c>
      <x:c r="J682" s="186" t="n">
        <x:v>88915</x:v>
      </x:c>
      <x:c r="K682" s="186" t="n">
        <x:v>198634</x:v>
      </x:c>
      <x:c r="L682" s="186" t="n">
        <x:f>J682-K682</x:f>
        <x:v>-109719</x:v>
      </x:c>
      <x:c r="M682" s="186" t="n">
        <x:v>91669</x:v>
      </x:c>
      <x:c r="N682" s="186" t="n">
        <x:v>97802</x:v>
      </x:c>
      <x:c r="O682" s="186" t="n">
        <x:f>M682-N682</x:f>
        <x:v>-6133</x:v>
      </x:c>
      <x:c r="P682" s="186" t="n">
        <x:v>159457</x:v>
      </x:c>
      <x:c r="Q682" s="186" t="n">
        <x:v>35203</x:v>
      </x:c>
      <x:c r="R682" s="186" t="n">
        <x:f>P682-Q682</x:f>
        <x:v>124254</x:v>
      </x:c>
      <x:c r="S682" s="186" t="n">
        <x:v>52583</x:v>
      </x:c>
      <x:c r="T682" s="186" t="n">
        <x:v>32916</x:v>
      </x:c>
      <x:c r="U682" s="186" t="n">
        <x:f>S682-T682</x:f>
        <x:v>19667</x:v>
      </x:c>
      <x:c r="V682" s="196" t="n">
        <x:f>IFERROR(O682/F682,"")</x:f>
        <x:v>-0.011305214998165876</x:v>
      </x:c>
      <x:c r="W682" s="196" t="n">
        <x:f>IFERROR(I682/F682,"")</x:f>
        <x:v>-0.05174075978860557</x:v>
      </x:c>
    </x:row>
    <x:row r="683">
      <x:c r="A683" s="186" t="str">
        <x:v>Silver</x:v>
      </x:c>
      <x:c r="B683" s="187" t="n">
        <x:v>44754</x:v>
      </x:c>
      <x:c r="C683" s="187" t="n">
        <x:v>44757</x:v>
      </x:c>
      <x:c r="D683" s="186" t="str">
        <x:v>084691-SILVER</x:v>
      </x:c>
      <x:c r="E683" s="186" t="str">
        <x:v>SILVER - COMMODITY EXCHANGE INC.</x:v>
      </x:c>
      <x:c r="F683" s="186" t="n">
        <x:v>142259</x:v>
      </x:c>
      <x:c r="G683" s="186" t="n">
        <x:v>9491</x:v>
      </x:c>
      <x:c r="H683" s="186" t="n">
        <x:v>28263</x:v>
      </x:c>
      <x:c r="I683" s="186" t="n">
        <x:f>G683-H683</x:f>
        <x:v>-18772</x:v>
      </x:c>
      <x:c r="J683" s="186" t="n">
        <x:v>46173</x:v>
      </x:c>
      <x:c r="K683" s="186" t="n">
        <x:v>37013</x:v>
      </x:c>
      <x:c r="L683" s="186" t="n">
        <x:f>J683-K683</x:f>
        <x:v>9160</x:v>
      </x:c>
      <x:c r="M683" s="186" t="n">
        <x:v>37095</x:v>
      </x:c>
      <x:c r="N683" s="186" t="n">
        <x:v>47543</x:v>
      </x:c>
      <x:c r="O683" s="186" t="n">
        <x:f>M683-N683</x:f>
        <x:v>-10448</x:v>
      </x:c>
      <x:c r="P683" s="186" t="n">
        <x:v>17649</x:v>
      </x:c>
      <x:c r="Q683" s="186" t="n">
        <x:v>3997</x:v>
      </x:c>
      <x:c r="R683" s="186" t="n">
        <x:f>P683-Q683</x:f>
        <x:v>13652</x:v>
      </x:c>
      <x:c r="S683" s="186" t="n">
        <x:v>21748</x:v>
      </x:c>
      <x:c r="T683" s="186" t="n">
        <x:v>15340</x:v>
      </x:c>
      <x:c r="U683" s="186" t="n">
        <x:f>S683-T683</x:f>
        <x:v>6408</x:v>
      </x:c>
      <x:c r="V683" s="196" t="n">
        <x:f>IFERROR(O683/F683,"")</x:f>
        <x:v>-0.07344350796786143</x:v>
      </x:c>
      <x:c r="W683" s="196" t="n">
        <x:f>IFERROR(I683/F683,"")</x:f>
        <x:v>-0.13195650187334368</x:v>
      </x:c>
    </x:row>
    <x:row r="684">
      <x:c r="A684" s="186" t="str">
        <x:v>Gold</x:v>
      </x:c>
      <x:c r="B684" s="187" t="n">
        <x:v>44761</x:v>
      </x:c>
      <x:c r="C684" s="187" t="n">
        <x:v>44764</x:v>
      </x:c>
      <x:c r="D684" s="186" t="str">
        <x:v>088691-GOLD</x:v>
      </x:c>
      <x:c r="E684" s="186" t="str">
        <x:v>GOLD - COMMODITY EXCHANGE INC.</x:v>
      </x:c>
      <x:c r="F684" s="186" t="n">
        <x:v>524786</x:v>
      </x:c>
      <x:c r="G684" s="186" t="n">
        <x:v>21601</x:v>
      </x:c>
      <x:c r="H684" s="186" t="n">
        <x:v>46644</x:v>
      </x:c>
      <x:c r="I684" s="186" t="n">
        <x:f>G684-H684</x:f>
        <x:v>-25043</x:v>
      </x:c>
      <x:c r="J684" s="186" t="n">
        <x:v>91690</x:v>
      </x:c>
      <x:c r="K684" s="186" t="n">
        <x:v>178909</x:v>
      </x:c>
      <x:c r="L684" s="186" t="n">
        <x:f>J684-K684</x:f>
        <x:v>-87219</x:v>
      </x:c>
      <x:c r="M684" s="186" t="n">
        <x:v>91056</x:v>
      </x:c>
      <x:c r="N684" s="186" t="n">
        <x:v>109794</x:v>
      </x:c>
      <x:c r="O684" s="186" t="n">
        <x:f>M684-N684</x:f>
        <x:v>-18738</x:v>
      </x:c>
      <x:c r="P684" s="186" t="n">
        <x:v>149948</x:v>
      </x:c>
      <x:c r="Q684" s="186" t="n">
        <x:v>36255</x:v>
      </x:c>
      <x:c r="R684" s="186" t="n">
        <x:f>P684-Q684</x:f>
        <x:v>113693</x:v>
      </x:c>
      <x:c r="S684" s="186" t="n">
        <x:v>43294</x:v>
      </x:c>
      <x:c r="T684" s="186" t="n">
        <x:v>25987</x:v>
      </x:c>
      <x:c r="U684" s="186" t="n">
        <x:f>S684-T684</x:f>
        <x:v>17307</x:v>
      </x:c>
      <x:c r="V684" s="196" t="n">
        <x:f>IFERROR(O684/F684,"")</x:f>
        <x:v>-0.0357059830102175</x:v>
      </x:c>
      <x:c r="W684" s="196" t="n">
        <x:f>IFERROR(I684/F684,"")</x:f>
        <x:v>-0.047720404126634475</x:v>
      </x:c>
    </x:row>
    <x:row r="685">
      <x:c r="A685" s="186" t="str">
        <x:v>Silver</x:v>
      </x:c>
      <x:c r="B685" s="187" t="n">
        <x:v>44761</x:v>
      </x:c>
      <x:c r="C685" s="187" t="n">
        <x:v>44764</x:v>
      </x:c>
      <x:c r="D685" s="186" t="str">
        <x:v>084691-SILVER</x:v>
      </x:c>
      <x:c r="E685" s="186" t="str">
        <x:v>SILVER - COMMODITY EXCHANGE INC.</x:v>
      </x:c>
      <x:c r="F685" s="186" t="n">
        <x:v>145247</x:v>
      </x:c>
      <x:c r="G685" s="186" t="n">
        <x:v>9538</x:v>
      </x:c>
      <x:c r="H685" s="186" t="n">
        <x:v>28061</x:v>
      </x:c>
      <x:c r="I685" s="186" t="n">
        <x:f>G685-H685</x:f>
        <x:v>-18523</x:v>
      </x:c>
      <x:c r="J685" s="186" t="n">
        <x:v>45986</x:v>
      </x:c>
      <x:c r="K685" s="186" t="n">
        <x:v>35676</x:v>
      </x:c>
      <x:c r="L685" s="186" t="n">
        <x:f>J685-K685</x:f>
        <x:v>10310</x:v>
      </x:c>
      <x:c r="M685" s="186" t="n">
        <x:v>36411</x:v>
      </x:c>
      <x:c r="N685" s="186" t="n">
        <x:v>50452</x:v>
      </x:c>
      <x:c r="O685" s="186" t="n">
        <x:f>M685-N685</x:f>
        <x:v>-14041</x:v>
      </x:c>
      <x:c r="P685" s="186" t="n">
        <x:v>19776</x:v>
      </x:c>
      <x:c r="Q685" s="186" t="n">
        <x:v>4375</x:v>
      </x:c>
      <x:c r="R685" s="186" t="n">
        <x:f>P685-Q685</x:f>
        <x:v>15401</x:v>
      </x:c>
      <x:c r="S685" s="186" t="n">
        <x:v>21517</x:v>
      </x:c>
      <x:c r="T685" s="186" t="n">
        <x:v>14664</x:v>
      </x:c>
      <x:c r="U685" s="186" t="n">
        <x:f>S685-T685</x:f>
        <x:v>6853</x:v>
      </x:c>
      <x:c r="V685" s="196" t="n">
        <x:f>IFERROR(O685/F685,"")</x:f>
        <x:v>-0.09666981073619421</x:v>
      </x:c>
      <x:c r="W685" s="196" t="n">
        <x:f>IFERROR(I685/F685,"")</x:f>
        <x:v>-0.1275275909313101</x:v>
      </x:c>
    </x:row>
    <x:row r="686">
      <x:c r="A686" s="186" t="str">
        <x:v>Gold</x:v>
      </x:c>
      <x:c r="B686" s="187" t="n">
        <x:v>44768</x:v>
      </x:c>
      <x:c r="C686" s="187" t="n">
        <x:v>44771</x:v>
      </x:c>
      <x:c r="D686" s="186" t="str">
        <x:v>088691-GOLD</x:v>
      </x:c>
      <x:c r="E686" s="186" t="str">
        <x:v>GOLD - COMMODITY EXCHANGE INC.</x:v>
      </x:c>
      <x:c r="F686" s="186" t="n">
        <x:v>487515</x:v>
      </x:c>
      <x:c r="G686" s="186" t="n">
        <x:v>16057</x:v>
      </x:c>
      <x:c r="H686" s="186" t="n">
        <x:v>41222</x:v>
      </x:c>
      <x:c r="I686" s="186" t="n">
        <x:f>G686-H686</x:f>
        <x:v>-25165</x:v>
      </x:c>
      <x:c r="J686" s="186" t="n">
        <x:v>90911</x:v>
      </x:c>
      <x:c r="K686" s="186" t="n">
        <x:v>174168</x:v>
      </x:c>
      <x:c r="L686" s="186" t="n">
        <x:f>J686-K686</x:f>
        <x:v>-83257</x:v>
      </x:c>
      <x:c r="M686" s="186" t="n">
        <x:v>92216</x:v>
      </x:c>
      <x:c r="N686" s="186" t="n">
        <x:v>111309</x:v>
      </x:c>
      <x:c r="O686" s="186" t="n">
        <x:f>M686-N686</x:f>
        <x:v>-19093</x:v>
      </x:c>
      <x:c r="P686" s="186" t="n">
        <x:v>149445</x:v>
      </x:c>
      <x:c r="Q686" s="186" t="n">
        <x:v>37662</x:v>
      </x:c>
      <x:c r="R686" s="186" t="n">
        <x:f>P686-Q686</x:f>
        <x:v>111783</x:v>
      </x:c>
      <x:c r="S686" s="186" t="n">
        <x:v>42821</x:v>
      </x:c>
      <x:c r="T686" s="186" t="n">
        <x:v>27089</x:v>
      </x:c>
      <x:c r="U686" s="186" t="n">
        <x:f>S686-T686</x:f>
        <x:v>15732</x:v>
      </x:c>
      <x:c r="V686" s="196" t="n">
        <x:f>IFERROR(O686/F686,"")</x:f>
        <x:v>-0.039163923161338626</x:v>
      </x:c>
      <x:c r="W686" s="196" t="n">
        <x:f>IFERROR(I686/F686,"")</x:f>
        <x:v>-0.05161892454591141</x:v>
      </x:c>
    </x:row>
    <x:row r="687">
      <x:c r="A687" s="186" t="str">
        <x:v>Silver</x:v>
      </x:c>
      <x:c r="B687" s="187" t="n">
        <x:v>44768</x:v>
      </x:c>
      <x:c r="C687" s="187" t="n">
        <x:v>44771</x:v>
      </x:c>
      <x:c r="D687" s="186" t="str">
        <x:v>084691-SILVER</x:v>
      </x:c>
      <x:c r="E687" s="186" t="str">
        <x:v>SILVER - COMMODITY EXCHANGE INC.</x:v>
      </x:c>
      <x:c r="F687" s="186" t="n">
        <x:v>147784</x:v>
      </x:c>
      <x:c r="G687" s="186" t="n">
        <x:v>10547</x:v>
      </x:c>
      <x:c r="H687" s="186" t="n">
        <x:v>27760</x:v>
      </x:c>
      <x:c r="I687" s="186" t="n">
        <x:f>G687-H687</x:f>
        <x:v>-17213</x:v>
      </x:c>
      <x:c r="J687" s="186" t="n">
        <x:v>48397</x:v>
      </x:c>
      <x:c r="K687" s="186" t="n">
        <x:v>33837</x:v>
      </x:c>
      <x:c r="L687" s="186" t="n">
        <x:f>J687-K687</x:f>
        <x:v>14560</x:v>
      </x:c>
      <x:c r="M687" s="186" t="n">
        <x:v>36721</x:v>
      </x:c>
      <x:c r="N687" s="186" t="n">
        <x:v>54539</x:v>
      </x:c>
      <x:c r="O687" s="186" t="n">
        <x:f>M687-N687</x:f>
        <x:v>-17818</x:v>
      </x:c>
      <x:c r="P687" s="186" t="n">
        <x:v>17950</x:v>
      </x:c>
      <x:c r="Q687" s="186" t="n">
        <x:v>4632</x:v>
      </x:c>
      <x:c r="R687" s="186" t="n">
        <x:f>P687-Q687</x:f>
        <x:v>13318</x:v>
      </x:c>
      <x:c r="S687" s="186" t="n">
        <x:v>22309</x:v>
      </x:c>
      <x:c r="T687" s="186" t="n">
        <x:v>15156</x:v>
      </x:c>
      <x:c r="U687" s="186" t="n">
        <x:f>S687-T687</x:f>
        <x:v>7153</x:v>
      </x:c>
      <x:c r="V687" s="196" t="n">
        <x:f>IFERROR(O687/F687,"")</x:f>
        <x:v>-0.12056785578953066</x:v>
      </x:c>
      <x:c r="W687" s="196" t="n">
        <x:f>IFERROR(I687/F687,"")</x:f>
        <x:v>-0.11647404319818112</x:v>
      </x:c>
    </x:row>
    <x:row r="688">
      <x:c r="A688" s="186" t="str">
        <x:v>Gold</x:v>
      </x:c>
      <x:c r="B688" s="187" t="n">
        <x:v>44775</x:v>
      </x:c>
      <x:c r="C688" s="187" t="n">
        <x:v>44778</x:v>
      </x:c>
      <x:c r="D688" s="186" t="str">
        <x:v>088691-GOLD</x:v>
      </x:c>
      <x:c r="E688" s="186" t="str">
        <x:v>GOLD - COMMODITY EXCHANGE INC.</x:v>
      </x:c>
      <x:c r="F688" s="186" t="n">
        <x:v>459649</x:v>
      </x:c>
      <x:c r="G688" s="186" t="n">
        <x:v>13831</x:v>
      </x:c>
      <x:c r="H688" s="186" t="n">
        <x:v>44218</x:v>
      </x:c>
      <x:c r="I688" s="186" t="n">
        <x:f>G688-H688</x:f>
        <x:v>-30387</x:v>
      </x:c>
      <x:c r="J688" s="186" t="n">
        <x:v>87907</x:v>
      </x:c>
      <x:c r="K688" s="186" t="n">
        <x:v>193085</x:v>
      </x:c>
      <x:c r="L688" s="186" t="n">
        <x:f>J688-K688</x:f>
        <x:v>-105178</x:v>
      </x:c>
      <x:c r="M688" s="186" t="n">
        <x:v>96634</x:v>
      </x:c>
      <x:c r="N688" s="186" t="n">
        <x:v>80779</x:v>
      </x:c>
      <x:c r="O688" s="186" t="n">
        <x:f>M688-N688</x:f>
        <x:v>15855</x:v>
      </x:c>
      <x:c r="P688" s="186" t="n">
        <x:v>145494</x:v>
      </x:c>
      <x:c r="Q688" s="186" t="n">
        <x:v>37023</x:v>
      </x:c>
      <x:c r="R688" s="186" t="n">
        <x:f>P688-Q688</x:f>
        <x:v>108471</x:v>
      </x:c>
      <x:c r="S688" s="186" t="n">
        <x:v>37481</x:v>
      </x:c>
      <x:c r="T688" s="186" t="n">
        <x:v>26242</x:v>
      </x:c>
      <x:c r="U688" s="186" t="n">
        <x:f>S688-T688</x:f>
        <x:v>11239</x:v>
      </x:c>
      <x:c r="V688" s="196" t="n">
        <x:f>IFERROR(O688/F688,"")</x:f>
        <x:v>0.034493711505953456</x:v>
      </x:c>
      <x:c r="W688" s="196" t="n">
        <x:f>IFERROR(I688/F688,"")</x:f>
        <x:v>-0.06610913980015186</x:v>
      </x:c>
    </x:row>
    <x:row r="689">
      <x:c r="A689" s="186" t="str">
        <x:v>Silver</x:v>
      </x:c>
      <x:c r="B689" s="187" t="n">
        <x:v>44775</x:v>
      </x:c>
      <x:c r="C689" s="187" t="n">
        <x:v>44778</x:v>
      </x:c>
      <x:c r="D689" s="186" t="str">
        <x:v>084691-SILVER</x:v>
      </x:c>
      <x:c r="E689" s="186" t="str">
        <x:v>SILVER - COMMODITY EXCHANGE INC.</x:v>
      </x:c>
      <x:c r="F689" s="186" t="n">
        <x:v>136267</x:v>
      </x:c>
      <x:c r="G689" s="186" t="n">
        <x:v>7282</x:v>
      </x:c>
      <x:c r="H689" s="186" t="n">
        <x:v>27589</x:v>
      </x:c>
      <x:c r="I689" s="186" t="n">
        <x:f>G689-H689</x:f>
        <x:v>-20307</x:v>
      </x:c>
      <x:c r="J689" s="186" t="n">
        <x:v>46042</x:v>
      </x:c>
      <x:c r="K689" s="186" t="n">
        <x:v>34799</x:v>
      </x:c>
      <x:c r="L689" s="186" t="n">
        <x:f>J689-K689</x:f>
        <x:v>11243</x:v>
      </x:c>
      <x:c r="M689" s="186" t="n">
        <x:v>33027</x:v>
      </x:c>
      <x:c r="N689" s="186" t="n">
        <x:v>41883</x:v>
      </x:c>
      <x:c r="O689" s="186" t="n">
        <x:f>M689-N689</x:f>
        <x:v>-8856</x:v>
      </x:c>
      <x:c r="P689" s="186" t="n">
        <x:v>16193</x:v>
      </x:c>
      <x:c r="Q689" s="186" t="n">
        <x:v>6363</x:v>
      </x:c>
      <x:c r="R689" s="186" t="n">
        <x:f>P689-Q689</x:f>
        <x:v>9830</x:v>
      </x:c>
      <x:c r="S689" s="186" t="n">
        <x:v>22198</x:v>
      </x:c>
      <x:c r="T689" s="186" t="n">
        <x:v>14108</x:v>
      </x:c>
      <x:c r="U689" s="186" t="n">
        <x:f>S689-T689</x:f>
        <x:v>8090</x:v>
      </x:c>
      <x:c r="V689" s="196" t="n">
        <x:f>IFERROR(O689/F689,"")</x:f>
        <x:v>-0.06499005628655508</x:v>
      </x:c>
      <x:c r="W689" s="196" t="n">
        <x:f>IFERROR(I689/F689,"")</x:f>
        <x:v>-0.14902360806358106</x:v>
      </x:c>
    </x:row>
    <x:row r="690">
      <x:c r="A690" s="186" t="str">
        <x:v>Gold</x:v>
      </x:c>
      <x:c r="B690" s="187" t="n">
        <x:v>44782</x:v>
      </x:c>
      <x:c r="C690" s="187" t="n">
        <x:v>44785</x:v>
      </x:c>
      <x:c r="D690" s="186" t="str">
        <x:v>088691-GOLD</x:v>
      </x:c>
      <x:c r="E690" s="186" t="str">
        <x:v>GOLD - COMMODITY EXCHANGE INC.</x:v>
      </x:c>
      <x:c r="F690" s="186" t="n">
        <x:v>453540</x:v>
      </x:c>
      <x:c r="G690" s="186" t="n">
        <x:v>12940</x:v>
      </x:c>
      <x:c r="H690" s="186" t="n">
        <x:v>49401</x:v>
      </x:c>
      <x:c r="I690" s="186" t="n">
        <x:f>G690-H690</x:f>
        <x:v>-36461</x:v>
      </x:c>
      <x:c r="J690" s="186" t="n">
        <x:v>83302</x:v>
      </x:c>
      <x:c r="K690" s="186" t="n">
        <x:v>201395</x:v>
      </x:c>
      <x:c r="L690" s="186" t="n">
        <x:f>J690-K690</x:f>
        <x:v>-118093</x:v>
      </x:c>
      <x:c r="M690" s="186" t="n">
        <x:v>100013</x:v>
      </x:c>
      <x:c r="N690" s="186" t="n">
        <x:v>59279</x:v>
      </x:c>
      <x:c r="O690" s="186" t="n">
        <x:f>M690-N690</x:f>
        <x:v>40734</x:v>
      </x:c>
      <x:c r="P690" s="186" t="n">
        <x:v>142893</x:v>
      </x:c>
      <x:c r="Q690" s="186" t="n">
        <x:v>40776</x:v>
      </x:c>
      <x:c r="R690" s="186" t="n">
        <x:f>P690-Q690</x:f>
        <x:v>102117</x:v>
      </x:c>
      <x:c r="S690" s="186" t="n">
        <x:v>37927</x:v>
      </x:c>
      <x:c r="T690" s="186" t="n">
        <x:v>26224</x:v>
      </x:c>
      <x:c r="U690" s="186" t="n">
        <x:f>S690-T690</x:f>
        <x:v>11703</x:v>
      </x:c>
      <x:c r="V690" s="196" t="n">
        <x:f>IFERROR(O690/F690,"")</x:f>
        <x:v>0.08981346738986638</x:v>
      </x:c>
      <x:c r="W690" s="196" t="n">
        <x:f>IFERROR(I690/F690,"")</x:f>
        <x:v>-0.08039202716408696</x:v>
      </x:c>
    </x:row>
    <x:row r="691">
      <x:c r="A691" s="186" t="str">
        <x:v>Silver</x:v>
      </x:c>
      <x:c r="B691" s="187" t="n">
        <x:v>44782</x:v>
      </x:c>
      <x:c r="C691" s="187" t="n">
        <x:v>44785</x:v>
      </x:c>
      <x:c r="D691" s="186" t="str">
        <x:v>084691-SILVER</x:v>
      </x:c>
      <x:c r="E691" s="186" t="str">
        <x:v>SILVER - COMMODITY EXCHANGE INC.</x:v>
      </x:c>
      <x:c r="F691" s="186" t="n">
        <x:v>141093</x:v>
      </x:c>
      <x:c r="G691" s="186" t="n">
        <x:v>7092</x:v>
      </x:c>
      <x:c r="H691" s="186" t="n">
        <x:v>30055</x:v>
      </x:c>
      <x:c r="I691" s="186" t="n">
        <x:f>G691-H691</x:f>
        <x:v>-22963</x:v>
      </x:c>
      <x:c r="J691" s="186" t="n">
        <x:v>44461</x:v>
      </x:c>
      <x:c r="K691" s="186" t="n">
        <x:v>35072</x:v>
      </x:c>
      <x:c r="L691" s="186" t="n">
        <x:f>J691-K691</x:f>
        <x:v>9389</x:v>
      </x:c>
      <x:c r="M691" s="186" t="n">
        <x:v>32469</x:v>
      </x:c>
      <x:c r="N691" s="186" t="n">
        <x:v>39012</x:v>
      </x:c>
      <x:c r="O691" s="186" t="n">
        <x:f>M691-N691</x:f>
        <x:v>-6543</x:v>
      </x:c>
      <x:c r="P691" s="186" t="n">
        <x:v>16395</x:v>
      </x:c>
      <x:c r="Q691" s="186" t="n">
        <x:v>6973</x:v>
      </x:c>
      <x:c r="R691" s="186" t="n">
        <x:f>P691-Q691</x:f>
        <x:v>9422</x:v>
      </x:c>
      <x:c r="S691" s="186" t="n">
        <x:v>24122</x:v>
      </x:c>
      <x:c r="T691" s="186" t="n">
        <x:v>13427</x:v>
      </x:c>
      <x:c r="U691" s="186" t="n">
        <x:f>S691-T691</x:f>
        <x:v>10695</x:v>
      </x:c>
      <x:c r="V691" s="196" t="n">
        <x:f>IFERROR(O691/F691,"")</x:f>
        <x:v>-0.046373668431460104</x:v>
      </x:c>
      <x:c r="W691" s="196" t="n">
        <x:f>IFERROR(I691/F691,"")</x:f>
        <x:v>-0.1627508097495978</x:v>
      </x:c>
    </x:row>
    <x:row r="692">
      <x:c r="A692" s="186" t="str">
        <x:v>Gold</x:v>
      </x:c>
      <x:c r="B692" s="187" t="n">
        <x:v>44789</x:v>
      </x:c>
      <x:c r="C692" s="187" t="n">
        <x:v>44792</x:v>
      </x:c>
      <x:c r="D692" s="186" t="str">
        <x:v>088691-GOLD</x:v>
      </x:c>
      <x:c r="E692" s="186" t="str">
        <x:v>GOLD - COMMODITY EXCHANGE INC.</x:v>
      </x:c>
      <x:c r="F692" s="186" t="n">
        <x:v>453960</x:v>
      </x:c>
      <x:c r="G692" s="186" t="n">
        <x:v>14278</x:v>
      </x:c>
      <x:c r="H692" s="186" t="n">
        <x:v>48802</x:v>
      </x:c>
      <x:c r="I692" s="186" t="n">
        <x:f>G692-H692</x:f>
        <x:v>-34524</x:v>
      </x:c>
      <x:c r="J692" s="186" t="n">
        <x:v>82580</x:v>
      </x:c>
      <x:c r="K692" s="186" t="n">
        <x:v>201765</x:v>
      </x:c>
      <x:c r="L692" s="186" t="n">
        <x:f>J692-K692</x:f>
        <x:v>-119185</x:v>
      </x:c>
      <x:c r="M692" s="186" t="n">
        <x:v>96765</x:v>
      </x:c>
      <x:c r="N692" s="186" t="n">
        <x:v>60392</x:v>
      </x:c>
      <x:c r="O692" s="186" t="n">
        <x:f>M692-N692</x:f>
        <x:v>36373</x:v>
      </x:c>
      <x:c r="P692" s="186" t="n">
        <x:v>141431</x:v>
      </x:c>
      <x:c r="Q692" s="186" t="n">
        <x:v>36640</x:v>
      </x:c>
      <x:c r="R692" s="186" t="n">
        <x:f>P692-Q692</x:f>
        <x:v>104791</x:v>
      </x:c>
      <x:c r="S692" s="186" t="n">
        <x:v>37826</x:v>
      </x:c>
      <x:c r="T692" s="186" t="n">
        <x:v>25281</x:v>
      </x:c>
      <x:c r="U692" s="186" t="n">
        <x:f>S692-T692</x:f>
        <x:v>12545</x:v>
      </x:c>
      <x:c r="V692" s="196" t="n">
        <x:f>IFERROR(O692/F692,"")</x:f>
        <x:v>0.08012379945369637</x:v>
      </x:c>
      <x:c r="W692" s="196" t="n">
        <x:f>IFERROR(I692/F692,"")</x:f>
        <x:v>-0.07605075337034099</x:v>
      </x:c>
    </x:row>
    <x:row r="693">
      <x:c r="A693" s="186" t="str">
        <x:v>Silver</x:v>
      </x:c>
      <x:c r="B693" s="187" t="n">
        <x:v>44789</x:v>
      </x:c>
      <x:c r="C693" s="187" t="n">
        <x:v>44792</x:v>
      </x:c>
      <x:c r="D693" s="186" t="str">
        <x:v>084691-SILVER</x:v>
      </x:c>
      <x:c r="E693" s="186" t="str">
        <x:v>SILVER - COMMODITY EXCHANGE INC.</x:v>
      </x:c>
      <x:c r="F693" s="186" t="n">
        <x:v>144314</x:v>
      </x:c>
      <x:c r="G693" s="186" t="n">
        <x:v>8488</x:v>
      </x:c>
      <x:c r="H693" s="186" t="n">
        <x:v>31264</x:v>
      </x:c>
      <x:c r="I693" s="186" t="n">
        <x:f>G693-H693</x:f>
        <x:v>-22776</x:v>
      </x:c>
      <x:c r="J693" s="186" t="n">
        <x:v>45418</x:v>
      </x:c>
      <x:c r="K693" s="186" t="n">
        <x:v>35093</x:v>
      </x:c>
      <x:c r="L693" s="186" t="n">
        <x:f>J693-K693</x:f>
        <x:v>10325</x:v>
      </x:c>
      <x:c r="M693" s="186" t="n">
        <x:v>31781</x:v>
      </x:c>
      <x:c r="N693" s="186" t="n">
        <x:v>37872</x:v>
      </x:c>
      <x:c r="O693" s="186" t="n">
        <x:f>M693-N693</x:f>
        <x:v>-6091</x:v>
      </x:c>
      <x:c r="P693" s="186" t="n">
        <x:v>16070</x:v>
      </x:c>
      <x:c r="Q693" s="186" t="n">
        <x:v>6471</x:v>
      </x:c>
      <x:c r="R693" s="186" t="n">
        <x:f>P693-Q693</x:f>
        <x:v>9599</x:v>
      </x:c>
      <x:c r="S693" s="186" t="n">
        <x:v>23230</x:v>
      </x:c>
      <x:c r="T693" s="186" t="n">
        <x:v>14287</x:v>
      </x:c>
      <x:c r="U693" s="186" t="n">
        <x:f>S693-T693</x:f>
        <x:v>8943</x:v>
      </x:c>
      <x:c r="V693" s="196" t="n">
        <x:f>IFERROR(O693/F693,"")</x:f>
        <x:v>-0.042206577324445306</x:v>
      </x:c>
      <x:c r="W693" s="196" t="n">
        <x:f>IFERROR(I693/F693,"")</x:f>
        <x:v>-0.1578225258810649</x:v>
      </x:c>
    </x:row>
    <x:row r="694">
      <x:c r="A694" s="186" t="str">
        <x:v>Gold</x:v>
      </x:c>
      <x:c r="B694" s="187" t="n">
        <x:v>44796</x:v>
      </x:c>
      <x:c r="C694" s="187" t="n">
        <x:v>44799</x:v>
      </x:c>
      <x:c r="D694" s="186" t="str">
        <x:v>088691-GOLD</x:v>
      </x:c>
      <x:c r="E694" s="186" t="str">
        <x:v>GOLD - COMMODITY EXCHANGE INC.</x:v>
      </x:c>
      <x:c r="F694" s="186" t="n">
        <x:v>457762</x:v>
      </x:c>
      <x:c r="G694" s="186" t="n">
        <x:v>14957</x:v>
      </x:c>
      <x:c r="H694" s="186" t="n">
        <x:v>47144</x:v>
      </x:c>
      <x:c r="I694" s="186" t="n">
        <x:f>G694-H694</x:f>
        <x:v>-32187</x:v>
      </x:c>
      <x:c r="J694" s="186" t="n">
        <x:v>84037</x:v>
      </x:c>
      <x:c r="K694" s="186" t="n">
        <x:v>189922</x:v>
      </x:c>
      <x:c r="L694" s="186" t="n">
        <x:f>J694-K694</x:f>
        <x:v>-105885</x:v>
      </x:c>
      <x:c r="M694" s="186" t="n">
        <x:v>95850</x:v>
      </x:c>
      <x:c r="N694" s="186" t="n">
        <x:v>73739</x:v>
      </x:c>
      <x:c r="O694" s="186" t="n">
        <x:f>M694-N694</x:f>
        <x:v>22111</x:v>
      </x:c>
      <x:c r="P694" s="186" t="n">
        <x:v>141577</x:v>
      </x:c>
      <x:c r="Q694" s="186" t="n">
        <x:v>37841</x:v>
      </x:c>
      <x:c r="R694" s="186" t="n">
        <x:f>P694-Q694</x:f>
        <x:v>103736</x:v>
      </x:c>
      <x:c r="S694" s="186" t="n">
        <x:v>38292</x:v>
      </x:c>
      <x:c r="T694" s="186" t="n">
        <x:v>26067</x:v>
      </x:c>
      <x:c r="U694" s="186" t="n">
        <x:f>S694-T694</x:f>
        <x:v>12225</x:v>
      </x:c>
      <x:c r="V694" s="196" t="n">
        <x:f>IFERROR(O694/F694,"")</x:f>
        <x:v>0.04830239294655301</x:v>
      </x:c>
      <x:c r="W694" s="196" t="n">
        <x:f>IFERROR(I694/F694,"")</x:f>
        <x:v>-0.07031383120486191</x:v>
      </x:c>
    </x:row>
    <x:row r="695">
      <x:c r="A695" s="186" t="str">
        <x:v>Silver</x:v>
      </x:c>
      <x:c r="B695" s="187" t="n">
        <x:v>44796</x:v>
      </x:c>
      <x:c r="C695" s="187" t="n">
        <x:v>44799</x:v>
      </x:c>
      <x:c r="D695" s="186" t="str">
        <x:v>084691-SILVER</x:v>
      </x:c>
      <x:c r="E695" s="186" t="str">
        <x:v>SILVER - COMMODITY EXCHANGE INC.</x:v>
      </x:c>
      <x:c r="F695" s="186" t="n">
        <x:v>144357</x:v>
      </x:c>
      <x:c r="G695" s="186" t="n">
        <x:v>9700</x:v>
      </x:c>
      <x:c r="H695" s="186" t="n">
        <x:v>29462</x:v>
      </x:c>
      <x:c r="I695" s="186" t="n">
        <x:f>G695-H695</x:f>
        <x:v>-19762</x:v>
      </x:c>
      <x:c r="J695" s="186" t="n">
        <x:v>48868</x:v>
      </x:c>
      <x:c r="K695" s="186" t="n">
        <x:v>33425</x:v>
      </x:c>
      <x:c r="L695" s="186" t="n">
        <x:f>J695-K695</x:f>
        <x:v>15443</x:v>
      </x:c>
      <x:c r="M695" s="186" t="n">
        <x:v>31703</x:v>
      </x:c>
      <x:c r="N695" s="186" t="n">
        <x:v>47527</x:v>
      </x:c>
      <x:c r="O695" s="186" t="n">
        <x:f>M695-N695</x:f>
        <x:v>-15824</x:v>
      </x:c>
      <x:c r="P695" s="186" t="n">
        <x:v>17448</x:v>
      </x:c>
      <x:c r="Q695" s="186" t="n">
        <x:v>6124</x:v>
      </x:c>
      <x:c r="R695" s="186" t="n">
        <x:f>P695-Q695</x:f>
        <x:v>11324</x:v>
      </x:c>
      <x:c r="S695" s="186" t="n">
        <x:v>23653</x:v>
      </x:c>
      <x:c r="T695" s="186" t="n">
        <x:v>14834</x:v>
      </x:c>
      <x:c r="U695" s="186" t="n">
        <x:f>S695-T695</x:f>
        <x:v>8819</x:v>
      </x:c>
      <x:c r="V695" s="196" t="n">
        <x:f>IFERROR(O695/F695,"")</x:f>
        <x:v>-0.10961712975470535</x:v>
      </x:c>
      <x:c r="W695" s="196" t="n">
        <x:f>IFERROR(I695/F695,"")</x:f>
        <x:v>-0.1368967213228316</x:v>
      </x:c>
    </x:row>
    <x:row r="696">
      <x:c r="A696" s="186" t="str">
        <x:v>Gold</x:v>
      </x:c>
      <x:c r="B696" s="187" t="n">
        <x:v>44803</x:v>
      </x:c>
      <x:c r="C696" s="187" t="n">
        <x:v>44806</x:v>
      </x:c>
      <x:c r="D696" s="186" t="str">
        <x:v>088691-GOLD</x:v>
      </x:c>
      <x:c r="E696" s="186" t="str">
        <x:v>GOLD - COMMODITY EXCHANGE INC.</x:v>
      </x:c>
      <x:c r="F696" s="186" t="n">
        <x:v>459165</x:v>
      </x:c>
      <x:c r="G696" s="186" t="n">
        <x:v>14612</x:v>
      </x:c>
      <x:c r="H696" s="186" t="n">
        <x:v>45959</x:v>
      </x:c>
      <x:c r="I696" s="186" t="n">
        <x:f>G696-H696</x:f>
        <x:v>-31347</x:v>
      </x:c>
      <x:c r="J696" s="186" t="n">
        <x:v>86070</x:v>
      </x:c>
      <x:c r="K696" s="186" t="n">
        <x:v>184402</x:v>
      </x:c>
      <x:c r="L696" s="186" t="n">
        <x:f>J696-K696</x:f>
        <x:v>-98332</x:v>
      </x:c>
      <x:c r="M696" s="186" t="n">
        <x:v>91761</x:v>
      </x:c>
      <x:c r="N696" s="186" t="n">
        <x:v>79973</x:v>
      </x:c>
      <x:c r="O696" s="186" t="n">
        <x:f>M696-N696</x:f>
        <x:v>11788</x:v>
      </x:c>
      <x:c r="P696" s="186" t="n">
        <x:v>143553</x:v>
      </x:c>
      <x:c r="Q696" s="186" t="n">
        <x:v>37607</x:v>
      </x:c>
      <x:c r="R696" s="186" t="n">
        <x:f>P696-Q696</x:f>
        <x:v>105946</x:v>
      </x:c>
      <x:c r="S696" s="186" t="n">
        <x:v>38918</x:v>
      </x:c>
      <x:c r="T696" s="186" t="n">
        <x:v>26973</x:v>
      </x:c>
      <x:c r="U696" s="186" t="n">
        <x:f>S696-T696</x:f>
        <x:v>11945</x:v>
      </x:c>
      <x:c r="V696" s="196" t="n">
        <x:f>IFERROR(O696/F696,"")</x:f>
        <x:v>0.025672688467108774</x:v>
      </x:c>
      <x:c r="W696" s="196" t="n">
        <x:f>IFERROR(I696/F696,"")</x:f>
        <x:v>-0.06826957629610271</x:v>
      </x:c>
    </x:row>
    <x:row r="697">
      <x:c r="A697" s="186" t="str">
        <x:v>Silver</x:v>
      </x:c>
      <x:c r="B697" s="187" t="n">
        <x:v>44803</x:v>
      </x:c>
      <x:c r="C697" s="187" t="n">
        <x:v>44806</x:v>
      </x:c>
      <x:c r="D697" s="186" t="str">
        <x:v>084691-SILVER</x:v>
      </x:c>
      <x:c r="E697" s="186" t="str">
        <x:v>SILVER - COMMODITY EXCHANGE INC.</x:v>
      </x:c>
      <x:c r="F697" s="186" t="n">
        <x:v>138714</x:v>
      </x:c>
      <x:c r="G697" s="186" t="n">
        <x:v>8098</x:v>
      </x:c>
      <x:c r="H697" s="186" t="n">
        <x:v>25972</x:v>
      </x:c>
      <x:c r="I697" s="186" t="n">
        <x:f>G697-H697</x:f>
        <x:v>-17874</x:v>
      </x:c>
      <x:c r="J697" s="186" t="n">
        <x:v>50005</x:v>
      </x:c>
      <x:c r="K697" s="186" t="n">
        <x:v>31866</x:v>
      </x:c>
      <x:c r="L697" s="186" t="n">
        <x:f>J697-K697</x:f>
        <x:v>18139</x:v>
      </x:c>
      <x:c r="M697" s="186" t="n">
        <x:v>31139</x:v>
      </x:c>
      <x:c r="N697" s="186" t="n">
        <x:v>52170</x:v>
      </x:c>
      <x:c r="O697" s="186" t="n">
        <x:f>M697-N697</x:f>
        <x:v>-21031</x:v>
      </x:c>
      <x:c r="P697" s="186" t="n">
        <x:v>18329</x:v>
      </x:c>
      <x:c r="Q697" s="186" t="n">
        <x:v>5569</x:v>
      </x:c>
      <x:c r="R697" s="186" t="n">
        <x:f>P697-Q697</x:f>
        <x:v>12760</x:v>
      </x:c>
      <x:c r="S697" s="186" t="n">
        <x:v>22715</x:v>
      </x:c>
      <x:c r="T697" s="186" t="n">
        <x:v>14709</x:v>
      </x:c>
      <x:c r="U697" s="186" t="n">
        <x:f>S697-T697</x:f>
        <x:v>8006</x:v>
      </x:c>
      <x:c r="V697" s="196" t="n">
        <x:f>IFERROR(O697/F697,"")</x:f>
        <x:v>-0.15161411249044798</x:v>
      </x:c>
      <x:c r="W697" s="196" t="n">
        <x:f>IFERROR(I697/F697,"")</x:f>
        <x:v>-0.12885505428435487</x:v>
      </x:c>
    </x:row>
    <x:row r="698">
      <x:c r="A698" s="186" t="str">
        <x:v>Gold</x:v>
      </x:c>
      <x:c r="B698" s="187" t="n">
        <x:v>44810</x:v>
      </x:c>
      <x:c r="C698" s="187" t="n">
        <x:v>44813</x:v>
      </x:c>
      <x:c r="D698" s="186" t="str">
        <x:v>088691-GOLD</x:v>
      </x:c>
      <x:c r="E698" s="186" t="str">
        <x:v>GOLD - COMMODITY EXCHANGE INC.</x:v>
      </x:c>
      <x:c r="F698" s="186" t="n">
        <x:v>465908</x:v>
      </x:c>
      <x:c r="G698" s="186" t="n">
        <x:v>15564</x:v>
      </x:c>
      <x:c r="H698" s="186" t="n">
        <x:v>41624</x:v>
      </x:c>
      <x:c r="I698" s="186" t="n">
        <x:f>G698-H698</x:f>
        <x:v>-26060</x:v>
      </x:c>
      <x:c r="J698" s="186" t="n">
        <x:v>87940</x:v>
      </x:c>
      <x:c r="K698" s="186" t="n">
        <x:v>175944</x:v>
      </x:c>
      <x:c r="L698" s="186" t="n">
        <x:f>J698-K698</x:f>
        <x:v>-88004</x:v>
      </x:c>
      <x:c r="M698" s="186" t="n">
        <x:v>85842</x:v>
      </x:c>
      <x:c r="N698" s="186" t="n">
        <x:v>92804</x:v>
      </x:c>
      <x:c r="O698" s="186" t="n">
        <x:f>M698-N698</x:f>
        <x:v>-6962</x:v>
      </x:c>
      <x:c r="P698" s="186" t="n">
        <x:v>145685</x:v>
      </x:c>
      <x:c r="Q698" s="186" t="n">
        <x:v>34866</x:v>
      </x:c>
      <x:c r="R698" s="186" t="n">
        <x:f>P698-Q698</x:f>
        <x:v>110819</x:v>
      </x:c>
      <x:c r="S698" s="186" t="n">
        <x:v>38798</x:v>
      </x:c>
      <x:c r="T698" s="186" t="n">
        <x:v>28591</x:v>
      </x:c>
      <x:c r="U698" s="186" t="n">
        <x:f>S698-T698</x:f>
        <x:v>10207</x:v>
      </x:c>
      <x:c r="V698" s="196" t="n">
        <x:f>IFERROR(O698/F698,"")</x:f>
        <x:v>-0.01494286425646265</x:v>
      </x:c>
      <x:c r="W698" s="196" t="n">
        <x:f>IFERROR(I698/F698,"")</x:f>
        <x:v>-0.05593378950350713</x:v>
      </x:c>
    </x:row>
    <x:row r="699">
      <x:c r="A699" s="186" t="str">
        <x:v>Silver</x:v>
      </x:c>
      <x:c r="B699" s="187" t="n">
        <x:v>44810</x:v>
      </x:c>
      <x:c r="C699" s="187" t="n">
        <x:v>44813</x:v>
      </x:c>
      <x:c r="D699" s="186" t="str">
        <x:v>084691-SILVER</x:v>
      </x:c>
      <x:c r="E699" s="186" t="str">
        <x:v>SILVER - COMMODITY EXCHANGE INC.</x:v>
      </x:c>
      <x:c r="F699" s="186" t="n">
        <x:v>138300</x:v>
      </x:c>
      <x:c r="G699" s="186" t="n">
        <x:v>8266</x:v>
      </x:c>
      <x:c r="H699" s="186" t="n">
        <x:v>24998</x:v>
      </x:c>
      <x:c r="I699" s="186" t="n">
        <x:f>G699-H699</x:f>
        <x:v>-16732</x:v>
      </x:c>
      <x:c r="J699" s="186" t="n">
        <x:v>47098</x:v>
      </x:c>
      <x:c r="K699" s="186" t="n">
        <x:v>25311</x:v>
      </x:c>
      <x:c r="L699" s="186" t="n">
        <x:f>J699-K699</x:f>
        <x:v>21787</x:v>
      </x:c>
      <x:c r="M699" s="186" t="n">
        <x:v>33857</x:v>
      </x:c>
      <x:c r="N699" s="186" t="n">
        <x:v>58600</x:v>
      </x:c>
      <x:c r="O699" s="186" t="n">
        <x:f>M699-N699</x:f>
        <x:v>-24743</x:v>
      </x:c>
      <x:c r="P699" s="186" t="n">
        <x:v>17857</x:v>
      </x:c>
      <x:c r="Q699" s="186" t="n">
        <x:v>5898</x:v>
      </x:c>
      <x:c r="R699" s="186" t="n">
        <x:f>P699-Q699</x:f>
        <x:v>11959</x:v>
      </x:c>
      <x:c r="S699" s="186" t="n">
        <x:v>22687</x:v>
      </x:c>
      <x:c r="T699" s="186" t="n">
        <x:v>14958</x:v>
      </x:c>
      <x:c r="U699" s="186" t="n">
        <x:f>S699-T699</x:f>
        <x:v>7729</x:v>
      </x:c>
      <x:c r="V699" s="196" t="n">
        <x:f>IFERROR(O699/F699,"")</x:f>
        <x:v>-0.17890817064352857</x:v>
      </x:c>
      <x:c r="W699" s="196" t="n">
        <x:f>IFERROR(I699/F699,"")</x:f>
        <x:v>-0.12098336948662328</x:v>
      </x:c>
    </x:row>
    <x:row r="700">
      <x:c r="A700" s="186" t="str">
        <x:v>Gold</x:v>
      </x:c>
      <x:c r="B700" s="187" t="n">
        <x:v>44817</x:v>
      </x:c>
      <x:c r="C700" s="187" t="n">
        <x:v>44820</x:v>
      </x:c>
      <x:c r="D700" s="186" t="str">
        <x:v>088691-GOLD</x:v>
      </x:c>
      <x:c r="E700" s="186" t="str">
        <x:v>GOLD - COMMODITY EXCHANGE INC.</x:v>
      </x:c>
      <x:c r="F700" s="186" t="n">
        <x:v>463674</x:v>
      </x:c>
      <x:c r="G700" s="186" t="n">
        <x:v>12589</x:v>
      </x:c>
      <x:c r="H700" s="186" t="n">
        <x:v>39708</x:v>
      </x:c>
      <x:c r="I700" s="186" t="n">
        <x:f>G700-H700</x:f>
        <x:v>-27119</x:v>
      </x:c>
      <x:c r="J700" s="186" t="n">
        <x:v>88814</x:v>
      </x:c>
      <x:c r="K700" s="186" t="n">
        <x:v>172633</x:v>
      </x:c>
      <x:c r="L700" s="186" t="n">
        <x:f>J700-K700</x:f>
        <x:v>-83819</x:v>
      </x:c>
      <x:c r="M700" s="186" t="n">
        <x:v>80300</x:v>
      </x:c>
      <x:c r="N700" s="186" t="n">
        <x:v>98637</x:v>
      </x:c>
      <x:c r="O700" s="186" t="n">
        <x:f>M700-N700</x:f>
        <x:v>-18337</x:v>
      </x:c>
      <x:c r="P700" s="186" t="n">
        <x:v>145632</x:v>
      </x:c>
      <x:c r="Q700" s="186" t="n">
        <x:v>29951</x:v>
      </x:c>
      <x:c r="R700" s="186" t="n">
        <x:f>P700-Q700</x:f>
        <x:v>115681</x:v>
      </x:c>
      <x:c r="S700" s="186" t="n">
        <x:v>40556</x:v>
      </x:c>
      <x:c r="T700" s="186" t="n">
        <x:v>26962</x:v>
      </x:c>
      <x:c r="U700" s="186" t="n">
        <x:f>S700-T700</x:f>
        <x:v>13594</x:v>
      </x:c>
      <x:c r="V700" s="196" t="n">
        <x:f>IFERROR(O700/F700,"")</x:f>
        <x:v>-0.039547181856217944</x:v>
      </x:c>
      <x:c r="W700" s="196" t="n">
        <x:f>IFERROR(I700/F700,"")</x:f>
        <x:v>-0.058487212998787945</x:v>
      </x:c>
    </x:row>
    <x:row r="701">
      <x:c r="A701" s="186" t="str">
        <x:v>Silver</x:v>
      </x:c>
      <x:c r="B701" s="187" t="n">
        <x:v>44817</x:v>
      </x:c>
      <x:c r="C701" s="187" t="n">
        <x:v>44820</x:v>
      </x:c>
      <x:c r="D701" s="186" t="str">
        <x:v>084691-SILVER</x:v>
      </x:c>
      <x:c r="E701" s="186" t="str">
        <x:v>SILVER - COMMODITY EXCHANGE INC.</x:v>
      </x:c>
      <x:c r="F701" s="186" t="n">
        <x:v>135530</x:v>
      </x:c>
      <x:c r="G701" s="186" t="n">
        <x:v>5673</x:v>
      </x:c>
      <x:c r="H701" s="186" t="n">
        <x:v>26081</x:v>
      </x:c>
      <x:c r="I701" s="186" t="n">
        <x:f>G701-H701</x:f>
        <x:v>-20408</x:v>
      </x:c>
      <x:c r="J701" s="186" t="n">
        <x:v>45828</x:v>
      </x:c>
      <x:c r="K701" s="186" t="n">
        <x:v>27971</x:v>
      </x:c>
      <x:c r="L701" s="186" t="n">
        <x:f>J701-K701</x:f>
        <x:v>17857</x:v>
      </x:c>
      <x:c r="M701" s="186" t="n">
        <x:v>38352</x:v>
      </x:c>
      <x:c r="N701" s="186" t="n">
        <x:v>46637</x:v>
      </x:c>
      <x:c r="O701" s="186" t="n">
        <x:f>M701-N701</x:f>
        <x:v>-8285</x:v>
      </x:c>
      <x:c r="P701" s="186" t="n">
        <x:v>15021</x:v>
      </x:c>
      <x:c r="Q701" s="186" t="n">
        <x:v>11376</x:v>
      </x:c>
      <x:c r="R701" s="186" t="n">
        <x:f>P701-Q701</x:f>
        <x:v>3645</x:v>
      </x:c>
      <x:c r="S701" s="186" t="n">
        <x:v>21808</x:v>
      </x:c>
      <x:c r="T701" s="186" t="n">
        <x:v>14617</x:v>
      </x:c>
      <x:c r="U701" s="186" t="n">
        <x:f>S701-T701</x:f>
        <x:v>7191</x:v>
      </x:c>
      <x:c r="V701" s="196" t="n">
        <x:f>IFERROR(O701/F701,"")</x:f>
        <x:v>-0.061130377038294104</x:v>
      </x:c>
      <x:c r="W701" s="196" t="n">
        <x:f>IFERROR(I701/F701,"")</x:f>
        <x:v>-0.15057920755552276</x:v>
      </x:c>
    </x:row>
    <x:row r="702">
      <x:c r="A702" s="186" t="str">
        <x:v>Gold</x:v>
      </x:c>
      <x:c r="B702" s="187" t="n">
        <x:v>44824</x:v>
      </x:c>
      <x:c r="C702" s="187" t="n">
        <x:v>44827</x:v>
      </x:c>
      <x:c r="D702" s="186" t="str">
        <x:v>088691-GOLD</x:v>
      </x:c>
      <x:c r="E702" s="186" t="str">
        <x:v>GOLD - COMMODITY EXCHANGE INC.</x:v>
      </x:c>
      <x:c r="F702" s="186" t="n">
        <x:v>469395</x:v>
      </x:c>
      <x:c r="G702" s="186" t="n">
        <x:v>16194</x:v>
      </x:c>
      <x:c r="H702" s="186" t="n">
        <x:v>33858</x:v>
      </x:c>
      <x:c r="I702" s="186" t="n">
        <x:f>G702-H702</x:f>
        <x:v>-17664</x:v>
      </x:c>
      <x:c r="J702" s="186" t="n">
        <x:v>96320</x:v>
      </x:c>
      <x:c r="K702" s="186" t="n">
        <x:v>154084</x:v>
      </x:c>
      <x:c r="L702" s="186" t="n">
        <x:f>J702-K702</x:f>
        <x:v>-57764</x:v>
      </x:c>
      <x:c r="M702" s="186" t="n">
        <x:v>78544</x:v>
      </x:c>
      <x:c r="N702" s="186" t="n">
        <x:v>115239</x:v>
      </x:c>
      <x:c r="O702" s="186" t="n">
        <x:f>M702-N702</x:f>
        <x:v>-36695</x:v>
      </x:c>
      <x:c r="P702" s="186" t="n">
        <x:v>136013</x:v>
      </x:c>
      <x:c r="Q702" s="186" t="n">
        <x:v>33596</x:v>
      </x:c>
      <x:c r="R702" s="186" t="n">
        <x:f>P702-Q702</x:f>
        <x:v>102417</x:v>
      </x:c>
      <x:c r="S702" s="186" t="n">
        <x:v>40500</x:v>
      </x:c>
      <x:c r="T702" s="186" t="n">
        <x:v>30794</x:v>
      </x:c>
      <x:c r="U702" s="186" t="n">
        <x:f>S702-T702</x:f>
        <x:v>9706</x:v>
      </x:c>
      <x:c r="V702" s="196" t="n">
        <x:f>IFERROR(O702/F702,"")</x:f>
        <x:v>-0.07817509773218717</x:v>
      </x:c>
      <x:c r="W702" s="196" t="n">
        <x:f>IFERROR(I702/F702,"")</x:f>
        <x:v>-0.0376314191672259</x:v>
      </x:c>
    </x:row>
    <x:row r="703">
      <x:c r="A703" s="186" t="str">
        <x:v>Silver</x:v>
      </x:c>
      <x:c r="B703" s="187" t="n">
        <x:v>44824</x:v>
      </x:c>
      <x:c r="C703" s="187" t="n">
        <x:v>44827</x:v>
      </x:c>
      <x:c r="D703" s="186" t="str">
        <x:v>084691-SILVER</x:v>
      </x:c>
      <x:c r="E703" s="186" t="str">
        <x:v>SILVER - COMMODITY EXCHANGE INC.</x:v>
      </x:c>
      <x:c r="F703" s="186" t="n">
        <x:v>132107</x:v>
      </x:c>
      <x:c r="G703" s="186" t="n">
        <x:v>4597</x:v>
      </x:c>
      <x:c r="H703" s="186" t="n">
        <x:v>27754</x:v>
      </x:c>
      <x:c r="I703" s="186" t="n">
        <x:f>G703-H703</x:f>
        <x:v>-23157</x:v>
      </x:c>
      <x:c r="J703" s="186" t="n">
        <x:v>45592</x:v>
      </x:c>
      <x:c r="K703" s="186" t="n">
        <x:v>28064</x:v>
      </x:c>
      <x:c r="L703" s="186" t="n">
        <x:f>J703-K703</x:f>
        <x:v>17528</x:v>
      </x:c>
      <x:c r="M703" s="186" t="n">
        <x:v>36594</x:v>
      </x:c>
      <x:c r="N703" s="186" t="n">
        <x:v>44615</x:v>
      </x:c>
      <x:c r="O703" s="186" t="n">
        <x:f>M703-N703</x:f>
        <x:v>-8021</x:v>
      </x:c>
      <x:c r="P703" s="186" t="n">
        <x:v>15729</x:v>
      </x:c>
      <x:c r="Q703" s="186" t="n">
        <x:v>9348</x:v>
      </x:c>
      <x:c r="R703" s="186" t="n">
        <x:f>P703-Q703</x:f>
        <x:v>6381</x:v>
      </x:c>
      <x:c r="S703" s="186" t="n">
        <x:v>21383</x:v>
      </x:c>
      <x:c r="T703" s="186" t="n">
        <x:v>14114</x:v>
      </x:c>
      <x:c r="U703" s="186" t="n">
        <x:f>S703-T703</x:f>
        <x:v>7269</x:v>
      </x:c>
      <x:c r="V703" s="196" t="n">
        <x:f>IFERROR(O703/F703,"")</x:f>
        <x:v>-0.06071593481041883</x:v>
      </x:c>
      <x:c r="W703" s="196" t="n">
        <x:f>IFERROR(I703/F703,"")</x:f>
        <x:v>-0.17528972726653394</x:v>
      </x:c>
    </x:row>
    <x:row r="704">
      <x:c r="A704" s="186" t="str">
        <x:v>Gold</x:v>
      </x:c>
      <x:c r="B704" s="187" t="n">
        <x:v>44831</x:v>
      </x:c>
      <x:c r="C704" s="187" t="n">
        <x:v>44834</x:v>
      </x:c>
      <x:c r="D704" s="186" t="str">
        <x:v>088691-GOLD</x:v>
      </x:c>
      <x:c r="E704" s="186" t="str">
        <x:v>GOLD - COMMODITY EXCHANGE INC.</x:v>
      </x:c>
      <x:c r="F704" s="186" t="n">
        <x:v>457061</x:v>
      </x:c>
      <x:c r="G704" s="186" t="n">
        <x:v>15381</x:v>
      </x:c>
      <x:c r="H704" s="186" t="n">
        <x:v>28004</x:v>
      </x:c>
      <x:c r="I704" s="186" t="n">
        <x:f>G704-H704</x:f>
        <x:v>-12623</x:v>
      </x:c>
      <x:c r="J704" s="186" t="n">
        <x:v>95632</x:v>
      </x:c>
      <x:c r="K704" s="186" t="n">
        <x:v>145147</x:v>
      </x:c>
      <x:c r="L704" s="186" t="n">
        <x:f>J704-K704</x:f>
        <x:v>-49515</x:v>
      </x:c>
      <x:c r="M704" s="186" t="n">
        <x:v>74171</x:v>
      </x:c>
      <x:c r="N704" s="186" t="n">
        <x:v>117265</x:v>
      </x:c>
      <x:c r="O704" s="186" t="n">
        <x:f>M704-N704</x:f>
        <x:v>-43094</x:v>
      </x:c>
      <x:c r="P704" s="186" t="n">
        <x:v>132983</x:v>
      </x:c>
      <x:c r="Q704" s="186" t="n">
        <x:v>37808</x:v>
      </x:c>
      <x:c r="R704" s="186" t="n">
        <x:f>P704-Q704</x:f>
        <x:v>95175</x:v>
      </x:c>
      <x:c r="S704" s="186" t="n">
        <x:v>40325</x:v>
      </x:c>
      <x:c r="T704" s="186" t="n">
        <x:v>30268</x:v>
      </x:c>
      <x:c r="U704" s="186" t="n">
        <x:f>S704-T704</x:f>
        <x:v>10057</x:v>
      </x:c>
      <x:c r="V704" s="196" t="n">
        <x:f>IFERROR(O704/F704,"")</x:f>
        <x:v>-0.09428500790922875</x:v>
      </x:c>
      <x:c r="W704" s="196" t="n">
        <x:f>IFERROR(I704/F704,"")</x:f>
        <x:v>-0.027617757804756914</x:v>
      </x:c>
    </x:row>
    <x:row r="705">
      <x:c r="A705" s="186" t="str">
        <x:v>Silver</x:v>
      </x:c>
      <x:c r="B705" s="187" t="n">
        <x:v>44831</x:v>
      </x:c>
      <x:c r="C705" s="187" t="n">
        <x:v>44834</x:v>
      </x:c>
      <x:c r="D705" s="186" t="str">
        <x:v>084691-SILVER</x:v>
      </x:c>
      <x:c r="E705" s="186" t="str">
        <x:v>SILVER - COMMODITY EXCHANGE INC.</x:v>
      </x:c>
      <x:c r="F705" s="186" t="n">
        <x:v>129000</x:v>
      </x:c>
      <x:c r="G705" s="186" t="n">
        <x:v>4221</x:v>
      </x:c>
      <x:c r="H705" s="186" t="n">
        <x:v>27760</x:v>
      </x:c>
      <x:c r="I705" s="186" t="n">
        <x:f>G705-H705</x:f>
        <x:v>-23539</x:v>
      </x:c>
      <x:c r="J705" s="186" t="n">
        <x:v>43959</x:v>
      </x:c>
      <x:c r="K705" s="186" t="n">
        <x:v>27280</x:v>
      </x:c>
      <x:c r="L705" s="186" t="n">
        <x:f>J705-K705</x:f>
        <x:v>16679</x:v>
      </x:c>
      <x:c r="M705" s="186" t="n">
        <x:v>34429</x:v>
      </x:c>
      <x:c r="N705" s="186" t="n">
        <x:v>42522</x:v>
      </x:c>
      <x:c r="O705" s="186" t="n">
        <x:f>M705-N705</x:f>
        <x:v>-8093</x:v>
      </x:c>
      <x:c r="P705" s="186" t="n">
        <x:v>15555</x:v>
      </x:c>
      <x:c r="Q705" s="186" t="n">
        <x:v>6704</x:v>
      </x:c>
      <x:c r="R705" s="186" t="n">
        <x:f>P705-Q705</x:f>
        <x:v>8851</x:v>
      </x:c>
      <x:c r="S705" s="186" t="n">
        <x:v>20681</x:v>
      </x:c>
      <x:c r="T705" s="186" t="n">
        <x:v>14579</x:v>
      </x:c>
      <x:c r="U705" s="186" t="n">
        <x:f>S705-T705</x:f>
        <x:v>6102</x:v>
      </x:c>
      <x:c r="V705" s="196" t="n">
        <x:f>IFERROR(O705/F705,"")</x:f>
        <x:v>-0.06273643410852713</x:v>
      </x:c>
      <x:c r="W705" s="196" t="n">
        <x:f>IFERROR(I705/F705,"")</x:f>
        <x:v>-0.18247286821705427</x:v>
      </x:c>
    </x:row>
    <x:row r="706">
      <x:c r="A706" s="186" t="str">
        <x:v>Gold</x:v>
      </x:c>
      <x:c r="B706" s="187" t="n">
        <x:v>44838</x:v>
      </x:c>
      <x:c r="C706" s="187" t="n">
        <x:v>44841</x:v>
      </x:c>
      <x:c r="D706" s="186" t="str">
        <x:v>088691-GOLD</x:v>
      </x:c>
      <x:c r="E706" s="186" t="str">
        <x:v>GOLD - COMMODITY EXCHANGE INC.</x:v>
      </x:c>
      <x:c r="F706" s="186" t="n">
        <x:v>437065</x:v>
      </x:c>
      <x:c r="G706" s="186" t="n">
        <x:v>12114</x:v>
      </x:c>
      <x:c r="H706" s="186" t="n">
        <x:v>31266</x:v>
      </x:c>
      <x:c r="I706" s="186" t="n">
        <x:f>G706-H706</x:f>
        <x:v>-19152</x:v>
      </x:c>
      <x:c r="J706" s="186" t="n">
        <x:v>92811</x:v>
      </x:c>
      <x:c r="K706" s="186" t="n">
        <x:v>170207</x:v>
      </x:c>
      <x:c r="L706" s="186" t="n">
        <x:f>J706-K706</x:f>
        <x:v>-77396</x:v>
      </x:c>
      <x:c r="M706" s="186" t="n">
        <x:v>82806</x:v>
      </x:c>
      <x:c r="N706" s="186" t="n">
        <x:v>89681</x:v>
      </x:c>
      <x:c r="O706" s="186" t="n">
        <x:f>M706-N706</x:f>
        <x:v>-6875</x:v>
      </x:c>
      <x:c r="P706" s="186" t="n">
        <x:v>133158</x:v>
      </x:c>
      <x:c r="Q706" s="186" t="n">
        <x:v>37898</x:v>
      </x:c>
      <x:c r="R706" s="186" t="n">
        <x:f>P706-Q706</x:f>
        <x:v>95260</x:v>
      </x:c>
      <x:c r="S706" s="186" t="n">
        <x:v>36704</x:v>
      </x:c>
      <x:c r="T706" s="186" t="n">
        <x:v>28541</x:v>
      </x:c>
      <x:c r="U706" s="186" t="n">
        <x:f>S706-T706</x:f>
        <x:v>8163</x:v>
      </x:c>
      <x:c r="V706" s="196" t="n">
        <x:f>IFERROR(O706/F706,"")</x:f>
        <x:v>-0.015729925754750438</x:v>
      </x:c>
      <x:c r="W706" s="196" t="n">
        <x:f>IFERROR(I706/F706,"")</x:f>
        <x:v>-0.04381956917163351</x:v>
      </x:c>
    </x:row>
    <x:row r="707">
      <x:c r="A707" s="186" t="str">
        <x:v>Silver</x:v>
      </x:c>
      <x:c r="B707" s="187" t="n">
        <x:v>44838</x:v>
      </x:c>
      <x:c r="C707" s="187" t="n">
        <x:v>44841</x:v>
      </x:c>
      <x:c r="D707" s="186" t="str">
        <x:v>084691-SILVER</x:v>
      </x:c>
      <x:c r="E707" s="186" t="str">
        <x:v>SILVER - COMMODITY EXCHANGE INC.</x:v>
      </x:c>
      <x:c r="F707" s="186" t="n">
        <x:v>129524</x:v>
      </x:c>
      <x:c r="G707" s="186" t="n">
        <x:v>2928</x:v>
      </x:c>
      <x:c r="H707" s="186" t="n">
        <x:v>31734</x:v>
      </x:c>
      <x:c r="I707" s="186" t="n">
        <x:f>G707-H707</x:f>
        <x:v>-28806</x:v>
      </x:c>
      <x:c r="J707" s="186" t="n">
        <x:v>44071</x:v>
      </x:c>
      <x:c r="K707" s="186" t="n">
        <x:v>32882</x:v>
      </x:c>
      <x:c r="L707" s="186" t="n">
        <x:f>J707-K707</x:f>
        <x:v>11189</x:v>
      </x:c>
      <x:c r="M707" s="186" t="n">
        <x:v>37885</x:v>
      </x:c>
      <x:c r="N707" s="186" t="n">
        <x:v>32248</x:v>
      </x:c>
      <x:c r="O707" s="186" t="n">
        <x:f>M707-N707</x:f>
        <x:v>5637</x:v>
      </x:c>
      <x:c r="P707" s="186" t="n">
        <x:v>14041</x:v>
      </x:c>
      <x:c r="Q707" s="186" t="n">
        <x:v>10970</x:v>
      </x:c>
      <x:c r="R707" s="186" t="n">
        <x:f>P707-Q707</x:f>
        <x:v>3071</x:v>
      </x:c>
      <x:c r="S707" s="186" t="n">
        <x:v>22040</x:v>
      </x:c>
      <x:c r="T707" s="186" t="n">
        <x:v>13131</x:v>
      </x:c>
      <x:c r="U707" s="186" t="n">
        <x:f>S707-T707</x:f>
        <x:v>8909</x:v>
      </x:c>
      <x:c r="V707" s="196" t="n">
        <x:f>IFERROR(O707/F707,"")</x:f>
        <x:v>0.04352089188104135</x:v>
      </x:c>
      <x:c r="W707" s="196" t="n">
        <x:f>IFERROR(I707/F707,"")</x:f>
        <x:v>-0.2223989376486211</x:v>
      </x:c>
    </x:row>
    <x:row r="708">
      <x:c r="A708" s="186" t="str">
        <x:v>Gold</x:v>
      </x:c>
      <x:c r="B708" s="187" t="n">
        <x:v>44845</x:v>
      </x:c>
      <x:c r="C708" s="187" t="n">
        <x:v>44848</x:v>
      </x:c>
      <x:c r="D708" s="186" t="str">
        <x:v>088691-GOLD</x:v>
      </x:c>
      <x:c r="E708" s="186" t="str">
        <x:v>GOLD - COMMODITY EXCHANGE INC.</x:v>
      </x:c>
      <x:c r="F708" s="186" t="n">
        <x:v>431395</x:v>
      </x:c>
      <x:c r="G708" s="186" t="n">
        <x:v>11578</x:v>
      </x:c>
      <x:c r="H708" s="186" t="n">
        <x:v>34246</x:v>
      </x:c>
      <x:c r="I708" s="186" t="n">
        <x:f>G708-H708</x:f>
        <x:v>-22668</x:v>
      </x:c>
      <x:c r="J708" s="186" t="n">
        <x:v>89504</x:v>
      </x:c>
      <x:c r="K708" s="186" t="n">
        <x:v>170564</x:v>
      </x:c>
      <x:c r="L708" s="186" t="n">
        <x:f>J708-K708</x:f>
        <x:v>-81060</x:v>
      </x:c>
      <x:c r="M708" s="186" t="n">
        <x:v>78365</x:v>
      </x:c>
      <x:c r="N708" s="186" t="n">
        <x:v>83945</x:v>
      </x:c>
      <x:c r="O708" s="186" t="n">
        <x:f>M708-N708</x:f>
        <x:v>-5580</x:v>
      </x:c>
      <x:c r="P708" s="186" t="n">
        <x:v>134196</x:v>
      </x:c>
      <x:c r="Q708" s="186" t="n">
        <x:v>34196</x:v>
      </x:c>
      <x:c r="R708" s="186" t="n">
        <x:f>P708-Q708</x:f>
        <x:v>100000</x:v>
      </x:c>
      <x:c r="S708" s="186" t="n">
        <x:v>36988</x:v>
      </x:c>
      <x:c r="T708" s="186" t="n">
        <x:v>27680</x:v>
      </x:c>
      <x:c r="U708" s="186" t="n">
        <x:f>S708-T708</x:f>
        <x:v>9308</x:v>
      </x:c>
      <x:c r="V708" s="196" t="n">
        <x:f>IFERROR(O708/F708,"")</x:f>
        <x:v>-0.012934781348879798</x:v>
      </x:c>
      <x:c r="W708" s="196" t="n">
        <x:f>IFERROR(I708/F708,"")</x:f>
        <x:v>-0.05254581068394395</x:v>
      </x:c>
    </x:row>
    <x:row r="709">
      <x:c r="A709" s="186" t="str">
        <x:v>Silver</x:v>
      </x:c>
      <x:c r="B709" s="187" t="n">
        <x:v>44845</x:v>
      </x:c>
      <x:c r="C709" s="187" t="n">
        <x:v>44848</x:v>
      </x:c>
      <x:c r="D709" s="186" t="str">
        <x:v>084691-SILVER</x:v>
      </x:c>
      <x:c r="E709" s="186" t="str">
        <x:v>SILVER - COMMODITY EXCHANGE INC.</x:v>
      </x:c>
      <x:c r="F709" s="186" t="n">
        <x:v>125623</x:v>
      </x:c>
      <x:c r="G709" s="186" t="n">
        <x:v>3773</x:v>
      </x:c>
      <x:c r="H709" s="186" t="n">
        <x:v>30804</x:v>
      </x:c>
      <x:c r="I709" s="186" t="n">
        <x:f>G709-H709</x:f>
        <x:v>-27031</x:v>
      </x:c>
      <x:c r="J709" s="186" t="n">
        <x:v>43427</x:v>
      </x:c>
      <x:c r="K709" s="186" t="n">
        <x:v>31999</x:v>
      </x:c>
      <x:c r="L709" s="186" t="n">
        <x:f>J709-K709</x:f>
        <x:v>11428</x:v>
      </x:c>
      <x:c r="M709" s="186" t="n">
        <x:v>33493</x:v>
      </x:c>
      <x:c r="N709" s="186" t="n">
        <x:v>33378</x:v>
      </x:c>
      <x:c r="O709" s="186" t="n">
        <x:f>M709-N709</x:f>
        <x:v>115</x:v>
      </x:c>
      <x:c r="P709" s="186" t="n">
        <x:v>14446</x:v>
      </x:c>
      <x:c r="Q709" s="186" t="n">
        <x:v>7172</x:v>
      </x:c>
      <x:c r="R709" s="186" t="n">
        <x:f>P709-Q709</x:f>
        <x:v>7274</x:v>
      </x:c>
      <x:c r="S709" s="186" t="n">
        <x:v>21347</x:v>
      </x:c>
      <x:c r="T709" s="186" t="n">
        <x:v>13133</x:v>
      </x:c>
      <x:c r="U709" s="186" t="n">
        <x:f>S709-T709</x:f>
        <x:v>8214</x:v>
      </x:c>
      <x:c r="V709" s="196" t="n">
        <x:f>IFERROR(O709/F709,"")</x:f>
        <x:v>0.0009154374597008509</x:v>
      </x:c>
      <x:c r="W709" s="196" t="n">
        <x:f>IFERROR(I709/F709,"")</x:f>
        <x:v>-0.21517556498411916</x:v>
      </x:c>
    </x:row>
    <x:row r="710">
      <x:c r="A710" s="186" t="str">
        <x:v>Gold</x:v>
      </x:c>
      <x:c r="B710" s="187" t="n">
        <x:v>44852</x:v>
      </x:c>
      <x:c r="C710" s="187" t="n">
        <x:v>44855</x:v>
      </x:c>
      <x:c r="D710" s="186" t="str">
        <x:v>088691-GOLD</x:v>
      </x:c>
      <x:c r="E710" s="186" t="str">
        <x:v>GOLD - COMMODITY EXCHANGE INC.</x:v>
      </x:c>
      <x:c r="F710" s="186" t="n">
        <x:v>434701</x:v>
      </x:c>
      <x:c r="G710" s="186" t="n">
        <x:v>14351</x:v>
      </x:c>
      <x:c r="H710" s="186" t="n">
        <x:v>29916</x:v>
      </x:c>
      <x:c r="I710" s="186" t="n">
        <x:f>G710-H710</x:f>
        <x:v>-15565</x:v>
      </x:c>
      <x:c r="J710" s="186" t="n">
        <x:v>88947</x:v>
      </x:c>
      <x:c r="K710" s="186" t="n">
        <x:v>163412</x:v>
      </x:c>
      <x:c r="L710" s="186" t="n">
        <x:f>J710-K710</x:f>
        <x:v>-74465</x:v>
      </x:c>
      <x:c r="M710" s="186" t="n">
        <x:v>73344</x:v>
      </x:c>
      <x:c r="N710" s="186" t="n">
        <x:v>99042</x:v>
      </x:c>
      <x:c r="O710" s="186" t="n">
        <x:f>M710-N710</x:f>
        <x:v>-25698</x:v>
      </x:c>
      <x:c r="P710" s="186" t="n">
        <x:v>137546</x:v>
      </x:c>
      <x:c r="Q710" s="186" t="n">
        <x:v>34892</x:v>
      </x:c>
      <x:c r="R710" s="186" t="n">
        <x:f>P710-Q710</x:f>
        <x:v>102654</x:v>
      </x:c>
      <x:c r="S710" s="186" t="n">
        <x:v>39286</x:v>
      </x:c>
      <x:c r="T710" s="186" t="n">
        <x:v>26212</x:v>
      </x:c>
      <x:c r="U710" s="186" t="n">
        <x:f>S710-T710</x:f>
        <x:v>13074</x:v>
      </x:c>
      <x:c r="V710" s="196" t="n">
        <x:f>IFERROR(O710/F710,"")</x:f>
        <x:v>-0.05911649616633042</x:v>
      </x:c>
      <x:c r="W710" s="196" t="n">
        <x:f>IFERROR(I710/F710,"")</x:f>
        <x:v>-0.03580622082764935</x:v>
      </x:c>
    </x:row>
    <x:row r="711">
      <x:c r="A711" s="186" t="str">
        <x:v>Silver</x:v>
      </x:c>
      <x:c r="B711" s="187" t="n">
        <x:v>44852</x:v>
      </x:c>
      <x:c r="C711" s="187" t="n">
        <x:v>44855</x:v>
      </x:c>
      <x:c r="D711" s="186" t="str">
        <x:v>084691-SILVER</x:v>
      </x:c>
      <x:c r="E711" s="186" t="str">
        <x:v>SILVER - COMMODITY EXCHANGE INC.</x:v>
      </x:c>
      <x:c r="F711" s="186" t="n">
        <x:v>136055</x:v>
      </x:c>
      <x:c r="G711" s="186" t="n">
        <x:v>6748</x:v>
      </x:c>
      <x:c r="H711" s="186" t="n">
        <x:v>28136</x:v>
      </x:c>
      <x:c r="I711" s="186" t="n">
        <x:f>G711-H711</x:f>
        <x:v>-21388</x:v>
      </x:c>
      <x:c r="J711" s="186" t="n">
        <x:v>43179</x:v>
      </x:c>
      <x:c r="K711" s="186" t="n">
        <x:v>30876</x:v>
      </x:c>
      <x:c r="L711" s="186" t="n">
        <x:f>J711-K711</x:f>
        <x:v>12303</x:v>
      </x:c>
      <x:c r="M711" s="186" t="n">
        <x:v>36365</x:v>
      </x:c>
      <x:c r="N711" s="186" t="n">
        <x:v>44077</x:v>
      </x:c>
      <x:c r="O711" s="186" t="n">
        <x:f>M711-N711</x:f>
        <x:v>-7712</x:v>
      </x:c>
      <x:c r="P711" s="186" t="n">
        <x:v>15176</x:v>
      </x:c>
      <x:c r="Q711" s="186" t="n">
        <x:v>6197</x:v>
      </x:c>
      <x:c r="R711" s="186" t="n">
        <x:f>P711-Q711</x:f>
        <x:v>8979</x:v>
      </x:c>
      <x:c r="S711" s="186" t="n">
        <x:v>22014</x:v>
      </x:c>
      <x:c r="T711" s="186" t="n">
        <x:v>14196</x:v>
      </x:c>
      <x:c r="U711" s="186" t="n">
        <x:f>S711-T711</x:f>
        <x:v>7818</x:v>
      </x:c>
      <x:c r="V711" s="196" t="n">
        <x:f>IFERROR(O711/F711,"")</x:f>
        <x:v>-0.05668295909742384</x:v>
      </x:c>
      <x:c r="W711" s="196" t="n">
        <x:f>IFERROR(I711/F711,"")</x:f>
        <x:v>-0.15720113189518944</x:v>
      </x:c>
    </x:row>
    <x:row r="712">
      <x:c r="A712" s="186" t="str">
        <x:v>Gold</x:v>
      </x:c>
      <x:c r="B712" s="187" t="n">
        <x:v>44859</x:v>
      </x:c>
      <x:c r="C712" s="187" t="n">
        <x:v>44862</x:v>
      </x:c>
      <x:c r="D712" s="186" t="str">
        <x:v>088691-GOLD</x:v>
      </x:c>
      <x:c r="E712" s="186" t="str">
        <x:v>GOLD - COMMODITY EXCHANGE INC.</x:v>
      </x:c>
      <x:c r="F712" s="186" t="n">
        <x:v>456072</x:v>
      </x:c>
      <x:c r="G712" s="186" t="n">
        <x:v>18036</x:v>
      </x:c>
      <x:c r="H712" s="186" t="n">
        <x:v>28462</x:v>
      </x:c>
      <x:c r="I712" s="186" t="n">
        <x:f>G712-H712</x:f>
        <x:v>-10426</x:v>
      </x:c>
      <x:c r="J712" s="186" t="n">
        <x:v>91650</x:v>
      </x:c>
      <x:c r="K712" s="186" t="n">
        <x:v>161437</x:v>
      </x:c>
      <x:c r="L712" s="186" t="n">
        <x:f>J712-K712</x:f>
        <x:v>-69787</x:v>
      </x:c>
      <x:c r="M712" s="186" t="n">
        <x:v>72016</x:v>
      </x:c>
      <x:c r="N712" s="186" t="n">
        <x:v>110804</x:v>
      </x:c>
      <x:c r="O712" s="186" t="n">
        <x:f>M712-N712</x:f>
        <x:v>-38788</x:v>
      </x:c>
      <x:c r="P712" s="186" t="n">
        <x:v>140837</x:v>
      </x:c>
      <x:c r="Q712" s="186" t="n">
        <x:v>34017</x:v>
      </x:c>
      <x:c r="R712" s="186" t="n">
        <x:f>P712-Q712</x:f>
        <x:v>106820</x:v>
      </x:c>
      <x:c r="S712" s="186" t="n">
        <x:v>39637</x:v>
      </x:c>
      <x:c r="T712" s="186" t="n">
        <x:v>27456</x:v>
      </x:c>
      <x:c r="U712" s="186" t="n">
        <x:f>S712-T712</x:f>
        <x:v>12181</x:v>
      </x:c>
      <x:c r="V712" s="196" t="n">
        <x:f>IFERROR(O712/F712,"")</x:f>
        <x:v>-0.08504797488115912</x:v>
      </x:c>
      <x:c r="W712" s="196" t="n">
        <x:f>IFERROR(I712/F712,"")</x:f>
        <x:v>-0.02286042554684348</x:v>
      </x:c>
    </x:row>
    <x:row r="713">
      <x:c r="A713" s="186" t="str">
        <x:v>Silver</x:v>
      </x:c>
      <x:c r="B713" s="187" t="n">
        <x:v>44859</x:v>
      </x:c>
      <x:c r="C713" s="187" t="n">
        <x:v>44862</x:v>
      </x:c>
      <x:c r="D713" s="186" t="str">
        <x:v>084691-SILVER</x:v>
      </x:c>
      <x:c r="E713" s="186" t="str">
        <x:v>SILVER - COMMODITY EXCHANGE INC.</x:v>
      </x:c>
      <x:c r="F713" s="186" t="n">
        <x:v>139085</x:v>
      </x:c>
      <x:c r="G713" s="186" t="n">
        <x:v>5335</x:v>
      </x:c>
      <x:c r="H713" s="186" t="n">
        <x:v>28640</x:v>
      </x:c>
      <x:c r="I713" s="186" t="n">
        <x:f>G713-H713</x:f>
        <x:v>-23305</x:v>
      </x:c>
      <x:c r="J713" s="186" t="n">
        <x:v>45015</x:v>
      </x:c>
      <x:c r="K713" s="186" t="n">
        <x:v>30567</x:v>
      </x:c>
      <x:c r="L713" s="186" t="n">
        <x:f>J713-K713</x:f>
        <x:v>14448</x:v>
      </x:c>
      <x:c r="M713" s="186" t="n">
        <x:v>35428</x:v>
      </x:c>
      <x:c r="N713" s="186" t="n">
        <x:v>43146</x:v>
      </x:c>
      <x:c r="O713" s="186" t="n">
        <x:f>M713-N713</x:f>
        <x:v>-7718</x:v>
      </x:c>
      <x:c r="P713" s="186" t="n">
        <x:v>15735</x:v>
      </x:c>
      <x:c r="Q713" s="186" t="n">
        <x:v>8118</x:v>
      </x:c>
      <x:c r="R713" s="186" t="n">
        <x:f>P713-Q713</x:f>
        <x:v>7617</x:v>
      </x:c>
      <x:c r="S713" s="186" t="n">
        <x:v>22331</x:v>
      </x:c>
      <x:c r="T713" s="186" t="n">
        <x:v>13373</x:v>
      </x:c>
      <x:c r="U713" s="186" t="n">
        <x:f>S713-T713</x:f>
        <x:v>8958</x:v>
      </x:c>
      <x:c r="V713" s="196" t="n">
        <x:f>IFERROR(O713/F713,"")</x:f>
        <x:v>-0.05549124636013948</x:v>
      </x:c>
      <x:c r="W713" s="196" t="n">
        <x:f>IFERROR(I713/F713,"")</x:f>
        <x:v>-0.1675594061185606</x:v>
      </x:c>
    </x:row>
    <x:row r="714">
      <x:c r="A714" s="186" t="str">
        <x:v>Gold</x:v>
      </x:c>
      <x:c r="B714" s="187" t="n">
        <x:v>44866</x:v>
      </x:c>
      <x:c r="C714" s="187" t="n">
        <x:v>44869</x:v>
      </x:c>
      <x:c r="D714" s="186" t="str">
        <x:v>088691-GOLD</x:v>
      </x:c>
      <x:c r="E714" s="186" t="str">
        <x:v>GOLD - COMMODITY EXCHANGE INC.</x:v>
      </x:c>
      <x:c r="F714" s="186" t="n">
        <x:v>467276</x:v>
      </x:c>
      <x:c r="G714" s="186" t="n">
        <x:v>17255</x:v>
      </x:c>
      <x:c r="H714" s="186" t="n">
        <x:v>26028</x:v>
      </x:c>
      <x:c r="I714" s="186" t="n">
        <x:f>G714-H714</x:f>
        <x:v>-8773</x:v>
      </x:c>
      <x:c r="J714" s="186" t="n">
        <x:v>94979</x:v>
      </x:c>
      <x:c r="K714" s="186" t="n">
        <x:v>160988</x:v>
      </x:c>
      <x:c r="L714" s="186" t="n">
        <x:f>J714-K714</x:f>
        <x:v>-66009</x:v>
      </x:c>
      <x:c r="M714" s="186" t="n">
        <x:v>78213</x:v>
      </x:c>
      <x:c r="N714" s="186" t="n">
        <x:v>119614</x:v>
      </x:c>
      <x:c r="O714" s="186" t="n">
        <x:f>M714-N714</x:f>
        <x:v>-41401</x:v>
      </x:c>
      <x:c r="P714" s="186" t="n">
        <x:v>138128</x:v>
      </x:c>
      <x:c r="Q714" s="186" t="n">
        <x:v>32104</x:v>
      </x:c>
      <x:c r="R714" s="186" t="n">
        <x:f>P714-Q714</x:f>
        <x:v>106024</x:v>
      </x:c>
      <x:c r="S714" s="186" t="n">
        <x:v>38559</x:v>
      </x:c>
      <x:c r="T714" s="186" t="n">
        <x:v>28400</x:v>
      </x:c>
      <x:c r="U714" s="186" t="n">
        <x:f>S714-T714</x:f>
        <x:v>10159</x:v>
      </x:c>
      <x:c r="V714" s="196" t="n">
        <x:f>IFERROR(O714/F714,"")</x:f>
        <x:v>-0.08860074131776509</x:v>
      </x:c>
      <x:c r="W714" s="196" t="n">
        <x:f>IFERROR(I714/F714,"")</x:f>
        <x:v>-0.018774771227283233</x:v>
      </x:c>
    </x:row>
    <x:row r="715">
      <x:c r="A715" s="186" t="str">
        <x:v>Silver</x:v>
      </x:c>
      <x:c r="B715" s="187" t="n">
        <x:v>44866</x:v>
      </x:c>
      <x:c r="C715" s="187" t="n">
        <x:v>44869</x:v>
      </x:c>
      <x:c r="D715" s="186" t="str">
        <x:v>084691-SILVER</x:v>
      </x:c>
      <x:c r="E715" s="186" t="str">
        <x:v>SILVER - COMMODITY EXCHANGE INC.</x:v>
      </x:c>
      <x:c r="F715" s="186" t="n">
        <x:v>138875</x:v>
      </x:c>
      <x:c r="G715" s="186" t="n">
        <x:v>4537</x:v>
      </x:c>
      <x:c r="H715" s="186" t="n">
        <x:v>30431</x:v>
      </x:c>
      <x:c r="I715" s="186" t="n">
        <x:f>G715-H715</x:f>
        <x:v>-25894</x:v>
      </x:c>
      <x:c r="J715" s="186" t="n">
        <x:v>44405</x:v>
      </x:c>
      <x:c r="K715" s="186" t="n">
        <x:v>28874</x:v>
      </x:c>
      <x:c r="L715" s="186" t="n">
        <x:f>J715-K715</x:f>
        <x:v>15531</x:v>
      </x:c>
      <x:c r="M715" s="186" t="n">
        <x:v>36025</x:v>
      </x:c>
      <x:c r="N715" s="186" t="n">
        <x:v>41460</x:v>
      </x:c>
      <x:c r="O715" s="186" t="n">
        <x:f>M715-N715</x:f>
        <x:v>-5435</x:v>
      </x:c>
      <x:c r="P715" s="186" t="n">
        <x:v>15261</x:v>
      </x:c>
      <x:c r="Q715" s="186" t="n">
        <x:v>8302</x:v>
      </x:c>
      <x:c r="R715" s="186" t="n">
        <x:f>P715-Q715</x:f>
        <x:v>6959</x:v>
      </x:c>
      <x:c r="S715" s="186" t="n">
        <x:v>22076</x:v>
      </x:c>
      <x:c r="T715" s="186" t="n">
        <x:v>13237</x:v>
      </x:c>
      <x:c r="U715" s="186" t="n">
        <x:f>S715-T715</x:f>
        <x:v>8839</x:v>
      </x:c>
      <x:c r="V715" s="196" t="n">
        <x:f>IFERROR(O715/F715,"")</x:f>
        <x:v>-0.03913591359135914</x:v>
      </x:c>
      <x:c r="W715" s="196" t="n">
        <x:f>IFERROR(I715/F715,"")</x:f>
        <x:v>-0.18645544554455445</x:v>
      </x:c>
    </x:row>
    <x:row r="716">
      <x:c r="A716" s="186" t="str">
        <x:v>Gold</x:v>
      </x:c>
      <x:c r="B716" s="187" t="n">
        <x:v>44873</x:v>
      </x:c>
      <x:c r="C716" s="187" t="n">
        <x:v>44876</x:v>
      </x:c>
      <x:c r="D716" s="186" t="str">
        <x:v>088691-GOLD</x:v>
      </x:c>
      <x:c r="E716" s="186" t="str">
        <x:v>GOLD - COMMODITY EXCHANGE INC.</x:v>
      </x:c>
      <x:c r="F716" s="186" t="n">
        <x:v>488471</x:v>
      </x:c>
      <x:c r="G716" s="186" t="n">
        <x:v>16738</x:v>
      </x:c>
      <x:c r="H716" s="186" t="n">
        <x:v>35324</x:v>
      </x:c>
      <x:c r="I716" s="186" t="n">
        <x:f>G716-H716</x:f>
        <x:v>-18586</x:v>
      </x:c>
      <x:c r="J716" s="186" t="n">
        <x:v>94889</x:v>
      </x:c>
      <x:c r="K716" s="186" t="n">
        <x:v>167447</x:v>
      </x:c>
      <x:c r="L716" s="186" t="n">
        <x:f>J716-K716</x:f>
        <x:v>-72558</x:v>
      </x:c>
      <x:c r="M716" s="186" t="n">
        <x:v>88059</x:v>
      </x:c>
      <x:c r="N716" s="186" t="n">
        <x:v>104405</x:v>
      </x:c>
      <x:c r="O716" s="186" t="n">
        <x:f>M716-N716</x:f>
        <x:v>-16346</x:v>
      </x:c>
      <x:c r="P716" s="186" t="n">
        <x:v>135076</x:v>
      </x:c>
      <x:c r="Q716" s="186" t="n">
        <x:v>36392</x:v>
      </x:c>
      <x:c r="R716" s="186" t="n">
        <x:f>P716-Q716</x:f>
        <x:v>98684</x:v>
      </x:c>
      <x:c r="S716" s="186" t="n">
        <x:v>38045</x:v>
      </x:c>
      <x:c r="T716" s="186" t="n">
        <x:v>29239</x:v>
      </x:c>
      <x:c r="U716" s="186" t="n">
        <x:f>S716-T716</x:f>
        <x:v>8806</x:v>
      </x:c>
      <x:c r="V716" s="196" t="n">
        <x:f>IFERROR(O716/F716,"")</x:f>
        <x:v>-0.03346360377586387</x:v>
      </x:c>
      <x:c r="W716" s="196" t="n">
        <x:f>IFERROR(I716/F716,"")</x:f>
        <x:v>-0.038049341721412326</x:v>
      </x:c>
    </x:row>
    <x:row r="717">
      <x:c r="A717" s="186" t="str">
        <x:v>Silver</x:v>
      </x:c>
      <x:c r="B717" s="187" t="n">
        <x:v>44873</x:v>
      </x:c>
      <x:c r="C717" s="187" t="n">
        <x:v>44876</x:v>
      </x:c>
      <x:c r="D717" s="186" t="str">
        <x:v>084691-SILVER</x:v>
      </x:c>
      <x:c r="E717" s="186" t="str">
        <x:v>SILVER - COMMODITY EXCHANGE INC.</x:v>
      </x:c>
      <x:c r="F717" s="186" t="n">
        <x:v>140437</x:v>
      </x:c>
      <x:c r="G717" s="186" t="n">
        <x:v>3855</x:v>
      </x:c>
      <x:c r="H717" s="186" t="n">
        <x:v>34876</x:v>
      </x:c>
      <x:c r="I717" s="186" t="n">
        <x:f>G717-H717</x:f>
        <x:v>-31021</x:v>
      </x:c>
      <x:c r="J717" s="186" t="n">
        <x:v>40905</x:v>
      </x:c>
      <x:c r="K717" s="186" t="n">
        <x:v>31972</x:v>
      </x:c>
      <x:c r="L717" s="186" t="n">
        <x:f>J717-K717</x:f>
        <x:v>8933</x:v>
      </x:c>
      <x:c r="M717" s="186" t="n">
        <x:v>38876</x:v>
      </x:c>
      <x:c r="N717" s="186" t="n">
        <x:v>29484</x:v>
      </x:c>
      <x:c r="O717" s="186" t="n">
        <x:f>M717-N717</x:f>
        <x:v>9392</x:v>
      </x:c>
      <x:c r="P717" s="186" t="n">
        <x:v>14775</x:v>
      </x:c>
      <x:c r="Q717" s="186" t="n">
        <x:v>11164</x:v>
      </x:c>
      <x:c r="R717" s="186" t="n">
        <x:f>P717-Q717</x:f>
        <x:v>3611</x:v>
      </x:c>
      <x:c r="S717" s="186" t="n">
        <x:v>23040</x:v>
      </x:c>
      <x:c r="T717" s="186" t="n">
        <x:v>13955</x:v>
      </x:c>
      <x:c r="U717" s="186" t="n">
        <x:f>S717-T717</x:f>
        <x:v>9085</x:v>
      </x:c>
      <x:c r="V717" s="196" t="n">
        <x:f>IFERROR(O717/F717,"")</x:f>
        <x:v>0.06687696262380996</x:v>
      </x:c>
      <x:c r="W717" s="196" t="n">
        <x:f>IFERROR(I717/F717,"")</x:f>
        <x:v>-0.22088908193709636</x:v>
      </x:c>
    </x:row>
    <x:row r="718">
      <x:c r="A718" s="186" t="str">
        <x:v>Gold</x:v>
      </x:c>
      <x:c r="B718" s="187" t="n">
        <x:v>44880</x:v>
      </x:c>
      <x:c r="C718" s="187" t="n">
        <x:v>44883</x:v>
      </x:c>
      <x:c r="D718" s="186" t="str">
        <x:v>088691-GOLD</x:v>
      </x:c>
      <x:c r="E718" s="186" t="str">
        <x:v>GOLD - COMMODITY EXCHANGE INC.</x:v>
      </x:c>
      <x:c r="F718" s="186" t="n">
        <x:v>495171</x:v>
      </x:c>
      <x:c r="G718" s="186" t="n">
        <x:v>14602</x:v>
      </x:c>
      <x:c r="H718" s="186" t="n">
        <x:v>51584</x:v>
      </x:c>
      <x:c r="I718" s="186" t="n">
        <x:f>G718-H718</x:f>
        <x:v>-36982</x:v>
      </x:c>
      <x:c r="J718" s="186" t="n">
        <x:v>93757</x:v>
      </x:c>
      <x:c r="K718" s="186" t="n">
        <x:v>191083</x:v>
      </x:c>
      <x:c r="L718" s="186" t="n">
        <x:f>J718-K718</x:f>
        <x:v>-97326</x:v>
      </x:c>
      <x:c r="M718" s="186" t="n">
        <x:v>95065</x:v>
      </x:c>
      <x:c r="N718" s="186" t="n">
        <x:v>69608</x:v>
      </x:c>
      <x:c r="O718" s="186" t="n">
        <x:f>M718-N718</x:f>
        <x:v>25457</x:v>
      </x:c>
      <x:c r="P718" s="186" t="n">
        <x:v>132217</x:v>
      </x:c>
      <x:c r="Q718" s="186" t="n">
        <x:v>31405</x:v>
      </x:c>
      <x:c r="R718" s="186" t="n">
        <x:f>P718-Q718</x:f>
        <x:v>100812</x:v>
      </x:c>
      <x:c r="S718" s="186" t="n">
        <x:v>36973</x:v>
      </x:c>
      <x:c r="T718" s="186" t="n">
        <x:v>28934</x:v>
      </x:c>
      <x:c r="U718" s="186" t="n">
        <x:f>S718-T718</x:f>
        <x:v>8039</x:v>
      </x:c>
      <x:c r="V718" s="196" t="n">
        <x:f>IFERROR(O718/F718,"")</x:f>
        <x:v>0.05141052282948719</x:v>
      </x:c>
      <x:c r="W718" s="196" t="n">
        <x:f>IFERROR(I718/F718,"")</x:f>
        <x:v>-0.07468531073104039</x:v>
      </x:c>
    </x:row>
    <x:row r="719">
      <x:c r="A719" s="186" t="str">
        <x:v>Silver</x:v>
      </x:c>
      <x:c r="B719" s="187" t="n">
        <x:v>44880</x:v>
      </x:c>
      <x:c r="C719" s="187" t="n">
        <x:v>44883</x:v>
      </x:c>
      <x:c r="D719" s="186" t="str">
        <x:v>084691-SILVER</x:v>
      </x:c>
      <x:c r="E719" s="186" t="str">
        <x:v>SILVER - COMMODITY EXCHANGE INC.</x:v>
      </x:c>
      <x:c r="F719" s="186" t="n">
        <x:v>141623</x:v>
      </x:c>
      <x:c r="G719" s="186" t="n">
        <x:v>3258</x:v>
      </x:c>
      <x:c r="H719" s="186" t="n">
        <x:v>34421</x:v>
      </x:c>
      <x:c r="I719" s="186" t="n">
        <x:f>G719-H719</x:f>
        <x:v>-31163</x:v>
      </x:c>
      <x:c r="J719" s="186" t="n">
        <x:v>39905</x:v>
      </x:c>
      <x:c r="K719" s="186" t="n">
        <x:v>38166</x:v>
      </x:c>
      <x:c r="L719" s="186" t="n">
        <x:f>J719-K719</x:f>
        <x:v>1739</x:v>
      </x:c>
      <x:c r="M719" s="186" t="n">
        <x:v>38106</x:v>
      </x:c>
      <x:c r="N719" s="186" t="n">
        <x:v>24997</x:v>
      </x:c>
      <x:c r="O719" s="186" t="n">
        <x:f>M719-N719</x:f>
        <x:v>13109</x:v>
      </x:c>
      <x:c r="P719" s="186" t="n">
        <x:v>14586</x:v>
      </x:c>
      <x:c r="Q719" s="186" t="n">
        <x:v>10088</x:v>
      </x:c>
      <x:c r="R719" s="186" t="n">
        <x:f>P719-Q719</x:f>
        <x:v>4498</x:v>
      </x:c>
      <x:c r="S719" s="186" t="n">
        <x:v>24386</x:v>
      </x:c>
      <x:c r="T719" s="186" t="n">
        <x:v>12569</x:v>
      </x:c>
      <x:c r="U719" s="186" t="n">
        <x:f>S719-T719</x:f>
        <x:v>11817</x:v>
      </x:c>
      <x:c r="V719" s="196" t="n">
        <x:f>IFERROR(O719/F719,"")</x:f>
        <x:v>0.09256264872231205</x:v>
      </x:c>
      <x:c r="W719" s="196" t="n">
        <x:f>IFERROR(I719/F719,"")</x:f>
        <x:v>-0.22004194233987417</x:v>
      </x:c>
    </x:row>
    <x:row r="720">
      <x:c r="A720" s="186" t="str">
        <x:v>Gold</x:v>
      </x:c>
      <x:c r="B720" s="187" t="n">
        <x:v>44887</x:v>
      </x:c>
      <x:c r="C720" s="187" t="n">
        <x:v>44890</x:v>
      </x:c>
      <x:c r="D720" s="186" t="str">
        <x:v>088691-GOLD</x:v>
      </x:c>
      <x:c r="E720" s="186" t="str">
        <x:v>GOLD - COMMODITY EXCHANGE INC.</x:v>
      </x:c>
      <x:c r="F720" s="186" t="n">
        <x:v>449542</x:v>
      </x:c>
      <x:c r="G720" s="186" t="n">
        <x:v>14133</x:v>
      </x:c>
      <x:c r="H720" s="186" t="n">
        <x:v>54527</x:v>
      </x:c>
      <x:c r="I720" s="186" t="n">
        <x:f>G720-H720</x:f>
        <x:v>-40394</x:v>
      </x:c>
      <x:c r="J720" s="186" t="n">
        <x:v>96891</x:v>
      </x:c>
      <x:c r="K720" s="186" t="n">
        <x:v>186561</x:v>
      </x:c>
      <x:c r="L720" s="186" t="n">
        <x:f>J720-K720</x:f>
        <x:v>-89670</x:v>
      </x:c>
      <x:c r="M720" s="186" t="n">
        <x:v>92161</x:v>
      </x:c>
      <x:c r="N720" s="186" t="n">
        <x:v>72730</x:v>
      </x:c>
      <x:c r="O720" s="186" t="n">
        <x:f>M720-N720</x:f>
        <x:v>19431</x:v>
      </x:c>
      <x:c r="P720" s="186" t="n">
        <x:v>122123</x:v>
      </x:c>
      <x:c r="Q720" s="186" t="n">
        <x:v>25441</x:v>
      </x:c>
      <x:c r="R720" s="186" t="n">
        <x:f>P720-Q720</x:f>
        <x:v>96682</x:v>
      </x:c>
      <x:c r="S720" s="186" t="n">
        <x:v>40296</x:v>
      </x:c>
      <x:c r="T720" s="186" t="n">
        <x:v>26345</x:v>
      </x:c>
      <x:c r="U720" s="186" t="n">
        <x:f>S720-T720</x:f>
        <x:v>13951</x:v>
      </x:c>
      <x:c r="V720" s="196" t="n">
        <x:f>IFERROR(O720/F720,"")</x:f>
        <x:v>0.04322399241895084</x:v>
      </x:c>
      <x:c r="W720" s="196" t="n">
        <x:f>IFERROR(I720/F720,"")</x:f>
        <x:v>-0.08985589778040762</x:v>
      </x:c>
    </x:row>
    <x:row r="721">
      <x:c r="A721" s="186" t="str">
        <x:v>Silver</x:v>
      </x:c>
      <x:c r="B721" s="187" t="n">
        <x:v>44887</x:v>
      </x:c>
      <x:c r="C721" s="187" t="n">
        <x:v>44890</x:v>
      </x:c>
      <x:c r="D721" s="186" t="str">
        <x:v>084691-SILVER</x:v>
      </x:c>
      <x:c r="E721" s="186" t="str">
        <x:v>SILVER - COMMODITY EXCHANGE INC.</x:v>
      </x:c>
      <x:c r="F721" s="186" t="n">
        <x:v>128907</x:v>
      </x:c>
      <x:c r="G721" s="186" t="n">
        <x:v>3021</x:v>
      </x:c>
      <x:c r="H721" s="186" t="n">
        <x:v>35409</x:v>
      </x:c>
      <x:c r="I721" s="186" t="n">
        <x:f>G721-H721</x:f>
        <x:v>-32388</x:v>
      </x:c>
      <x:c r="J721" s="186" t="n">
        <x:v>40247</x:v>
      </x:c>
      <x:c r="K721" s="186" t="n">
        <x:v>35501</x:v>
      </x:c>
      <x:c r="L721" s="186" t="n">
        <x:f>J721-K721</x:f>
        <x:v>4746</x:v>
      </x:c>
      <x:c r="M721" s="186" t="n">
        <x:v>37624</x:v>
      </x:c>
      <x:c r="N721" s="186" t="n">
        <x:v>25925</x:v>
      </x:c>
      <x:c r="O721" s="186" t="n">
        <x:f>M721-N721</x:f>
        <x:v>11699</x:v>
      </x:c>
      <x:c r="P721" s="186" t="n">
        <x:v>12916</x:v>
      </x:c>
      <x:c r="Q721" s="186" t="n">
        <x:v>7849</x:v>
      </x:c>
      <x:c r="R721" s="186" t="n">
        <x:f>P721-Q721</x:f>
        <x:v>5067</x:v>
      </x:c>
      <x:c r="S721" s="186" t="n">
        <x:v>23279</x:v>
      </x:c>
      <x:c r="T721" s="186" t="n">
        <x:v>12403</x:v>
      </x:c>
      <x:c r="U721" s="186" t="n">
        <x:f>S721-T721</x:f>
        <x:v>10876</x:v>
      </x:c>
      <x:c r="V721" s="196" t="n">
        <x:f>IFERROR(O721/F721,"")</x:f>
        <x:v>0.09075535075674711</x:v>
      </x:c>
      <x:c r="W721" s="196" t="n">
        <x:f>IFERROR(I721/F721,"")</x:f>
        <x:v>-0.2512509018129349</x:v>
      </x:c>
    </x:row>
    <x:row r="722">
      <x:c r="A722" s="186" t="str">
        <x:v>Gold</x:v>
      </x:c>
      <x:c r="B722" s="187" t="n">
        <x:v>44894</x:v>
      </x:c>
      <x:c r="C722" s="187" t="n">
        <x:v>44897</x:v>
      </x:c>
      <x:c r="D722" s="186" t="str">
        <x:v>088691-GOLD</x:v>
      </x:c>
      <x:c r="E722" s="186" t="str">
        <x:v>GOLD - COMMODITY EXCHANGE INC.</x:v>
      </x:c>
      <x:c r="F722" s="186" t="n">
        <x:v>433661</x:v>
      </x:c>
      <x:c r="G722" s="186" t="n">
        <x:v>12158</x:v>
      </x:c>
      <x:c r="H722" s="186" t="n">
        <x:v>48784</x:v>
      </x:c>
      <x:c r="I722" s="186" t="n">
        <x:f>G722-H722</x:f>
        <x:v>-36626</x:v>
      </x:c>
      <x:c r="J722" s="186" t="n">
        <x:v>98970</x:v>
      </x:c>
      <x:c r="K722" s="186" t="n">
        <x:v>181577</x:v>
      </x:c>
      <x:c r="L722" s="186" t="n">
        <x:f>J722-K722</x:f>
        <x:v>-82607</x:v>
      </x:c>
      <x:c r="M722" s="186" t="n">
        <x:v>88032</x:v>
      </x:c>
      <x:c r="N722" s="186" t="n">
        <x:v>73312</x:v>
      </x:c>
      <x:c r="O722" s="186" t="n">
        <x:f>M722-N722</x:f>
        <x:v>14720</x:v>
      </x:c>
      <x:c r="P722" s="186" t="n">
        <x:v>121129</x:v>
      </x:c>
      <x:c r="Q722" s="186" t="n">
        <x:v>25846</x:v>
      </x:c>
      <x:c r="R722" s="186" t="n">
        <x:f>P722-Q722</x:f>
        <x:v>95283</x:v>
      </x:c>
      <x:c r="S722" s="186" t="n">
        <x:v>33946</x:v>
      </x:c>
      <x:c r="T722" s="186" t="n">
        <x:v>24716</x:v>
      </x:c>
      <x:c r="U722" s="186" t="n">
        <x:f>S722-T722</x:f>
        <x:v>9230</x:v>
      </x:c>
      <x:c r="V722" s="196" t="n">
        <x:f>IFERROR(O722/F722,"")</x:f>
        <x:v>0.03394356421259924</x:v>
      </x:c>
      <x:c r="W722" s="196" t="n">
        <x:f>IFERROR(I722/F722,"")</x:f>
        <x:v>-0.08445767546539809</x:v>
      </x:c>
    </x:row>
    <x:row r="723">
      <x:c r="A723" s="186" t="str">
        <x:v>Silver</x:v>
      </x:c>
      <x:c r="B723" s="187" t="n">
        <x:v>44894</x:v>
      </x:c>
      <x:c r="C723" s="187" t="n">
        <x:v>44897</x:v>
      </x:c>
      <x:c r="D723" s="186" t="str">
        <x:v>084691-SILVER</x:v>
      </x:c>
      <x:c r="E723" s="186" t="str">
        <x:v>SILVER - COMMODITY EXCHANGE INC.</x:v>
      </x:c>
      <x:c r="F723" s="186" t="n">
        <x:v>121258</x:v>
      </x:c>
      <x:c r="G723" s="186" t="n">
        <x:v>3137</x:v>
      </x:c>
      <x:c r="H723" s="186" t="n">
        <x:v>35082</x:v>
      </x:c>
      <x:c r="I723" s="186" t="n">
        <x:f>G723-H723</x:f>
        <x:v>-31945</x:v>
      </x:c>
      <x:c r="J723" s="186" t="n">
        <x:v>40122</x:v>
      </x:c>
      <x:c r="K723" s="186" t="n">
        <x:v>37174</x:v>
      </x:c>
      <x:c r="L723" s="186" t="n">
        <x:f>J723-K723</x:f>
        <x:v>2948</x:v>
      </x:c>
      <x:c r="M723" s="186" t="n">
        <x:v>36960</x:v>
      </x:c>
      <x:c r="N723" s="186" t="n">
        <x:v>23367</x:v>
      </x:c>
      <x:c r="O723" s="186" t="n">
        <x:f>M723-N723</x:f>
        <x:v>13593</x:v>
      </x:c>
      <x:c r="P723" s="186" t="n">
        <x:v>11481</x:v>
      </x:c>
      <x:c r="Q723" s="186" t="n">
        <x:v>7591</x:v>
      </x:c>
      <x:c r="R723" s="186" t="n">
        <x:f>P723-Q723</x:f>
        <x:v>3890</x:v>
      </x:c>
      <x:c r="S723" s="186" t="n">
        <x:v>22150</x:v>
      </x:c>
      <x:c r="T723" s="186" t="n">
        <x:v>10636</x:v>
      </x:c>
      <x:c r="U723" s="186" t="n">
        <x:f>S723-T723</x:f>
        <x:v>11514</x:v>
      </x:c>
      <x:c r="V723" s="196" t="n">
        <x:f>IFERROR(O723/F723,"")</x:f>
        <x:v>0.11209982021804747</x:v>
      </x:c>
      <x:c r="W723" s="196" t="n">
        <x:f>IFERROR(I723/F723,"")</x:f>
        <x:v>-0.2634465354863184</x:v>
      </x:c>
    </x:row>
    <x:row r="724">
      <x:c r="A724" s="186" t="str">
        <x:v>Gold</x:v>
      </x:c>
      <x:c r="B724" s="187" t="n">
        <x:v>44901</x:v>
      </x:c>
      <x:c r="C724" s="187" t="n">
        <x:v>44904</x:v>
      </x:c>
      <x:c r="D724" s="186" t="str">
        <x:v>088691-GOLD</x:v>
      </x:c>
      <x:c r="E724" s="186" t="str">
        <x:v>GOLD - COMMODITY EXCHANGE INC.</x:v>
      </x:c>
      <x:c r="F724" s="186" t="n">
        <x:v>422100</x:v>
      </x:c>
      <x:c r="G724" s="186" t="n">
        <x:v>11712</x:v>
      </x:c>
      <x:c r="H724" s="186" t="n">
        <x:v>49665</x:v>
      </x:c>
      <x:c r="I724" s="186" t="n">
        <x:f>G724-H724</x:f>
        <x:v>-37953</x:v>
      </x:c>
      <x:c r="J724" s="186" t="n">
        <x:v>92319</x:v>
      </x:c>
      <x:c r="K724" s="186" t="n">
        <x:v>184445</x:v>
      </x:c>
      <x:c r="L724" s="186" t="n">
        <x:f>J724-K724</x:f>
        <x:v>-92126</x:v>
      </x:c>
      <x:c r="M724" s="186" t="n">
        <x:v>93629</x:v>
      </x:c>
      <x:c r="N724" s="186" t="n">
        <x:v>70142</x:v>
      </x:c>
      <x:c r="O724" s="186" t="n">
        <x:f>M724-N724</x:f>
        <x:v>23487</x:v>
      </x:c>
      <x:c r="P724" s="186" t="n">
        <x:v>117843</x:v>
      </x:c>
      <x:c r="Q724" s="186" t="n">
        <x:v>26205</x:v>
      </x:c>
      <x:c r="R724" s="186" t="n">
        <x:f>P724-Q724</x:f>
        <x:v>91638</x:v>
      </x:c>
      <x:c r="S724" s="186" t="n">
        <x:v>37785</x:v>
      </x:c>
      <x:c r="T724" s="186" t="n">
        <x:v>22831</x:v>
      </x:c>
      <x:c r="U724" s="186" t="n">
        <x:f>S724-T724</x:f>
        <x:v>14954</x:v>
      </x:c>
      <x:c r="V724" s="196" t="n">
        <x:f>IFERROR(O724/F724,"")</x:f>
        <x:v>0.05564321250888415</x:v>
      </x:c>
      <x:c r="W724" s="196" t="n">
        <x:f>IFERROR(I724/F724,"")</x:f>
        <x:v>-0.08991471215351812</x:v>
      </x:c>
    </x:row>
    <x:row r="725">
      <x:c r="A725" s="186" t="str">
        <x:v>Silver</x:v>
      </x:c>
      <x:c r="B725" s="187" t="n">
        <x:v>44901</x:v>
      </x:c>
      <x:c r="C725" s="187" t="n">
        <x:v>44904</x:v>
      </x:c>
      <x:c r="D725" s="186" t="str">
        <x:v>084691-SILVER</x:v>
      </x:c>
      <x:c r="E725" s="186" t="str">
        <x:v>SILVER - COMMODITY EXCHANGE INC.</x:v>
      </x:c>
      <x:c r="F725" s="186" t="n">
        <x:v>122558</x:v>
      </x:c>
      <x:c r="G725" s="186" t="n">
        <x:v>3444</x:v>
      </x:c>
      <x:c r="H725" s="186" t="n">
        <x:v>35563</x:v>
      </x:c>
      <x:c r="I725" s="186" t="n">
        <x:f>G725-H725</x:f>
        <x:v>-32119</x:v>
      </x:c>
      <x:c r="J725" s="186" t="n">
        <x:v>39095</x:v>
      </x:c>
      <x:c r="K725" s="186" t="n">
        <x:v>39238</x:v>
      </x:c>
      <x:c r="L725" s="186" t="n">
        <x:f>J725-K725</x:f>
        <x:v>-143</x:v>
      </x:c>
      <x:c r="M725" s="186" t="n">
        <x:v>37392</x:v>
      </x:c>
      <x:c r="N725" s="186" t="n">
        <x:v>24054</x:v>
      </x:c>
      <x:c r="O725" s="186" t="n">
        <x:f>M725-N725</x:f>
        <x:v>13338</x:v>
      </x:c>
      <x:c r="P725" s="186" t="n">
        <x:v>11562</x:v>
      </x:c>
      <x:c r="Q725" s="186" t="n">
        <x:v>5692</x:v>
      </x:c>
      <x:c r="R725" s="186" t="n">
        <x:f>P725-Q725</x:f>
        <x:v>5870</x:v>
      </x:c>
      <x:c r="S725" s="186" t="n">
        <x:v>23648</x:v>
      </x:c>
      <x:c r="T725" s="186" t="n">
        <x:v>10594</x:v>
      </x:c>
      <x:c r="U725" s="186" t="n">
        <x:f>S725-T725</x:f>
        <x:v>13054</x:v>
      </x:c>
      <x:c r="V725" s="196" t="n">
        <x:f>IFERROR(O725/F725,"")</x:f>
        <x:v>0.10883010492991074</x:v>
      </x:c>
      <x:c r="W725" s="196" t="n">
        <x:f>IFERROR(I725/F725,"")</x:f>
        <x:v>-0.2620718353759037</x:v>
      </x:c>
    </x:row>
    <x:row r="726">
      <x:c r="A726" s="186" t="str">
        <x:v>Gold</x:v>
      </x:c>
      <x:c r="B726" s="187" t="n">
        <x:v>44908</x:v>
      </x:c>
      <x:c r="C726" s="187" t="n">
        <x:v>44911</x:v>
      </x:c>
      <x:c r="D726" s="186" t="str">
        <x:v>088691-GOLD</x:v>
      </x:c>
      <x:c r="E726" s="186" t="str">
        <x:v>GOLD - COMMODITY EXCHANGE INC.</x:v>
      </x:c>
      <x:c r="F726" s="186" t="n">
        <x:v>437040</x:v>
      </x:c>
      <x:c r="G726" s="186" t="n">
        <x:v>13758</x:v>
      </x:c>
      <x:c r="H726" s="186" t="n">
        <x:v>50601</x:v>
      </x:c>
      <x:c r="I726" s="186" t="n">
        <x:f>G726-H726</x:f>
        <x:v>-36843</x:v>
      </x:c>
      <x:c r="J726" s="186" t="n">
        <x:v>94229</x:v>
      </x:c>
      <x:c r="K726" s="186" t="n">
        <x:v>195915</x:v>
      </x:c>
      <x:c r="L726" s="186" t="n">
        <x:f>J726-K726</x:f>
        <x:v>-101686</x:v>
      </x:c>
      <x:c r="M726" s="186" t="n">
        <x:v>103737</x:v>
      </x:c>
      <x:c r="N726" s="186" t="n">
        <x:v>66288</x:v>
      </x:c>
      <x:c r="O726" s="186" t="n">
        <x:f>M726-N726</x:f>
        <x:v>37449</x:v>
      </x:c>
      <x:c r="P726" s="186" t="n">
        <x:v>120672</x:v>
      </x:c>
      <x:c r="Q726" s="186" t="n">
        <x:v>32472</x:v>
      </x:c>
      <x:c r="R726" s="186" t="n">
        <x:f>P726-Q726</x:f>
        <x:v>88200</x:v>
      </x:c>
      <x:c r="S726" s="186" t="n">
        <x:v>37309</x:v>
      </x:c>
      <x:c r="T726" s="186" t="n">
        <x:v>24429</x:v>
      </x:c>
      <x:c r="U726" s="186" t="n">
        <x:f>S726-T726</x:f>
        <x:v>12880</x:v>
      </x:c>
      <x:c r="V726" s="196" t="n">
        <x:f>IFERROR(O726/F726,"")</x:f>
        <x:v>0.08568780889621087</x:v>
      </x:c>
      <x:c r="W726" s="196" t="n">
        <x:f>IFERROR(I726/F726,"")</x:f>
        <x:v>-0.08430120812740252</x:v>
      </x:c>
    </x:row>
    <x:row r="727">
      <x:c r="A727" s="186" t="str">
        <x:v>Silver</x:v>
      </x:c>
      <x:c r="B727" s="187" t="n">
        <x:v>44908</x:v>
      </x:c>
      <x:c r="C727" s="187" t="n">
        <x:v>44911</x:v>
      </x:c>
      <x:c r="D727" s="186" t="str">
        <x:v>084691-SILVER</x:v>
      </x:c>
      <x:c r="E727" s="186" t="str">
        <x:v>SILVER - COMMODITY EXCHANGE INC.</x:v>
      </x:c>
      <x:c r="F727" s="186" t="n">
        <x:v>125555</x:v>
      </x:c>
      <x:c r="G727" s="186" t="n">
        <x:v>4548</x:v>
      </x:c>
      <x:c r="H727" s="186" t="n">
        <x:v>39590</x:v>
      </x:c>
      <x:c r="I727" s="186" t="n">
        <x:f>G727-H727</x:f>
        <x:v>-35042</x:v>
      </x:c>
      <x:c r="J727" s="186" t="n">
        <x:v>38356</x:v>
      </x:c>
      <x:c r="K727" s="186" t="n">
        <x:v>39120</x:v>
      </x:c>
      <x:c r="L727" s="186" t="n">
        <x:f>J727-K727</x:f>
        <x:v>-764</x:v>
      </x:c>
      <x:c r="M727" s="186" t="n">
        <x:v>40880</x:v>
      </x:c>
      <x:c r="N727" s="186" t="n">
        <x:v>21182</x:v>
      </x:c>
      <x:c r="O727" s="186" t="n">
        <x:f>M727-N727</x:f>
        <x:v>19698</x:v>
      </x:c>
      <x:c r="P727" s="186" t="n">
        <x:v>10525</x:v>
      </x:c>
      <x:c r="Q727" s="186" t="n">
        <x:v>7404</x:v>
      </x:c>
      <x:c r="R727" s="186" t="n">
        <x:f>P727-Q727</x:f>
        <x:v>3121</x:v>
      </x:c>
      <x:c r="S727" s="186" t="n">
        <x:v>23843</x:v>
      </x:c>
      <x:c r="T727" s="186" t="n">
        <x:v>10856</x:v>
      </x:c>
      <x:c r="U727" s="186" t="n">
        <x:f>S727-T727</x:f>
        <x:v>12987</x:v>
      </x:c>
      <x:c r="V727" s="196" t="n">
        <x:f>IFERROR(O727/F727,"")</x:f>
        <x:v>0.15688741985584007</x:v>
      </x:c>
      <x:c r="W727" s="196" t="n">
        <x:f>IFERROR(I727/F727,"")</x:f>
        <x:v>-0.27909681016287685</x:v>
      </x:c>
    </x:row>
    <x:row r="728">
      <x:c r="A728" s="186" t="str">
        <x:v>Gold</x:v>
      </x:c>
      <x:c r="B728" s="187" t="n">
        <x:v>44915</x:v>
      </x:c>
      <x:c r="C728" s="187" t="n">
        <x:v>44918</x:v>
      </x:c>
      <x:c r="D728" s="186" t="str">
        <x:v>088691-GOLD</x:v>
      </x:c>
      <x:c r="E728" s="186" t="str">
        <x:v>GOLD - COMMODITY EXCHANGE INC.</x:v>
      </x:c>
      <x:c r="F728" s="186" t="n">
        <x:v>436653</x:v>
      </x:c>
      <x:c r="G728" s="186" t="n">
        <x:v>13860</x:v>
      </x:c>
      <x:c r="H728" s="186" t="n">
        <x:v>51557</x:v>
      </x:c>
      <x:c r="I728" s="186" t="n">
        <x:f>G728-H728</x:f>
        <x:v>-37697</x:v>
      </x:c>
      <x:c r="J728" s="186" t="n">
        <x:v>92184</x:v>
      </x:c>
      <x:c r="K728" s="186" t="n">
        <x:v>197001</x:v>
      </x:c>
      <x:c r="L728" s="186" t="n">
        <x:f>J728-K728</x:f>
        <x:v>-104817</x:v>
      </x:c>
      <x:c r="M728" s="186" t="n">
        <x:v>104813</x:v>
      </x:c>
      <x:c r="N728" s="186" t="n">
        <x:v>65718</x:v>
      </x:c>
      <x:c r="O728" s="186" t="n">
        <x:f>M728-N728</x:f>
        <x:v>39095</x:v>
      </x:c>
      <x:c r="P728" s="186" t="n">
        <x:v>121323</x:v>
      </x:c>
      <x:c r="Q728" s="186" t="n">
        <x:v>31570</x:v>
      </x:c>
      <x:c r="R728" s="186" t="n">
        <x:f>P728-Q728</x:f>
        <x:v>89753</x:v>
      </x:c>
      <x:c r="S728" s="186" t="n">
        <x:v>38696</x:v>
      </x:c>
      <x:c r="T728" s="186" t="n">
        <x:v>25030</x:v>
      </x:c>
      <x:c r="U728" s="186" t="n">
        <x:f>S728-T728</x:f>
        <x:v>13666</x:v>
      </x:c>
      <x:c r="V728" s="196" t="n">
        <x:f>IFERROR(O728/F728,"")</x:f>
        <x:v>0.08953333653954056</x:v>
      </x:c>
      <x:c r="W728" s="196" t="n">
        <x:f>IFERROR(I728/F728,"")</x:f>
        <x:v>-0.08633170961839264</x:v>
      </x:c>
    </x:row>
    <x:row r="729">
      <x:c r="A729" s="186" t="str">
        <x:v>Silver</x:v>
      </x:c>
      <x:c r="B729" s="187" t="n">
        <x:v>44915</x:v>
      </x:c>
      <x:c r="C729" s="187" t="n">
        <x:v>44918</x:v>
      </x:c>
      <x:c r="D729" s="186" t="str">
        <x:v>084691-SILVER</x:v>
      </x:c>
      <x:c r="E729" s="186" t="str">
        <x:v>SILVER - COMMODITY EXCHANGE INC.</x:v>
      </x:c>
      <x:c r="F729" s="186" t="n">
        <x:v>129278</x:v>
      </x:c>
      <x:c r="G729" s="186" t="n">
        <x:v>4507</x:v>
      </x:c>
      <x:c r="H729" s="186" t="n">
        <x:v>40870</x:v>
      </x:c>
      <x:c r="I729" s="186" t="n">
        <x:f>G729-H729</x:f>
        <x:v>-36363</x:v>
      </x:c>
      <x:c r="J729" s="186" t="n">
        <x:v>38033</x:v>
      </x:c>
      <x:c r="K729" s="186" t="n">
        <x:v>41979</x:v>
      </x:c>
      <x:c r="L729" s="186" t="n">
        <x:f>J729-K729</x:f>
        <x:v>-3946</x:v>
      </x:c>
      <x:c r="M729" s="186" t="n">
        <x:v>45659</x:v>
      </x:c>
      <x:c r="N729" s="186" t="n">
        <x:v>17728</x:v>
      </x:c>
      <x:c r="O729" s="186" t="n">
        <x:f>M729-N729</x:f>
        <x:v>27931</x:v>
      </x:c>
      <x:c r="P729" s="186" t="n">
        <x:v>10505</x:v>
      </x:c>
      <x:c r="Q729" s="186" t="n">
        <x:v>8674</x:v>
      </x:c>
      <x:c r="R729" s="186" t="n">
        <x:f>P729-Q729</x:f>
        <x:v>1831</x:v>
      </x:c>
      <x:c r="S729" s="186" t="n">
        <x:v>23707</x:v>
      </x:c>
      <x:c r="T729" s="186" t="n">
        <x:v>13160</x:v>
      </x:c>
      <x:c r="U729" s="186" t="n">
        <x:f>S729-T729</x:f>
        <x:v>10547</x:v>
      </x:c>
      <x:c r="V729" s="196" t="n">
        <x:f>IFERROR(O729/F729,"")</x:f>
        <x:v>0.2160537755843995</x:v>
      </x:c>
      <x:c r="W729" s="196" t="n">
        <x:f>IFERROR(I729/F729,"")</x:f>
        <x:v>-0.28127755689289746</x:v>
      </x:c>
    </x:row>
    <x:row r="730">
      <x:c r="A730" s="186" t="str">
        <x:v>Gold</x:v>
      </x:c>
      <x:c r="B730" s="187" t="n">
        <x:v>44922</x:v>
      </x:c>
      <x:c r="C730" s="187" t="n">
        <x:v>44925</x:v>
      </x:c>
      <x:c r="D730" s="186" t="str">
        <x:v>088691-GOLD</x:v>
      </x:c>
      <x:c r="E730" s="186" t="str">
        <x:v>GOLD - COMMODITY EXCHANGE INC.</x:v>
      </x:c>
      <x:c r="F730" s="186" t="n">
        <x:v>440040</x:v>
      </x:c>
      <x:c r="G730" s="186" t="n">
        <x:v>13950</x:v>
      </x:c>
      <x:c r="H730" s="186" t="n">
        <x:v>56342</x:v>
      </x:c>
      <x:c r="I730" s="186" t="n">
        <x:f>G730-H730</x:f>
        <x:v>-42392</x:v>
      </x:c>
      <x:c r="J730" s="186" t="n">
        <x:v>91331</x:v>
      </x:c>
      <x:c r="K730" s="186" t="n">
        <x:v>202715</x:v>
      </x:c>
      <x:c r="L730" s="186" t="n">
        <x:f>J730-K730</x:f>
        <x:v>-111384</x:v>
      </x:c>
      <x:c r="M730" s="186" t="n">
        <x:v>106983</x:v>
      </x:c>
      <x:c r="N730" s="186" t="n">
        <x:v>56106</x:v>
      </x:c>
      <x:c r="O730" s="186" t="n">
        <x:f>M730-N730</x:f>
        <x:v>50877</x:v>
      </x:c>
      <x:c r="P730" s="186" t="n">
        <x:v>122542</x:v>
      </x:c>
      <x:c r="Q730" s="186" t="n">
        <x:v>36539</x:v>
      </x:c>
      <x:c r="R730" s="186" t="n">
        <x:f>P730-Q730</x:f>
        <x:v>86003</x:v>
      </x:c>
      <x:c r="S730" s="186" t="n">
        <x:v>39424</x:v>
      </x:c>
      <x:c r="T730" s="186" t="n">
        <x:v>22528</x:v>
      </x:c>
      <x:c r="U730" s="186" t="n">
        <x:f>S730-T730</x:f>
        <x:v>16896</x:v>
      </x:c>
      <x:c r="V730" s="196" t="n">
        <x:f>IFERROR(O730/F730,"")</x:f>
        <x:v>0.11561903463321516</x:v>
      </x:c>
      <x:c r="W730" s="196" t="n">
        <x:f>IFERROR(I730/F730,"")</x:f>
        <x:v>-0.09633669666393964</x:v>
      </x:c>
    </x:row>
    <x:row r="731">
      <x:c r="A731" s="186" t="str">
        <x:v>Silver</x:v>
      </x:c>
      <x:c r="B731" s="187" t="n">
        <x:v>44922</x:v>
      </x:c>
      <x:c r="C731" s="187" t="n">
        <x:v>44925</x:v>
      </x:c>
      <x:c r="D731" s="186" t="str">
        <x:v>084691-SILVER</x:v>
      </x:c>
      <x:c r="E731" s="186" t="str">
        <x:v>SILVER - COMMODITY EXCHANGE INC.</x:v>
      </x:c>
      <x:c r="F731" s="186" t="n">
        <x:v>128467</x:v>
      </x:c>
      <x:c r="G731" s="186" t="n">
        <x:v>4702</x:v>
      </x:c>
      <x:c r="H731" s="186" t="n">
        <x:v>41386</x:v>
      </x:c>
      <x:c r="I731" s="186" t="n">
        <x:f>G731-H731</x:f>
        <x:v>-36684</x:v>
      </x:c>
      <x:c r="J731" s="186" t="n">
        <x:v>37873</x:v>
      </x:c>
      <x:c r="K731" s="186" t="n">
        <x:v>44106</x:v>
      </x:c>
      <x:c r="L731" s="186" t="n">
        <x:f>J731-K731</x:f>
        <x:v>-6233</x:v>
      </x:c>
      <x:c r="M731" s="186" t="n">
        <x:v>45022</x:v>
      </x:c>
      <x:c r="N731" s="186" t="n">
        <x:v>16206</x:v>
      </x:c>
      <x:c r="O731" s="186" t="n">
        <x:f>M731-N731</x:f>
        <x:v>28816</x:v>
      </x:c>
      <x:c r="P731" s="186" t="n">
        <x:v>10848</x:v>
      </x:c>
      <x:c r="Q731" s="186" t="n">
        <x:v>8637</x:v>
      </x:c>
      <x:c r="R731" s="186" t="n">
        <x:f>P731-Q731</x:f>
        <x:v>2211</x:v>
      </x:c>
      <x:c r="S731" s="186" t="n">
        <x:v>23579</x:v>
      </x:c>
      <x:c r="T731" s="186" t="n">
        <x:v>11689</x:v>
      </x:c>
      <x:c r="U731" s="186" t="n">
        <x:f>S731-T731</x:f>
        <x:v>11890</x:v>
      </x:c>
      <x:c r="V731" s="196" t="n">
        <x:f>IFERROR(O731/F731,"")</x:f>
        <x:v>0.22430663127495779</x:v>
      </x:c>
      <x:c r="W731" s="196" t="n">
        <x:f>IFERROR(I731/F731,"")</x:f>
        <x:v>-0.28555193162446385</x:v>
      </x:c>
    </x:row>
    <x:row r="732">
      <x:c r="A732" s="186" t="str">
        <x:v>Gold</x:v>
      </x:c>
      <x:c r="B732" s="187" t="n">
        <x:v>44929</x:v>
      </x:c>
      <x:c r="C732" s="187" t="n">
        <x:v>44932</x:v>
      </x:c>
      <x:c r="D732" s="186" t="str">
        <x:v>088691-GOLD</x:v>
      </x:c>
      <x:c r="E732" s="186" t="str">
        <x:v>GOLD - COMMODITY EXCHANGE INC.</x:v>
      </x:c>
      <x:c r="F732" s="186" t="n">
        <x:v>449393</x:v>
      </x:c>
      <x:c r="G732" s="186" t="n">
        <x:v>13217</x:v>
      </x:c>
      <x:c r="H732" s="186" t="n">
        <x:v>57119</x:v>
      </x:c>
      <x:c r="I732" s="186" t="n">
        <x:f>G732-H732</x:f>
        <x:v>-43902</x:v>
      </x:c>
      <x:c r="J732" s="186" t="n">
        <x:v>90625</x:v>
      </x:c>
      <x:c r="K732" s="186" t="n">
        <x:v>206697</x:v>
      </x:c>
      <x:c r="L732" s="186" t="n">
        <x:f>J732-K732</x:f>
        <x:v>-116072</x:v>
      </x:c>
      <x:c r="M732" s="186" t="n">
        <x:v>109140</x:v>
      </x:c>
      <x:c r="N732" s="186" t="n">
        <x:v>54559</x:v>
      </x:c>
      <x:c r="O732" s="186" t="n">
        <x:f>M732-N732</x:f>
        <x:v>54581</x:v>
      </x:c>
      <x:c r="P732" s="186" t="n">
        <x:v>121661</x:v>
      </x:c>
      <x:c r="Q732" s="186" t="n">
        <x:v>34576</x:v>
      </x:c>
      <x:c r="R732" s="186" t="n">
        <x:f>P732-Q732</x:f>
        <x:v>87085</x:v>
      </x:c>
      <x:c r="S732" s="186" t="n">
        <x:v>42337</x:v>
      </x:c>
      <x:c r="T732" s="186" t="n">
        <x:v>24029</x:v>
      </x:c>
      <x:c r="U732" s="186" t="n">
        <x:f>S732-T732</x:f>
        <x:v>18308</x:v>
      </x:c>
      <x:c r="V732" s="196" t="n">
        <x:f>IFERROR(O732/F732,"")</x:f>
        <x:v>0.12145494033062375</x:v>
      </x:c>
      <x:c r="W732" s="196" t="n">
        <x:f>IFERROR(I732/F732,"")</x:f>
        <x:v>-0.09769177535030586</x:v>
      </x:c>
    </x:row>
    <x:row r="733">
      <x:c r="A733" s="186" t="str">
        <x:v>Silver</x:v>
      </x:c>
      <x:c r="B733" s="187" t="n">
        <x:v>44929</x:v>
      </x:c>
      <x:c r="C733" s="187" t="n">
        <x:v>44932</x:v>
      </x:c>
      <x:c r="D733" s="186" t="str">
        <x:v>084691-SILVER</x:v>
      </x:c>
      <x:c r="E733" s="186" t="str">
        <x:v>SILVER - COMMODITY EXCHANGE INC.</x:v>
      </x:c>
      <x:c r="F733" s="186" t="n">
        <x:v>131990</x:v>
      </x:c>
      <x:c r="G733" s="186" t="n">
        <x:v>4990</x:v>
      </x:c>
      <x:c r="H733" s="186" t="n">
        <x:v>41490</x:v>
      </x:c>
      <x:c r="I733" s="186" t="n">
        <x:f>G733-H733</x:f>
        <x:v>-36500</x:v>
      </x:c>
      <x:c r="J733" s="186" t="n">
        <x:v>38160</x:v>
      </x:c>
      <x:c r="K733" s="186" t="n">
        <x:v>45871</x:v>
      </x:c>
      <x:c r="L733" s="186" t="n">
        <x:f>J733-K733</x:f>
        <x:v>-7711</x:v>
      </x:c>
      <x:c r="M733" s="186" t="n">
        <x:v>46929</x:v>
      </x:c>
      <x:c r="N733" s="186" t="n">
        <x:v>19152</x:v>
      </x:c>
      <x:c r="O733" s="186" t="n">
        <x:f>M733-N733</x:f>
        <x:v>27777</x:v>
      </x:c>
      <x:c r="P733" s="186" t="n">
        <x:v>10872</x:v>
      </x:c>
      <x:c r="Q733" s="186" t="n">
        <x:v>7715</x:v>
      </x:c>
      <x:c r="R733" s="186" t="n">
        <x:f>P733-Q733</x:f>
        <x:v>3157</x:v>
      </x:c>
      <x:c r="S733" s="186" t="n">
        <x:v>23576</x:v>
      </x:c>
      <x:c r="T733" s="186" t="n">
        <x:v>10299</x:v>
      </x:c>
      <x:c r="U733" s="186" t="n">
        <x:f>S733-T733</x:f>
        <x:v>13277</x:v>
      </x:c>
      <x:c r="V733" s="196" t="n">
        <x:f>IFERROR(O733/F733,"")</x:f>
        <x:v>0.21044776119402986</x:v>
      </x:c>
      <x:c r="W733" s="196" t="n">
        <x:f>IFERROR(I733/F733,"")</x:f>
        <x:v>-0.2765361012197894</x:v>
      </x:c>
    </x:row>
    <x:row r="734">
      <x:c r="A734" s="186" t="str">
        <x:v>Gold</x:v>
      </x:c>
      <x:c r="B734" s="187" t="n">
        <x:v>44936</x:v>
      </x:c>
      <x:c r="C734" s="187" t="n">
        <x:v>44939</x:v>
      </x:c>
      <x:c r="D734" s="186" t="str">
        <x:v>088691-GOLD</x:v>
      </x:c>
      <x:c r="E734" s="186" t="str">
        <x:v>GOLD - COMMODITY EXCHANGE INC.</x:v>
      </x:c>
      <x:c r="F734" s="186" t="n">
        <x:v>481519</x:v>
      </x:c>
      <x:c r="G734" s="186" t="n">
        <x:v>12243</x:v>
      </x:c>
      <x:c r="H734" s="186" t="n">
        <x:v>60946</x:v>
      </x:c>
      <x:c r="I734" s="186" t="n">
        <x:f>G734-H734</x:f>
        <x:v>-48703</x:v>
      </x:c>
      <x:c r="J734" s="186" t="n">
        <x:v>88381</x:v>
      </x:c>
      <x:c r="K734" s="186" t="n">
        <x:v>212156</x:v>
      </x:c>
      <x:c r="L734" s="186" t="n">
        <x:f>J734-K734</x:f>
        <x:v>-123775</x:v>
      </x:c>
      <x:c r="M734" s="186" t="n">
        <x:v>116604</x:v>
      </x:c>
      <x:c r="N734" s="186" t="n">
        <x:v>54795</x:v>
      </x:c>
      <x:c r="O734" s="186" t="n">
        <x:f>M734-N734</x:f>
        <x:v>61809</x:v>
      </x:c>
      <x:c r="P734" s="186" t="n">
        <x:v>126962</x:v>
      </x:c>
      <x:c r="Q734" s="186" t="n">
        <x:v>38236</x:v>
      </x:c>
      <x:c r="R734" s="186" t="n">
        <x:f>P734-Q734</x:f>
        <x:v>88726</x:v>
      </x:c>
      <x:c r="S734" s="186" t="n">
        <x:v>46373</x:v>
      </x:c>
      <x:c r="T734" s="186" t="n">
        <x:v>24430</x:v>
      </x:c>
      <x:c r="U734" s="186" t="n">
        <x:f>S734-T734</x:f>
        <x:v>21943</x:v>
      </x:c>
      <x:c r="V734" s="196" t="n">
        <x:f>IFERROR(O734/F734,"")</x:f>
        <x:v>0.12836253605776718</x:v>
      </x:c>
      <x:c r="W734" s="196" t="n">
        <x:f>IFERROR(I734/F734,"")</x:f>
        <x:v>-0.1011445031244873</x:v>
      </x:c>
    </x:row>
    <x:row r="735">
      <x:c r="A735" s="186" t="str">
        <x:v>Silver</x:v>
      </x:c>
      <x:c r="B735" s="187" t="n">
        <x:v>44936</x:v>
      </x:c>
      <x:c r="C735" s="187" t="n">
        <x:v>44939</x:v>
      </x:c>
      <x:c r="D735" s="186" t="str">
        <x:v>084691-SILVER</x:v>
      </x:c>
      <x:c r="E735" s="186" t="str">
        <x:v>SILVER - COMMODITY EXCHANGE INC.</x:v>
      </x:c>
      <x:c r="F735" s="186" t="n">
        <x:v>129961</x:v>
      </x:c>
      <x:c r="G735" s="186" t="n">
        <x:v>4858</x:v>
      </x:c>
      <x:c r="H735" s="186" t="n">
        <x:v>38596</x:v>
      </x:c>
      <x:c r="I735" s="186" t="n">
        <x:f>G735-H735</x:f>
        <x:v>-33738</x:v>
      </x:c>
      <x:c r="J735" s="186" t="n">
        <x:v>36462</x:v>
      </x:c>
      <x:c r="K735" s="186" t="n">
        <x:v>45649</x:v>
      </x:c>
      <x:c r="L735" s="186" t="n">
        <x:f>J735-K735</x:f>
        <x:v>-9187</x:v>
      </x:c>
      <x:c r="M735" s="186" t="n">
        <x:v>44900</x:v>
      </x:c>
      <x:c r="N735" s="186" t="n">
        <x:v>21666</x:v>
      </x:c>
      <x:c r="O735" s="186" t="n">
        <x:f>M735-N735</x:f>
        <x:v>23234</x:v>
      </x:c>
      <x:c r="P735" s="186" t="n">
        <x:v>11870</x:v>
      </x:c>
      <x:c r="Q735" s="186" t="n">
        <x:v>6091</x:v>
      </x:c>
      <x:c r="R735" s="186" t="n">
        <x:f>P735-Q735</x:f>
        <x:v>5779</x:v>
      </x:c>
      <x:c r="S735" s="186" t="n">
        <x:v>23938</x:v>
      </x:c>
      <x:c r="T735" s="186" t="n">
        <x:v>10026</x:v>
      </x:c>
      <x:c r="U735" s="186" t="n">
        <x:f>S735-T735</x:f>
        <x:v>13912</x:v>
      </x:c>
      <x:c r="V735" s="196" t="n">
        <x:f>IFERROR(O735/F735,"")</x:f>
        <x:v>0.17877670993605774</x:v>
      </x:c>
      <x:c r="W735" s="196" t="n">
        <x:f>IFERROR(I735/F735,"")</x:f>
        <x:v>-0.25960095721024</x:v>
      </x:c>
    </x:row>
    <x:row r="736">
      <x:c r="A736" s="186" t="str">
        <x:v>Gold</x:v>
      </x:c>
      <x:c r="B736" s="187" t="n">
        <x:v>44943</x:v>
      </x:c>
      <x:c r="C736" s="187" t="n">
        <x:v>44946</x:v>
      </x:c>
      <x:c r="D736" s="186" t="str">
        <x:v>088691-GOLD</x:v>
      </x:c>
      <x:c r="E736" s="186" t="str">
        <x:v>GOLD - COMMODITY EXCHANGE INC.</x:v>
      </x:c>
      <x:c r="F736" s="186" t="n">
        <x:v>491818</x:v>
      </x:c>
      <x:c r="G736" s="186" t="n">
        <x:v>14854</x:v>
      </x:c>
      <x:c r="H736" s="186" t="n">
        <x:v>58789</x:v>
      </x:c>
      <x:c r="I736" s="186" t="n">
        <x:f>G736-H736</x:f>
        <x:v>-43935</x:v>
      </x:c>
      <x:c r="J736" s="186" t="n">
        <x:v>90498</x:v>
      </x:c>
      <x:c r="K736" s="186" t="n">
        <x:v>222476</x:v>
      </x:c>
      <x:c r="L736" s="186" t="n">
        <x:f>J736-K736</x:f>
        <x:v>-131978</x:v>
      </x:c>
      <x:c r="M736" s="186" t="n">
        <x:v>124222</x:v>
      </x:c>
      <x:c r="N736" s="186" t="n">
        <x:v>54845</x:v>
      </x:c>
      <x:c r="O736" s="186" t="n">
        <x:f>M736-N736</x:f>
        <x:v>69377</x:v>
      </x:c>
      <x:c r="P736" s="186" t="n">
        <x:v>122652</x:v>
      </x:c>
      <x:c r="Q736" s="186" t="n">
        <x:v>38789</x:v>
      </x:c>
      <x:c r="R736" s="186" t="n">
        <x:f>P736-Q736</x:f>
        <x:v>83863</x:v>
      </x:c>
      <x:c r="S736" s="186" t="n">
        <x:v>48128</x:v>
      </x:c>
      <x:c r="T736" s="186" t="n">
        <x:v>25455</x:v>
      </x:c>
      <x:c r="U736" s="186" t="n">
        <x:f>S736-T736</x:f>
        <x:v>22673</x:v>
      </x:c>
      <x:c r="V736" s="196" t="n">
        <x:f>IFERROR(O736/F736,"")</x:f>
        <x:v>0.14106234420049693</x:v>
      </x:c>
      <x:c r="W736" s="196" t="n">
        <x:f>IFERROR(I736/F736,"")</x:f>
        <x:v>-0.08933182600067505</x:v>
      </x:c>
    </x:row>
    <x:row r="737">
      <x:c r="A737" s="186" t="str">
        <x:v>Silver</x:v>
      </x:c>
      <x:c r="B737" s="187" t="n">
        <x:v>44943</x:v>
      </x:c>
      <x:c r="C737" s="187" t="n">
        <x:v>44946</x:v>
      </x:c>
      <x:c r="D737" s="186" t="str">
        <x:v>084691-SILVER</x:v>
      </x:c>
      <x:c r="E737" s="186" t="str">
        <x:v>SILVER - COMMODITY EXCHANGE INC.</x:v>
      </x:c>
      <x:c r="F737" s="186" t="n">
        <x:v>131862</x:v>
      </x:c>
      <x:c r="G737" s="186" t="n">
        <x:v>4837</x:v>
      </x:c>
      <x:c r="H737" s="186" t="n">
        <x:v>41094</x:v>
      </x:c>
      <x:c r="I737" s="186" t="n">
        <x:f>G737-H737</x:f>
        <x:v>-36257</x:v>
      </x:c>
      <x:c r="J737" s="186" t="n">
        <x:v>36348</x:v>
      </x:c>
      <x:c r="K737" s="186" t="n">
        <x:v>45458</x:v>
      </x:c>
      <x:c r="L737" s="186" t="n">
        <x:f>J737-K737</x:f>
        <x:v>-9110</x:v>
      </x:c>
      <x:c r="M737" s="186" t="n">
        <x:v>46115</x:v>
      </x:c>
      <x:c r="N737" s="186" t="n">
        <x:v>19647</x:v>
      </x:c>
      <x:c r="O737" s="186" t="n">
        <x:f>M737-N737</x:f>
        <x:v>26468</x:v>
      </x:c>
      <x:c r="P737" s="186" t="n">
        <x:v>11324</x:v>
      </x:c>
      <x:c r="Q737" s="186" t="n">
        <x:v>6324</x:v>
      </x:c>
      <x:c r="R737" s="186" t="n">
        <x:f>P737-Q737</x:f>
        <x:v>5000</x:v>
      </x:c>
      <x:c r="S737" s="186" t="n">
        <x:v>23983</x:v>
      </x:c>
      <x:c r="T737" s="186" t="n">
        <x:v>10084</x:v>
      </x:c>
      <x:c r="U737" s="186" t="n">
        <x:f>S737-T737</x:f>
        <x:v>13899</x:v>
      </x:c>
      <x:c r="V737" s="196" t="n">
        <x:f>IFERROR(O737/F737,"")</x:f>
        <x:v>0.2007250003791843</x:v>
      </x:c>
      <x:c r="W737" s="196" t="n">
        <x:f>IFERROR(I737/F737,"")</x:f>
        <x:v>-0.2749617023858276</x:v>
      </x:c>
    </x:row>
    <x:row r="738">
      <x:c r="A738" s="186" t="str">
        <x:v>Gold</x:v>
      </x:c>
      <x:c r="B738" s="187" t="n">
        <x:v>44950</x:v>
      </x:c>
      <x:c r="C738" s="187" t="n">
        <x:v>44953</x:v>
      </x:c>
      <x:c r="D738" s="186" t="str">
        <x:v>088691-GOLD</x:v>
      </x:c>
      <x:c r="E738" s="186" t="str">
        <x:v>GOLD - COMMODITY EXCHANGE INC.</x:v>
      </x:c>
      <x:c r="F738" s="186" t="n">
        <x:v>499927</x:v>
      </x:c>
      <x:c r="G738" s="186" t="n">
        <x:v>12705</x:v>
      </x:c>
      <x:c r="H738" s="186" t="n">
        <x:v>54314</x:v>
      </x:c>
      <x:c r="I738" s="186" t="n">
        <x:f>G738-H738</x:f>
        <x:v>-41609</x:v>
      </x:c>
      <x:c r="J738" s="186" t="n">
        <x:v>92041</x:v>
      </x:c>
      <x:c r="K738" s="186" t="n">
        <x:v>230986</x:v>
      </x:c>
      <x:c r="L738" s="186" t="n">
        <x:f>J738-K738</x:f>
        <x:v>-138945</x:v>
      </x:c>
      <x:c r="M738" s="186" t="n">
        <x:v>131501</x:v>
      </x:c>
      <x:c r="N738" s="186" t="n">
        <x:v>51622</x:v>
      </x:c>
      <x:c r="O738" s="186" t="n">
        <x:f>M738-N738</x:f>
        <x:v>79879</x:v>
      </x:c>
      <x:c r="P738" s="186" t="n">
        <x:v>121810</x:v>
      </x:c>
      <x:c r="Q738" s="186" t="n">
        <x:v>44016</x:v>
      </x:c>
      <x:c r="R738" s="186" t="n">
        <x:f>P738-Q738</x:f>
        <x:v>77794</x:v>
      </x:c>
      <x:c r="S738" s="186" t="n">
        <x:v>47880</x:v>
      </x:c>
      <x:c r="T738" s="186" t="n">
        <x:v>24999</x:v>
      </x:c>
      <x:c r="U738" s="186" t="n">
        <x:f>S738-T738</x:f>
        <x:v>22881</x:v>
      </x:c>
      <x:c r="V738" s="196" t="n">
        <x:f>IFERROR(O738/F738,"")</x:f>
        <x:v>0.15978132807389878</x:v>
      </x:c>
      <x:c r="W738" s="196" t="n">
        <x:f>IFERROR(I738/F738,"")</x:f>
        <x:v>-0.08323015160213391</x:v>
      </x:c>
    </x:row>
    <x:row r="739">
      <x:c r="A739" s="186" t="str">
        <x:v>Silver</x:v>
      </x:c>
      <x:c r="B739" s="187" t="n">
        <x:v>44950</x:v>
      </x:c>
      <x:c r="C739" s="187" t="n">
        <x:v>44953</x:v>
      </x:c>
      <x:c r="D739" s="186" t="str">
        <x:v>084691-SILVER</x:v>
      </x:c>
      <x:c r="E739" s="186" t="str">
        <x:v>SILVER - COMMODITY EXCHANGE INC.</x:v>
      </x:c>
      <x:c r="F739" s="186" t="n">
        <x:v>134922</x:v>
      </x:c>
      <x:c r="G739" s="186" t="n">
        <x:v>4479</x:v>
      </x:c>
      <x:c r="H739" s="186" t="n">
        <x:v>38713</x:v>
      </x:c>
      <x:c r="I739" s="186" t="n">
        <x:f>G739-H739</x:f>
        <x:v>-34234</x:v>
      </x:c>
      <x:c r="J739" s="186" t="n">
        <x:v>41492</x:v>
      </x:c>
      <x:c r="K739" s="186" t="n">
        <x:v>46719</x:v>
      </x:c>
      <x:c r="L739" s="186" t="n">
        <x:f>J739-K739</x:f>
        <x:v>-5227</x:v>
      </x:c>
      <x:c r="M739" s="186" t="n">
        <x:v>43507</x:v>
      </x:c>
      <x:c r="N739" s="186" t="n">
        <x:v>23686</x:v>
      </x:c>
      <x:c r="O739" s="186" t="n">
        <x:f>M739-N739</x:f>
        <x:v>19821</x:v>
      </x:c>
      <x:c r="P739" s="186" t="n">
        <x:v>12088</x:v>
      </x:c>
      <x:c r="Q739" s="186" t="n">
        <x:v>6225</x:v>
      </x:c>
      <x:c r="R739" s="186" t="n">
        <x:f>P739-Q739</x:f>
        <x:v>5863</x:v>
      </x:c>
      <x:c r="S739" s="186" t="n">
        <x:v>23875</x:v>
      </x:c>
      <x:c r="T739" s="186" t="n">
        <x:v>10098</x:v>
      </x:c>
      <x:c r="U739" s="186" t="n">
        <x:f>S739-T739</x:f>
        <x:v>13777</x:v>
      </x:c>
      <x:c r="V739" s="196" t="n">
        <x:f>IFERROR(O739/F739,"")</x:f>
        <x:v>0.14690710188108685</x:v>
      </x:c>
      <x:c r="W739" s="196" t="n">
        <x:f>IFERROR(I739/F739,"")</x:f>
        <x:v>-0.2537317857725204</x:v>
      </x:c>
    </x:row>
    <x:row r="740">
      <x:c r="A740" s="186" t="str">
        <x:v>Gold</x:v>
      </x:c>
      <x:c r="B740" s="187" t="n">
        <x:v>44957</x:v>
      </x:c>
      <x:c r="C740" s="187" t="n">
        <x:v>44960</x:v>
      </x:c>
      <x:c r="D740" s="186" t="str">
        <x:v>088691-GOLD</x:v>
      </x:c>
      <x:c r="E740" s="186" t="str">
        <x:v>GOLD - COMMODITY EXCHANGE INC.</x:v>
      </x:c>
      <x:c r="F740" s="186" t="n">
        <x:v>471642</x:v>
      </x:c>
      <x:c r="G740" s="186" t="n">
        <x:v>14955</x:v>
      </x:c>
      <x:c r="H740" s="186" t="n">
        <x:v>51775</x:v>
      </x:c>
      <x:c r="I740" s="186" t="n">
        <x:f>G740-H740</x:f>
        <x:v>-36820</x:v>
      </x:c>
      <x:c r="J740" s="186" t="n">
        <x:v>88758</x:v>
      </x:c>
      <x:c r="K740" s="186" t="n">
        <x:v>232458</x:v>
      </x:c>
      <x:c r="L740" s="186" t="n">
        <x:f>J740-K740</x:f>
        <x:v>-143700</x:v>
      </x:c>
      <x:c r="M740" s="186" t="n">
        <x:v>138125</x:v>
      </x:c>
      <x:c r="N740" s="186" t="n">
        <x:v>53678</x:v>
      </x:c>
      <x:c r="O740" s="186" t="n">
        <x:f>M740-N740</x:f>
        <x:v>84447</x:v>
      </x:c>
      <x:c r="P740" s="186" t="n">
        <x:v>118292</x:v>
      </x:c>
      <x:c r="Q740" s="186" t="n">
        <x:v>42458</x:v>
      </x:c>
      <x:c r="R740" s="186" t="n">
        <x:f>P740-Q740</x:f>
        <x:v>75834</x:v>
      </x:c>
      <x:c r="S740" s="186" t="n">
        <x:v>43984</x:v>
      </x:c>
      <x:c r="T740" s="186" t="n">
        <x:v>23745</x:v>
      </x:c>
      <x:c r="U740" s="186" t="n">
        <x:f>S740-T740</x:f>
        <x:v>20239</x:v>
      </x:c>
      <x:c r="V740" s="196" t="n">
        <x:f>IFERROR(O740/F740,"")</x:f>
        <x:v>0.17904893966186217</x:v>
      </x:c>
      <x:c r="W740" s="196" t="n">
        <x:f>IFERROR(I740/F740,"")</x:f>
        <x:v>-0.07806768693203743</x:v>
      </x:c>
    </x:row>
    <x:row r="741">
      <x:c r="A741" s="186" t="str">
        <x:v>Silver</x:v>
      </x:c>
      <x:c r="B741" s="187" t="n">
        <x:v>44957</x:v>
      </x:c>
      <x:c r="C741" s="187" t="n">
        <x:v>44960</x:v>
      </x:c>
      <x:c r="D741" s="186" t="str">
        <x:v>084691-SILVER</x:v>
      </x:c>
      <x:c r="E741" s="186" t="str">
        <x:v>SILVER - COMMODITY EXCHANGE INC.</x:v>
      </x:c>
      <x:c r="F741" s="186" t="n">
        <x:v>138263</x:v>
      </x:c>
      <x:c r="G741" s="186" t="n">
        <x:v>5086</x:v>
      </x:c>
      <x:c r="H741" s="186" t="n">
        <x:v>39825</x:v>
      </x:c>
      <x:c r="I741" s="186" t="n">
        <x:f>G741-H741</x:f>
        <x:v>-34739</x:v>
      </x:c>
      <x:c r="J741" s="186" t="n">
        <x:v>41030</x:v>
      </x:c>
      <x:c r="K741" s="186" t="n">
        <x:v>46725</x:v>
      </x:c>
      <x:c r="L741" s="186" t="n">
        <x:f>J741-K741</x:f>
        <x:v>-5695</x:v>
      </x:c>
      <x:c r="M741" s="186" t="n">
        <x:v>44661</x:v>
      </x:c>
      <x:c r="N741" s="186" t="n">
        <x:v>20874</x:v>
      </x:c>
      <x:c r="O741" s="186" t="n">
        <x:f>M741-N741</x:f>
        <x:v>23787</x:v>
      </x:c>
      <x:c r="P741" s="186" t="n">
        <x:v>10206</x:v>
      </x:c>
      <x:c r="Q741" s="186" t="n">
        <x:v>6677</x:v>
      </x:c>
      <x:c r="R741" s="186" t="n">
        <x:f>P741-Q741</x:f>
        <x:v>3529</x:v>
      </x:c>
      <x:c r="S741" s="186" t="n">
        <x:v>24665</x:v>
      </x:c>
      <x:c r="T741" s="186" t="n">
        <x:v>11547</x:v>
      </x:c>
      <x:c r="U741" s="186" t="n">
        <x:f>S741-T741</x:f>
        <x:v>13118</x:v>
      </x:c>
      <x:c r="V741" s="196" t="n">
        <x:f>IFERROR(O741/F741,"")</x:f>
        <x:v>0.17204168866580358</x:v>
      </x:c>
      <x:c r="W741" s="196" t="n">
        <x:f>IFERROR(I741/F741,"")</x:f>
        <x:v>-0.2512530467297831</x:v>
      </x:c>
    </x:row>
    <x:row r="742">
      <x:c r="A742" s="186" t="str">
        <x:v>Gold</x:v>
      </x:c>
      <x:c r="B742" s="187" t="n">
        <x:v>44964</x:v>
      </x:c>
      <x:c r="C742" s="187" t="n">
        <x:v>44967</x:v>
      </x:c>
      <x:c r="D742" s="186" t="str">
        <x:v>088691-GOLD</x:v>
      </x:c>
      <x:c r="E742" s="186" t="str">
        <x:v>GOLD - COMMODITY EXCHANGE INC.</x:v>
      </x:c>
      <x:c r="F742" s="186" t="n">
        <x:v>439755</x:v>
      </x:c>
      <x:c r="G742" s="186" t="n">
        <x:v>15251</x:v>
      </x:c>
      <x:c r="H742" s="186" t="n">
        <x:v>46233</x:v>
      </x:c>
      <x:c r="I742" s="186" t="n">
        <x:f>G742-H742</x:f>
        <x:v>-30982</x:v>
      </x:c>
      <x:c r="J742" s="186" t="n">
        <x:v>90840</x:v>
      </x:c>
      <x:c r="K742" s="186" t="n">
        <x:v>212824</x:v>
      </x:c>
      <x:c r="L742" s="186" t="n">
        <x:f>J742-K742</x:f>
        <x:v>-121984</x:v>
      </x:c>
      <x:c r="M742" s="186" t="n">
        <x:v>115521</x:v>
      </x:c>
      <x:c r="N742" s="186" t="n">
        <x:v>55945</x:v>
      </x:c>
      <x:c r="O742" s="186" t="n">
        <x:f>M742-N742</x:f>
        <x:v>59576</x:v>
      </x:c>
      <x:c r="P742" s="186" t="n">
        <x:v>107777</x:v>
      </x:c>
      <x:c r="Q742" s="186" t="n">
        <x:v>38538</x:v>
      </x:c>
      <x:c r="R742" s="186" t="n">
        <x:f>P742-Q742</x:f>
        <x:v>69239</x:v>
      </x:c>
      <x:c r="S742" s="186" t="n">
        <x:v>48076</x:v>
      </x:c>
      <x:c r="T742" s="186" t="n">
        <x:v>23925</x:v>
      </x:c>
      <x:c r="U742" s="186" t="n">
        <x:f>S742-T742</x:f>
        <x:v>24151</x:v>
      </x:c>
      <x:c r="V742" s="196" t="n">
        <x:f>IFERROR(O742/F742,"")</x:f>
        <x:v>0.135475435185501</x:v>
      </x:c>
      <x:c r="W742" s="196" t="n">
        <x:f>IFERROR(I742/F742,"")</x:f>
        <x:v>-0.07045286580027516</x:v>
      </x:c>
    </x:row>
    <x:row r="743">
      <x:c r="A743" s="186" t="str">
        <x:v>Silver</x:v>
      </x:c>
      <x:c r="B743" s="187" t="n">
        <x:v>44964</x:v>
      </x:c>
      <x:c r="C743" s="187" t="n">
        <x:v>44967</x:v>
      </x:c>
      <x:c r="D743" s="186" t="str">
        <x:v>084691-SILVER</x:v>
      </x:c>
      <x:c r="E743" s="186" t="str">
        <x:v>SILVER - COMMODITY EXCHANGE INC.</x:v>
      </x:c>
      <x:c r="F743" s="186" t="n">
        <x:v>133601</x:v>
      </x:c>
      <x:c r="G743" s="186" t="n">
        <x:v>5292</x:v>
      </x:c>
      <x:c r="H743" s="186" t="n">
        <x:v>34026</x:v>
      </x:c>
      <x:c r="I743" s="186" t="n">
        <x:f>G743-H743</x:f>
        <x:v>-28734</x:v>
      </x:c>
      <x:c r="J743" s="186" t="n">
        <x:v>40761</x:v>
      </x:c>
      <x:c r="K743" s="186" t="n">
        <x:v>41706</x:v>
      </x:c>
      <x:c r="L743" s="186" t="n">
        <x:f>J743-K743</x:f>
        <x:v>-945</x:v>
      </x:c>
      <x:c r="M743" s="186" t="n">
        <x:v>35026</x:v>
      </x:c>
      <x:c r="N743" s="186" t="n">
        <x:v>29209</x:v>
      </x:c>
      <x:c r="O743" s="186" t="n">
        <x:f>M743-N743</x:f>
        <x:v>5817</x:v>
      </x:c>
      <x:c r="P743" s="186" t="n">
        <x:v>13095</x:v>
      </x:c>
      <x:c r="Q743" s="186" t="n">
        <x:v>5381</x:v>
      </x:c>
      <x:c r="R743" s="186" t="n">
        <x:f>P743-Q743</x:f>
        <x:v>7714</x:v>
      </x:c>
      <x:c r="S743" s="186" t="n">
        <x:v>26922</x:v>
      </x:c>
      <x:c r="T743" s="186" t="n">
        <x:v>10774</x:v>
      </x:c>
      <x:c r="U743" s="186" t="n">
        <x:f>S743-T743</x:f>
        <x:v>16148</x:v>
      </x:c>
      <x:c r="V743" s="196" t="n">
        <x:f>IFERROR(O743/F743,"")</x:f>
        <x:v>0.04354009326277498</x:v>
      </x:c>
      <x:c r="W743" s="196" t="n">
        <x:f>IFERROR(I743/F743,"")</x:f>
        <x:v>-0.21507324046975695</x:v>
      </x:c>
    </x:row>
    <x:row r="744">
      <x:c r="A744" s="186" t="str">
        <x:v>Gold</x:v>
      </x:c>
      <x:c r="B744" s="187" t="n">
        <x:v>44971</x:v>
      </x:c>
      <x:c r="C744" s="187" t="n">
        <x:v>44974</x:v>
      </x:c>
      <x:c r="D744" s="186" t="str">
        <x:v>088691-GOLD</x:v>
      </x:c>
      <x:c r="E744" s="186" t="str">
        <x:v>GOLD - COMMODITY EXCHANGE INC.</x:v>
      </x:c>
      <x:c r="F744" s="186" t="n">
        <x:v>426116</x:v>
      </x:c>
      <x:c r="G744" s="186" t="n">
        <x:v>12225</x:v>
      </x:c>
      <x:c r="H744" s="186" t="n">
        <x:v>42118</x:v>
      </x:c>
      <x:c r="I744" s="186" t="n">
        <x:f>G744-H744</x:f>
        <x:v>-29893</x:v>
      </x:c>
      <x:c r="J744" s="186" t="n">
        <x:v>92860</x:v>
      </x:c>
      <x:c r="K744" s="186" t="n">
        <x:v>192039</x:v>
      </x:c>
      <x:c r="L744" s="186" t="n">
        <x:f>J744-K744</x:f>
        <x:v>-99179</x:v>
      </x:c>
      <x:c r="M744" s="186" t="n">
        <x:v>106106</x:v>
      </x:c>
      <x:c r="N744" s="186" t="n">
        <x:v>64933</x:v>
      </x:c>
      <x:c r="O744" s="186" t="n">
        <x:f>M744-N744</x:f>
        <x:v>41173</x:v>
      </x:c>
      <x:c r="P744" s="186" t="n">
        <x:v>104268</x:v>
      </x:c>
      <x:c r="Q744" s="186" t="n">
        <x:v>39912</x:v>
      </x:c>
      <x:c r="R744" s="186" t="n">
        <x:f>P744-Q744</x:f>
        <x:v>64356</x:v>
      </x:c>
      <x:c r="S744" s="186" t="n">
        <x:v>45444</x:v>
      </x:c>
      <x:c r="T744" s="186" t="n">
        <x:v>21901</x:v>
      </x:c>
      <x:c r="U744" s="186" t="n">
        <x:f>S744-T744</x:f>
        <x:v>23543</x:v>
      </x:c>
      <x:c r="V744" s="196" t="n">
        <x:f>IFERROR(O744/F744,"")</x:f>
        <x:v>0.09662392400191497</x:v>
      </x:c>
      <x:c r="W744" s="196" t="n">
        <x:f>IFERROR(I744/F744,"")</x:f>
        <x:v>-0.07015225900928386</x:v>
      </x:c>
    </x:row>
    <x:row r="745">
      <x:c r="A745" s="186" t="str">
        <x:v>Silver</x:v>
      </x:c>
      <x:c r="B745" s="187" t="n">
        <x:v>44971</x:v>
      </x:c>
      <x:c r="C745" s="187" t="n">
        <x:v>44974</x:v>
      </x:c>
      <x:c r="D745" s="186" t="str">
        <x:v>084691-SILVER</x:v>
      </x:c>
      <x:c r="E745" s="186" t="str">
        <x:v>SILVER - COMMODITY EXCHANGE INC.</x:v>
      </x:c>
      <x:c r="F745" s="186" t="n">
        <x:v>132132</x:v>
      </x:c>
      <x:c r="G745" s="186" t="n">
        <x:v>4670</x:v>
      </x:c>
      <x:c r="H745" s="186" t="n">
        <x:v>32829</x:v>
      </x:c>
      <x:c r="I745" s="186" t="n">
        <x:f>G745-H745</x:f>
        <x:v>-28159</x:v>
      </x:c>
      <x:c r="J745" s="186" t="n">
        <x:v>40799</x:v>
      </x:c>
      <x:c r="K745" s="186" t="n">
        <x:v>38462</x:v>
      </x:c>
      <x:c r="L745" s="186" t="n">
        <x:f>J745-K745</x:f>
        <x:v>2337</x:v>
      </x:c>
      <x:c r="M745" s="186" t="n">
        <x:v>33963</x:v>
      </x:c>
      <x:c r="N745" s="186" t="n">
        <x:v>28645</x:v>
      </x:c>
      <x:c r="O745" s="186" t="n">
        <x:f>M745-N745</x:f>
        <x:v>5318</x:v>
      </x:c>
      <x:c r="P745" s="186" t="n">
        <x:v>12065</x:v>
      </x:c>
      <x:c r="Q745" s="186" t="n">
        <x:v>5877</x:v>
      </x:c>
      <x:c r="R745" s="186" t="n">
        <x:f>P745-Q745</x:f>
        <x:v>6188</x:v>
      </x:c>
      <x:c r="S745" s="186" t="n">
        <x:v>27064</x:v>
      </x:c>
      <x:c r="T745" s="186" t="n">
        <x:v>12748</x:v>
      </x:c>
      <x:c r="U745" s="186" t="n">
        <x:f>S745-T745</x:f>
        <x:v>14316</x:v>
      </x:c>
      <x:c r="V745" s="196" t="n">
        <x:f>IFERROR(O745/F745,"")</x:f>
        <x:v>0.040247631156722065</x:v>
      </x:c>
      <x:c r="W745" s="196" t="n">
        <x:f>IFERROR(I745/F745,"")</x:f>
        <x:v>-0.21311264493082674</x:v>
      </x:c>
    </x:row>
    <x:row r="746">
      <x:c r="A746" s="186" t="str">
        <x:v>Gold</x:v>
      </x:c>
      <x:c r="B746" s="187" t="n">
        <x:v>44978</x:v>
      </x:c>
      <x:c r="C746" s="187" t="n">
        <x:v>44981</x:v>
      </x:c>
      <x:c r="D746" s="186" t="str">
        <x:v>088691-GOLD</x:v>
      </x:c>
      <x:c r="E746" s="186" t="str">
        <x:v>GOLD - COMMODITY EXCHANGE INC.</x:v>
      </x:c>
      <x:c r="F746" s="186" t="n">
        <x:v>422648</x:v>
      </x:c>
      <x:c r="G746" s="186" t="n">
        <x:v>10696</x:v>
      </x:c>
      <x:c r="H746" s="186" t="n">
        <x:v>40479</x:v>
      </x:c>
      <x:c r="I746" s="186" t="n">
        <x:f>G746-H746</x:f>
        <x:v>-29783</x:v>
      </x:c>
      <x:c r="J746" s="186" t="n">
        <x:v>91556</x:v>
      </x:c>
      <x:c r="K746" s="186" t="n">
        <x:v>191128</x:v>
      </x:c>
      <x:c r="L746" s="186" t="n">
        <x:f>J746-K746</x:f>
        <x:v>-99572</x:v>
      </x:c>
      <x:c r="M746" s="186" t="n">
        <x:v>104710</x:v>
      </x:c>
      <x:c r="N746" s="186" t="n">
        <x:v>68004</x:v>
      </x:c>
      <x:c r="O746" s="186" t="n">
        <x:f>M746-N746</x:f>
        <x:v>36706</x:v>
      </x:c>
      <x:c r="P746" s="186" t="n">
        <x:v>105475</x:v>
      </x:c>
      <x:c r="Q746" s="186" t="n">
        <x:v>35080</x:v>
      </x:c>
      <x:c r="R746" s="186" t="n">
        <x:f>P746-Q746</x:f>
        <x:v>70395</x:v>
      </x:c>
      <x:c r="S746" s="186" t="n">
        <x:v>43956</x:v>
      </x:c>
      <x:c r="T746" s="186" t="n">
        <x:v>21702</x:v>
      </x:c>
      <x:c r="U746" s="186" t="n">
        <x:f>S746-T746</x:f>
        <x:v>22254</x:v>
      </x:c>
      <x:c r="V746" s="196" t="n">
        <x:f>IFERROR(O746/F746,"")</x:f>
        <x:v>0.08684768412485094</x:v>
      </x:c>
      <x:c r="W746" s="196" t="n">
        <x:f>IFERROR(I746/F746,"")</x:f>
        <x:v>-0.07046762317578695</x:v>
      </x:c>
    </x:row>
    <x:row r="747">
      <x:c r="A747" s="186" t="str">
        <x:v>Silver</x:v>
      </x:c>
      <x:c r="B747" s="187" t="n">
        <x:v>44978</x:v>
      </x:c>
      <x:c r="C747" s="187" t="n">
        <x:v>44981</x:v>
      </x:c>
      <x:c r="D747" s="186" t="str">
        <x:v>084691-SILVER</x:v>
      </x:c>
      <x:c r="E747" s="186" t="str">
        <x:v>SILVER - COMMODITY EXCHANGE INC.</x:v>
      </x:c>
      <x:c r="F747" s="186" t="n">
        <x:v>123906</x:v>
      </x:c>
      <x:c r="G747" s="186" t="n">
        <x:v>2195</x:v>
      </x:c>
      <x:c r="H747" s="186" t="n">
        <x:v>28664</x:v>
      </x:c>
      <x:c r="I747" s="186" t="n">
        <x:f>G747-H747</x:f>
        <x:v>-26469</x:v>
      </x:c>
      <x:c r="J747" s="186" t="n">
        <x:v>41052</x:v>
      </x:c>
      <x:c r="K747" s="186" t="n">
        <x:v>37633</x:v>
      </x:c>
      <x:c r="L747" s="186" t="n">
        <x:f>J747-K747</x:f>
        <x:v>3419</x:v>
      </x:c>
      <x:c r="M747" s="186" t="n">
        <x:v>32856</x:v>
      </x:c>
      <x:c r="N747" s="186" t="n">
        <x:v>27773</x:v>
      </x:c>
      <x:c r="O747" s="186" t="n">
        <x:f>M747-N747</x:f>
        <x:v>5083</x:v>
      </x:c>
      <x:c r="P747" s="186" t="n">
        <x:v>12129</x:v>
      </x:c>
      <x:c r="Q747" s="186" t="n">
        <x:v>7310</x:v>
      </x:c>
      <x:c r="R747" s="186" t="n">
        <x:f>P747-Q747</x:f>
        <x:v>4819</x:v>
      </x:c>
      <x:c r="S747" s="186" t="n">
        <x:v>24663</x:v>
      </x:c>
      <x:c r="T747" s="186" t="n">
        <x:v>11515</x:v>
      </x:c>
      <x:c r="U747" s="186" t="n">
        <x:f>S747-T747</x:f>
        <x:v>13148</x:v>
      </x:c>
      <x:c r="V747" s="196" t="n">
        <x:f>IFERROR(O747/F747,"")</x:f>
        <x:v>0.0410230335899795</x:v>
      </x:c>
      <x:c r="W747" s="196" t="n">
        <x:f>IFERROR(I747/F747,"")</x:f>
        <x:v>-0.21362161638661567</x:v>
      </x:c>
    </x:row>
    <x:row r="748">
      <x:c r="A748" s="186" t="str">
        <x:v>Gold</x:v>
      </x:c>
      <x:c r="B748" s="187" t="n">
        <x:v>44985</x:v>
      </x:c>
      <x:c r="C748" s="187" t="n">
        <x:v>44988</x:v>
      </x:c>
      <x:c r="D748" s="186" t="str">
        <x:v>088691-GOLD</x:v>
      </x:c>
      <x:c r="E748" s="186" t="str">
        <x:v>GOLD - COMMODITY EXCHANGE INC.</x:v>
      </x:c>
      <x:c r="F748" s="186" t="n">
        <x:v>426890</x:v>
      </x:c>
      <x:c r="G748" s="186" t="n">
        <x:v>12772</x:v>
      </x:c>
      <x:c r="H748" s="186" t="n">
        <x:v>41995</x:v>
      </x:c>
      <x:c r="I748" s="186" t="n">
        <x:f>G748-H748</x:f>
        <x:v>-29223</x:v>
      </x:c>
      <x:c r="J748" s="186" t="n">
        <x:v>93853</x:v>
      </x:c>
      <x:c r="K748" s="186" t="n">
        <x:v>192117</x:v>
      </x:c>
      <x:c r="L748" s="186" t="n">
        <x:f>J748-K748</x:f>
        <x:v>-98264</x:v>
      </x:c>
      <x:c r="M748" s="186" t="n">
        <x:v>99425</x:v>
      </x:c>
      <x:c r="N748" s="186" t="n">
        <x:v>72850</x:v>
      </x:c>
      <x:c r="O748" s="186" t="n">
        <x:f>M748-N748</x:f>
        <x:v>26575</x:v>
      </x:c>
      <x:c r="P748" s="186" t="n">
        <x:v>108994</x:v>
      </x:c>
      <x:c r="Q748" s="186" t="n">
        <x:v>26976</x:v>
      </x:c>
      <x:c r="R748" s="186" t="n">
        <x:f>P748-Q748</x:f>
        <x:v>82018</x:v>
      </x:c>
      <x:c r="S748" s="186" t="n">
        <x:v>41958</x:v>
      </x:c>
      <x:c r="T748" s="186" t="n">
        <x:v>23064</x:v>
      </x:c>
      <x:c r="U748" s="186" t="n">
        <x:f>S748-T748</x:f>
        <x:v>18894</x:v>
      </x:c>
      <x:c r="V748" s="196" t="n">
        <x:f>IFERROR(O748/F748,"")</x:f>
        <x:v>0.06225257091990911</x:v>
      </x:c>
      <x:c r="W748" s="196" t="n">
        <x:f>IFERROR(I748/F748,"")</x:f>
        <x:v>-0.06845557403546582</x:v>
      </x:c>
    </x:row>
    <x:row r="749">
      <x:c r="A749" s="186" t="str">
        <x:v>Silver</x:v>
      </x:c>
      <x:c r="B749" s="187" t="n">
        <x:v>44985</x:v>
      </x:c>
      <x:c r="C749" s="187" t="n">
        <x:v>44988</x:v>
      </x:c>
      <x:c r="D749" s="186" t="str">
        <x:v>084691-SILVER</x:v>
      </x:c>
      <x:c r="E749" s="186" t="str">
        <x:v>SILVER - COMMODITY EXCHANGE INC.</x:v>
      </x:c>
      <x:c r="F749" s="186" t="n">
        <x:v>123900</x:v>
      </x:c>
      <x:c r="G749" s="186" t="n">
        <x:v>2616</x:v>
      </x:c>
      <x:c r="H749" s="186" t="n">
        <x:v>25385</x:v>
      </x:c>
      <x:c r="I749" s="186" t="n">
        <x:f>G749-H749</x:f>
        <x:v>-22769</x:v>
      </x:c>
      <x:c r="J749" s="186" t="n">
        <x:v>43045</x:v>
      </x:c>
      <x:c r="K749" s="186" t="n">
        <x:v>33428</x:v>
      </x:c>
      <x:c r="L749" s="186" t="n">
        <x:f>J749-K749</x:f>
        <x:v>9617</x:v>
      </x:c>
      <x:c r="M749" s="186" t="n">
        <x:v>30354</x:v>
      </x:c>
      <x:c r="N749" s="186" t="n">
        <x:v>37642</x:v>
      </x:c>
      <x:c r="O749" s="186" t="n">
        <x:f>M749-N749</x:f>
        <x:v>-7288</x:v>
      </x:c>
      <x:c r="P749" s="186" t="n">
        <x:v>13848</x:v>
      </x:c>
      <x:c r="Q749" s="186" t="n">
        <x:v>6614</x:v>
      </x:c>
      <x:c r="R749" s="186" t="n">
        <x:f>P749-Q749</x:f>
        <x:v>7234</x:v>
      </x:c>
      <x:c r="S749" s="186" t="n">
        <x:v>25748</x:v>
      </x:c>
      <x:c r="T749" s="186" t="n">
        <x:v>12542</x:v>
      </x:c>
      <x:c r="U749" s="186" t="n">
        <x:f>S749-T749</x:f>
        <x:v>13206</x:v>
      </x:c>
      <x:c r="V749" s="196" t="n">
        <x:f>IFERROR(O749/F749,"")</x:f>
        <x:v>-0.05882163034705407</x:v>
      </x:c>
      <x:c r="W749" s="196" t="n">
        <x:f>IFERROR(I749/F749,"")</x:f>
        <x:v>-0.18376916868442292</x:v>
      </x:c>
    </x:row>
    <x:row r="750">
      <x:c r="A750" s="186" t="str">
        <x:v>Gold</x:v>
      </x:c>
      <x:c r="B750" s="187" t="n">
        <x:v>44992</x:v>
      </x:c>
      <x:c r="C750" s="187" t="n">
        <x:v>44995</x:v>
      </x:c>
      <x:c r="D750" s="186" t="str">
        <x:v>088691-GOLD</x:v>
      </x:c>
      <x:c r="E750" s="186" t="str">
        <x:v>GOLD - COMMODITY EXCHANGE INC.</x:v>
      </x:c>
      <x:c r="F750" s="186" t="n">
        <x:v>458474</x:v>
      </x:c>
      <x:c r="G750" s="186" t="n">
        <x:v>11617</x:v>
      </x:c>
      <x:c r="H750" s="186" t="n">
        <x:v>41216</x:v>
      </x:c>
      <x:c r="I750" s="186" t="n">
        <x:f>G750-H750</x:f>
        <x:v>-29599</x:v>
      </x:c>
      <x:c r="J750" s="186" t="n">
        <x:v>95312</x:v>
      </x:c>
      <x:c r="K750" s="186" t="n">
        <x:v>184633</x:v>
      </x:c>
      <x:c r="L750" s="186" t="n">
        <x:f>J750-K750</x:f>
        <x:v>-89321</x:v>
      </x:c>
      <x:c r="M750" s="186" t="n">
        <x:v>103439</x:v>
      </x:c>
      <x:c r="N750" s="186" t="n">
        <x:v>89040</x:v>
      </x:c>
      <x:c r="O750" s="186" t="n">
        <x:f>M750-N750</x:f>
        <x:v>14399</x:v>
      </x:c>
      <x:c r="P750" s="186" t="n">
        <x:v>112135</x:v>
      </x:c>
      <x:c r="Q750" s="186" t="n">
        <x:v>28060</x:v>
      </x:c>
      <x:c r="R750" s="186" t="n">
        <x:f>P750-Q750</x:f>
        <x:v>84075</x:v>
      </x:c>
      <x:c r="S750" s="186" t="n">
        <x:v>43640</x:v>
      </x:c>
      <x:c r="T750" s="186" t="n">
        <x:v>23194</x:v>
      </x:c>
      <x:c r="U750" s="186" t="n">
        <x:f>S750-T750</x:f>
        <x:v>20446</x:v>
      </x:c>
      <x:c r="V750" s="196" t="n">
        <x:f>IFERROR(O750/F750,"")</x:f>
        <x:v>0.03140636110226534</x:v>
      </x:c>
      <x:c r="W750" s="196" t="n">
        <x:f>IFERROR(I750/F750,"")</x:f>
        <x:v>-0.06455982236724438</x:v>
      </x:c>
    </x:row>
    <x:row r="751">
      <x:c r="A751" s="186" t="str">
        <x:v>Silver</x:v>
      </x:c>
      <x:c r="B751" s="187" t="n">
        <x:v>44992</x:v>
      </x:c>
      <x:c r="C751" s="187" t="n">
        <x:v>44995</x:v>
      </x:c>
      <x:c r="D751" s="186" t="str">
        <x:v>084691-SILVER</x:v>
      </x:c>
      <x:c r="E751" s="186" t="str">
        <x:v>SILVER - COMMODITY EXCHANGE INC.</x:v>
      </x:c>
      <x:c r="F751" s="186" t="n">
        <x:v>127503</x:v>
      </x:c>
      <x:c r="G751" s="186" t="n">
        <x:v>4089</x:v>
      </x:c>
      <x:c r="H751" s="186" t="n">
        <x:v>23724</x:v>
      </x:c>
      <x:c r="I751" s="186" t="n">
        <x:f>G751-H751</x:f>
        <x:v>-19635</x:v>
      </x:c>
      <x:c r="J751" s="186" t="n">
        <x:v>45100</x:v>
      </x:c>
      <x:c r="K751" s="186" t="n">
        <x:v>31078</x:v>
      </x:c>
      <x:c r="L751" s="186" t="n">
        <x:f>J751-K751</x:f>
        <x:v>14022</x:v>
      </x:c>
      <x:c r="M751" s="186" t="n">
        <x:v>27811</x:v>
      </x:c>
      <x:c r="N751" s="186" t="n">
        <x:v>45213</x:v>
      </x:c>
      <x:c r="O751" s="186" t="n">
        <x:f>M751-N751</x:f>
        <x:v>-17402</x:v>
      </x:c>
      <x:c r="P751" s="186" t="n">
        <x:v>15092</x:v>
      </x:c>
      <x:c r="Q751" s="186" t="n">
        <x:v>5472</x:v>
      </x:c>
      <x:c r="R751" s="186" t="n">
        <x:f>P751-Q751</x:f>
        <x:v>9620</x:v>
      </x:c>
      <x:c r="S751" s="186" t="n">
        <x:v>26991</x:v>
      </x:c>
      <x:c r="T751" s="186" t="n">
        <x:v>13596</x:v>
      </x:c>
      <x:c r="U751" s="186" t="n">
        <x:f>S751-T751</x:f>
        <x:v>13395</x:v>
      </x:c>
      <x:c r="V751" s="196" t="n">
        <x:f>IFERROR(O751/F751,"")</x:f>
        <x:v>-0.1364830631436123</x:v>
      </x:c>
      <x:c r="W751" s="196" t="n">
        <x:f>IFERROR(I751/F751,"")</x:f>
        <x:v>-0.15399637655584575</x:v>
      </x:c>
    </x:row>
    <x:row r="752">
      <x:c r="A752" s="186" t="str">
        <x:v>Gold</x:v>
      </x:c>
      <x:c r="B752" s="187" t="n">
        <x:v>44999</x:v>
      </x:c>
      <x:c r="C752" s="187" t="n">
        <x:v>45002</x:v>
      </x:c>
      <x:c r="D752" s="186" t="str">
        <x:v>088691-GOLD</x:v>
      </x:c>
      <x:c r="E752" s="186" t="str">
        <x:v>GOLD - COMMODITY EXCHANGE INC.</x:v>
      </x:c>
      <x:c r="F752" s="186" t="n">
        <x:v>459064</x:v>
      </x:c>
      <x:c r="G752" s="186" t="n">
        <x:v>11602</x:v>
      </x:c>
      <x:c r="H752" s="186" t="n">
        <x:v>47669</x:v>
      </x:c>
      <x:c r="I752" s="186" t="n">
        <x:f>G752-H752</x:f>
        <x:v>-36067</x:v>
      </x:c>
      <x:c r="J752" s="186" t="n">
        <x:v>100461</x:v>
      </x:c>
      <x:c r="K752" s="186" t="n">
        <x:v>219834</x:v>
      </x:c>
      <x:c r="L752" s="186" t="n">
        <x:f>J752-K752</x:f>
        <x:v>-119373</x:v>
      </x:c>
      <x:c r="M752" s="186" t="n">
        <x:v>118560</x:v>
      </x:c>
      <x:c r="N752" s="186" t="n">
        <x:v>58839</x:v>
      </x:c>
      <x:c r="O752" s="186" t="n">
        <x:f>M752-N752</x:f>
        <x:v>59721</x:v>
      </x:c>
      <x:c r="P752" s="186" t="n">
        <x:v>112263</x:v>
      </x:c>
      <x:c r="Q752" s="186" t="n">
        <x:v>31653</x:v>
      </x:c>
      <x:c r="R752" s="186" t="n">
        <x:f>P752-Q752</x:f>
        <x:v>80610</x:v>
      </x:c>
      <x:c r="S752" s="186" t="n">
        <x:v>41795</x:v>
      </x:c>
      <x:c r="T752" s="186" t="n">
        <x:v>26686</x:v>
      </x:c>
      <x:c r="U752" s="186" t="n">
        <x:f>S752-T752</x:f>
        <x:v>15109</x:v>
      </x:c>
      <x:c r="V752" s="196" t="n">
        <x:f>IFERROR(O752/F752,"")</x:f>
        <x:v>0.13009297178606904</x:v>
      </x:c>
      <x:c r="W752" s="196" t="n">
        <x:f>IFERROR(I752/F752,"")</x:f>
        <x:v>-0.07856638725755015</x:v>
      </x:c>
    </x:row>
    <x:row r="753">
      <x:c r="A753" s="186" t="str">
        <x:v>Silver</x:v>
      </x:c>
      <x:c r="B753" s="187" t="n">
        <x:v>44999</x:v>
      </x:c>
      <x:c r="C753" s="187" t="n">
        <x:v>45002</x:v>
      </x:c>
      <x:c r="D753" s="186" t="str">
        <x:v>084691-SILVER</x:v>
      </x:c>
      <x:c r="E753" s="186" t="str">
        <x:v>SILVER - COMMODITY EXCHANGE INC.</x:v>
      </x:c>
      <x:c r="F753" s="186" t="n">
        <x:v>121772</x:v>
      </x:c>
      <x:c r="G753" s="186" t="n">
        <x:v>1897</x:v>
      </x:c>
      <x:c r="H753" s="186" t="n">
        <x:v>25395</x:v>
      </x:c>
      <x:c r="I753" s="186" t="n">
        <x:f>G753-H753</x:f>
        <x:v>-23498</x:v>
      </x:c>
      <x:c r="J753" s="186" t="n">
        <x:v>45148</x:v>
      </x:c>
      <x:c r="K753" s="186" t="n">
        <x:v>30887</x:v>
      </x:c>
      <x:c r="L753" s="186" t="n">
        <x:f>J753-K753</x:f>
        <x:v>14261</x:v>
      </x:c>
      <x:c r="M753" s="186" t="n">
        <x:v>30952</x:v>
      </x:c>
      <x:c r="N753" s="186" t="n">
        <x:v>35651</x:v>
      </x:c>
      <x:c r="O753" s="186" t="n">
        <x:f>M753-N753</x:f>
        <x:v>-4699</x:v>
      </x:c>
      <x:c r="P753" s="186" t="n">
        <x:v>11275</x:v>
      </x:c>
      <x:c r="Q753" s="186" t="n">
        <x:v>7795</x:v>
      </x:c>
      <x:c r="R753" s="186" t="n">
        <x:f>P753-Q753</x:f>
        <x:v>3480</x:v>
      </x:c>
      <x:c r="S753" s="186" t="n">
        <x:v>24068</x:v>
      </x:c>
      <x:c r="T753" s="186" t="n">
        <x:v>13612</x:v>
      </x:c>
      <x:c r="U753" s="186" t="n">
        <x:f>S753-T753</x:f>
        <x:v>10456</x:v>
      </x:c>
      <x:c r="V753" s="196" t="n">
        <x:f>IFERROR(O753/F753,"")</x:f>
        <x:v>-0.03858850967381664</x:v>
      </x:c>
      <x:c r="W753" s="196" t="n">
        <x:f>IFERROR(I753/F753,"")</x:f>
        <x:v>-0.1929671845744506</x:v>
      </x:c>
    </x:row>
    <x:row r="754">
      <x:c r="A754" s="186" t="str">
        <x:v>Gold</x:v>
      </x:c>
      <x:c r="B754" s="187" t="n">
        <x:v>45006</x:v>
      </x:c>
      <x:c r="C754" s="187" t="n">
        <x:v>45009</x:v>
      </x:c>
      <x:c r="D754" s="186" t="str">
        <x:v>088691-GOLD</x:v>
      </x:c>
      <x:c r="E754" s="186" t="str">
        <x:v>GOLD - COMMODITY EXCHANGE INC.</x:v>
      </x:c>
      <x:c r="F754" s="186" t="n">
        <x:v>469874</x:v>
      </x:c>
      <x:c r="G754" s="186" t="n">
        <x:v>14502</x:v>
      </x:c>
      <x:c r="H754" s="186" t="n">
        <x:v>55788</x:v>
      </x:c>
      <x:c r="I754" s="186" t="n">
        <x:f>G754-H754</x:f>
        <x:v>-41286</x:v>
      </x:c>
      <x:c r="J754" s="186" t="n">
        <x:v>94971</x:v>
      </x:c>
      <x:c r="K754" s="186" t="n">
        <x:v>237253</x:v>
      </x:c>
      <x:c r="L754" s="186" t="n">
        <x:f>J754-K754</x:f>
        <x:v>-142282</x:v>
      </x:c>
      <x:c r="M754" s="186" t="n">
        <x:v>125090</x:v>
      </x:c>
      <x:c r="N754" s="186" t="n">
        <x:v>43861</x:v>
      </x:c>
      <x:c r="O754" s="186" t="n">
        <x:f>M754-N754</x:f>
        <x:v>81229</x:v>
      </x:c>
      <x:c r="P754" s="186" t="n">
        <x:v>112801</x:v>
      </x:c>
      <x:c r="Q754" s="186" t="n">
        <x:v>35425</x:v>
      </x:c>
      <x:c r="R754" s="186" t="n">
        <x:f>P754-Q754</x:f>
        <x:v>77376</x:v>
      </x:c>
      <x:c r="S754" s="186" t="n">
        <x:v>47624</x:v>
      </x:c>
      <x:c r="T754" s="186" t="n">
        <x:v>22661</x:v>
      </x:c>
      <x:c r="U754" s="186" t="n">
        <x:f>S754-T754</x:f>
        <x:v>24963</x:v>
      </x:c>
      <x:c r="V754" s="196" t="n">
        <x:f>IFERROR(O754/F754,"")</x:f>
        <x:v>0.17287400452036078</x:v>
      </x:c>
      <x:c r="W754" s="196" t="n">
        <x:f>IFERROR(I754/F754,"")</x:f>
        <x:v>-0.08786610878661087</x:v>
      </x:c>
    </x:row>
    <x:row r="755">
      <x:c r="A755" s="186" t="str">
        <x:v>Silver</x:v>
      </x:c>
      <x:c r="B755" s="187" t="n">
        <x:v>45006</x:v>
      </x:c>
      <x:c r="C755" s="187" t="n">
        <x:v>45009</x:v>
      </x:c>
      <x:c r="D755" s="186" t="str">
        <x:v>084691-SILVER</x:v>
      </x:c>
      <x:c r="E755" s="186" t="str">
        <x:v>SILVER - COMMODITY EXCHANGE INC.</x:v>
      </x:c>
      <x:c r="F755" s="186" t="n">
        <x:v>119082</x:v>
      </x:c>
      <x:c r="G755" s="186" t="n">
        <x:v>2487</x:v>
      </x:c>
      <x:c r="H755" s="186" t="n">
        <x:v>26878</x:v>
      </x:c>
      <x:c r="I755" s="186" t="n">
        <x:f>G755-H755</x:f>
        <x:v>-24391</x:v>
      </x:c>
      <x:c r="J755" s="186" t="n">
        <x:v>44896</x:v>
      </x:c>
      <x:c r="K755" s="186" t="n">
        <x:v>33186</x:v>
      </x:c>
      <x:c r="L755" s="186" t="n">
        <x:f>J755-K755</x:f>
        <x:v>11710</x:v>
      </x:c>
      <x:c r="M755" s="186" t="n">
        <x:v>30589</x:v>
      </x:c>
      <x:c r="N755" s="186" t="n">
        <x:v>30866</x:v>
      </x:c>
      <x:c r="O755" s="186" t="n">
        <x:f>M755-N755</x:f>
        <x:v>-277</x:v>
      </x:c>
      <x:c r="P755" s="186" t="n">
        <x:v>10736</x:v>
      </x:c>
      <x:c r="Q755" s="186" t="n">
        <x:v>6997</x:v>
      </x:c>
      <x:c r="R755" s="186" t="n">
        <x:f>P755-Q755</x:f>
        <x:v>3739</x:v>
      </x:c>
      <x:c r="S755" s="186" t="n">
        <x:v>22328</x:v>
      </x:c>
      <x:c r="T755" s="186" t="n">
        <x:v>13109</x:v>
      </x:c>
      <x:c r="U755" s="186" t="n">
        <x:f>S755-T755</x:f>
        <x:v>9219</x:v>
      </x:c>
      <x:c r="V755" s="196" t="n">
        <x:f>IFERROR(O755/F755,"")</x:f>
        <x:v>-0.0023261282141717474</x:v>
      </x:c>
      <x:c r="W755" s="196" t="n">
        <x:f>IFERROR(I755/F755,"")</x:f>
        <x:v>-0.2048252464688198</x:v>
      </x:c>
    </x:row>
    <x:row r="756">
      <x:c r="A756" s="186" t="str">
        <x:v>Gold</x:v>
      </x:c>
      <x:c r="B756" s="187" t="n">
        <x:v>45013</x:v>
      </x:c>
      <x:c r="C756" s="187" t="n">
        <x:v>45016</x:v>
      </x:c>
      <x:c r="D756" s="186" t="str">
        <x:v>088691-GOLD</x:v>
      </x:c>
      <x:c r="E756" s="186" t="str">
        <x:v>GOLD - COMMODITY EXCHANGE INC.</x:v>
      </x:c>
      <x:c r="F756" s="186" t="n">
        <x:v>478611</x:v>
      </x:c>
      <x:c r="G756" s="186" t="n">
        <x:v>15709</x:v>
      </x:c>
      <x:c r="H756" s="186" t="n">
        <x:v>60038</x:v>
      </x:c>
      <x:c r="I756" s="186" t="n">
        <x:f>G756-H756</x:f>
        <x:v>-44329</x:v>
      </x:c>
      <x:c r="J756" s="186" t="n">
        <x:v>93156</x:v>
      </x:c>
      <x:c r="K756" s="186" t="n">
        <x:v>250335</x:v>
      </x:c>
      <x:c r="L756" s="186" t="n">
        <x:f>J756-K756</x:f>
        <x:v>-157179</x:v>
      </x:c>
      <x:c r="M756" s="186" t="n">
        <x:v>130530</x:v>
      </x:c>
      <x:c r="N756" s="186" t="n">
        <x:v>31370</x:v>
      </x:c>
      <x:c r="O756" s="186" t="n">
        <x:f>M756-N756</x:f>
        <x:v>99160</x:v>
      </x:c>
      <x:c r="P756" s="186" t="n">
        <x:v>114605</x:v>
      </x:c>
      <x:c r="Q756" s="186" t="n">
        <x:v>32135</x:v>
      </x:c>
      <x:c r="R756" s="186" t="n">
        <x:f>P756-Q756</x:f>
        <x:v>82470</x:v>
      </x:c>
      <x:c r="S756" s="186" t="n">
        <x:v>47388</x:v>
      </x:c>
      <x:c r="T756" s="186" t="n">
        <x:v>27510</x:v>
      </x:c>
      <x:c r="U756" s="186" t="n">
        <x:f>S756-T756</x:f>
        <x:v>19878</x:v>
      </x:c>
      <x:c r="V756" s="196" t="n">
        <x:f>IFERROR(O756/F756,"")</x:f>
        <x:v>0.20718286875980702</x:v>
      </x:c>
      <x:c r="W756" s="196" t="n">
        <x:f>IFERROR(I756/F756,"")</x:f>
        <x:v>-0.0926201027556826</x:v>
      </x:c>
    </x:row>
    <x:row r="757">
      <x:c r="A757" s="186" t="str">
        <x:v>Silver</x:v>
      </x:c>
      <x:c r="B757" s="187" t="n">
        <x:v>45013</x:v>
      </x:c>
      <x:c r="C757" s="187" t="n">
        <x:v>45016</x:v>
      </x:c>
      <x:c r="D757" s="186" t="str">
        <x:v>084691-SILVER</x:v>
      </x:c>
      <x:c r="E757" s="186" t="str">
        <x:v>SILVER - COMMODITY EXCHANGE INC.</x:v>
      </x:c>
      <x:c r="F757" s="186" t="n">
        <x:v>117395</x:v>
      </x:c>
      <x:c r="G757" s="186" t="n">
        <x:v>3024</x:v>
      </x:c>
      <x:c r="H757" s="186" t="n">
        <x:v>29748</x:v>
      </x:c>
      <x:c r="I757" s="186" t="n">
        <x:f>G757-H757</x:f>
        <x:v>-26724</x:v>
      </x:c>
      <x:c r="J757" s="186" t="n">
        <x:v>40598</x:v>
      </x:c>
      <x:c r="K757" s="186" t="n">
        <x:v>35749</x:v>
      </x:c>
      <x:c r="L757" s="186" t="n">
        <x:f>J757-K757</x:f>
        <x:v>4849</x:v>
      </x:c>
      <x:c r="M757" s="186" t="n">
        <x:v>31927</x:v>
      </x:c>
      <x:c r="N757" s="186" t="n">
        <x:v>21646</x:v>
      </x:c>
      <x:c r="O757" s="186" t="n">
        <x:f>M757-N757</x:f>
        <x:v>10281</x:v>
      </x:c>
      <x:c r="P757" s="186" t="n">
        <x:v>10327</x:v>
      </x:c>
      <x:c r="Q757" s="186" t="n">
        <x:v>7247</x:v>
      </x:c>
      <x:c r="R757" s="186" t="n">
        <x:f>P757-Q757</x:f>
        <x:v>3080</x:v>
      </x:c>
      <x:c r="S757" s="186" t="n">
        <x:v>22062</x:v>
      </x:c>
      <x:c r="T757" s="186" t="n">
        <x:v>13548</x:v>
      </x:c>
      <x:c r="U757" s="186" t="n">
        <x:f>S757-T757</x:f>
        <x:v>8514</x:v>
      </x:c>
      <x:c r="V757" s="196" t="n">
        <x:f>IFERROR(O757/F757,"")</x:f>
        <x:v>0.08757613186251544</x:v>
      </x:c>
      <x:c r="W757" s="196" t="n">
        <x:f>IFERROR(I757/F757,"")</x:f>
        <x:v>-0.22764172239022104</x:v>
      </x:c>
    </x:row>
    <x:row r="758">
      <x:c r="A758" s="186" t="str">
        <x:v>Gold</x:v>
      </x:c>
      <x:c r="B758" s="187" t="n">
        <x:v>45020</x:v>
      </x:c>
      <x:c r="C758" s="187" t="n">
        <x:v>45023</x:v>
      </x:c>
      <x:c r="D758" s="186" t="str">
        <x:v>088691-GOLD</x:v>
      </x:c>
      <x:c r="E758" s="186" t="str">
        <x:v>GOLD - COMMODITY EXCHANGE INC.</x:v>
      </x:c>
      <x:c r="F758" s="186" t="n">
        <x:v>476592</x:v>
      </x:c>
      <x:c r="G758" s="186" t="n">
        <x:v>15763</x:v>
      </x:c>
      <x:c r="H758" s="186" t="n">
        <x:v>51702</x:v>
      </x:c>
      <x:c r="I758" s="186" t="n">
        <x:f>G758-H758</x:f>
        <x:v>-35939</x:v>
      </x:c>
      <x:c r="J758" s="186" t="n">
        <x:v>93463</x:v>
      </x:c>
      <x:c r="K758" s="186" t="n">
        <x:v>275774</x:v>
      </x:c>
      <x:c r="L758" s="186" t="n">
        <x:f>J758-K758</x:f>
        <x:v>-182311</x:v>
      </x:c>
      <x:c r="M758" s="186" t="n">
        <x:v>142348</x:v>
      </x:c>
      <x:c r="N758" s="186" t="n">
        <x:v>32217</x:v>
      </x:c>
      <x:c r="O758" s="186" t="n">
        <x:f>M758-N758</x:f>
        <x:v>110131</x:v>
      </x:c>
      <x:c r="P758" s="186" t="n">
        <x:v>123816</x:v>
      </x:c>
      <x:c r="Q758" s="186" t="n">
        <x:v>38731</x:v>
      </x:c>
      <x:c r="R758" s="186" t="n">
        <x:f>P758-Q758</x:f>
        <x:v>85085</x:v>
      </x:c>
      <x:c r="S758" s="186" t="n">
        <x:v>48740</x:v>
      </x:c>
      <x:c r="T758" s="186" t="n">
        <x:v>25706</x:v>
      </x:c>
      <x:c r="U758" s="186" t="n">
        <x:f>S758-T758</x:f>
        <x:v>23034</x:v>
      </x:c>
      <x:c r="V758" s="196" t="n">
        <x:f>IFERROR(O758/F758,"")</x:f>
        <x:v>0.2310802531305603</x:v>
      </x:c>
      <x:c r="W758" s="196" t="n">
        <x:f>IFERROR(I758/F758,"")</x:f>
        <x:v>-0.07540831570819485</x:v>
      </x:c>
    </x:row>
    <x:row r="759">
      <x:c r="A759" s="186" t="str">
        <x:v>Silver</x:v>
      </x:c>
      <x:c r="B759" s="187" t="n">
        <x:v>45020</x:v>
      </x:c>
      <x:c r="C759" s="187" t="n">
        <x:v>45023</x:v>
      </x:c>
      <x:c r="D759" s="186" t="str">
        <x:v>084691-SILVER</x:v>
      </x:c>
      <x:c r="E759" s="186" t="str">
        <x:v>SILVER - COMMODITY EXCHANGE INC.</x:v>
      </x:c>
      <x:c r="F759" s="186" t="n">
        <x:v>131210</x:v>
      </x:c>
      <x:c r="G759" s="186" t="n">
        <x:v>4354</x:v>
      </x:c>
      <x:c r="H759" s="186" t="n">
        <x:v>33930</x:v>
      </x:c>
      <x:c r="I759" s="186" t="n">
        <x:f>G759-H759</x:f>
        <x:v>-29576</x:v>
      </x:c>
      <x:c r="J759" s="186" t="n">
        <x:v>38661</x:v>
      </x:c>
      <x:c r="K759" s="186" t="n">
        <x:v>40520</x:v>
      </x:c>
      <x:c r="L759" s="186" t="n">
        <x:f>J759-K759</x:f>
        <x:v>-1859</x:v>
      </x:c>
      <x:c r="M759" s="186" t="n">
        <x:v>38599</x:v>
      </x:c>
      <x:c r="N759" s="186" t="n">
        <x:v>20154</x:v>
      </x:c>
      <x:c r="O759" s="186" t="n">
        <x:f>M759-N759</x:f>
        <x:v>18445</x:v>
      </x:c>
      <x:c r="P759" s="186" t="n">
        <x:v>11728</x:v>
      </x:c>
      <x:c r="Q759" s="186" t="n">
        <x:v>8890</x:v>
      </x:c>
      <x:c r="R759" s="186" t="n">
        <x:f>P759-Q759</x:f>
        <x:v>2838</x:v>
      </x:c>
      <x:c r="S759" s="186" t="n">
        <x:v>24209</x:v>
      </x:c>
      <x:c r="T759" s="186" t="n">
        <x:v>14057</x:v>
      </x:c>
      <x:c r="U759" s="186" t="n">
        <x:f>S759-T759</x:f>
        <x:v>10152</x:v>
      </x:c>
      <x:c r="V759" s="196" t="n">
        <x:f>IFERROR(O759/F759,"")</x:f>
        <x:v>0.14057617559637223</x:v>
      </x:c>
      <x:c r="W759" s="196" t="n">
        <x:f>IFERROR(I759/F759,"")</x:f>
        <x:v>-0.22540964865482813</x:v>
      </x:c>
    </x:row>
    <x:row r="760">
      <x:c r="A760" s="186" t="str">
        <x:v>Gold</x:v>
      </x:c>
      <x:c r="B760" s="187" t="n">
        <x:v>45027</x:v>
      </x:c>
      <x:c r="C760" s="187" t="n">
        <x:v>45030</x:v>
      </x:c>
      <x:c r="D760" s="186" t="str">
        <x:v>088691-GOLD</x:v>
      </x:c>
      <x:c r="E760" s="186" t="str">
        <x:v>GOLD - COMMODITY EXCHANGE INC.</x:v>
      </x:c>
      <x:c r="F760" s="186" t="n">
        <x:v>476567</x:v>
      </x:c>
      <x:c r="G760" s="186" t="n">
        <x:v>16516</x:v>
      </x:c>
      <x:c r="H760" s="186" t="n">
        <x:v>51449</x:v>
      </x:c>
      <x:c r="I760" s="186" t="n">
        <x:f>G760-H760</x:f>
        <x:v>-34933</x:v>
      </x:c>
      <x:c r="J760" s="186" t="n">
        <x:v>95817</x:v>
      </x:c>
      <x:c r="K760" s="186" t="n">
        <x:v>277432</x:v>
      </x:c>
      <x:c r="L760" s="186" t="n">
        <x:f>J760-K760</x:f>
        <x:v>-181615</x:v>
      </x:c>
      <x:c r="M760" s="186" t="n">
        <x:v>135015</x:v>
      </x:c>
      <x:c r="N760" s="186" t="n">
        <x:v>30409</x:v>
      </x:c>
      <x:c r="O760" s="186" t="n">
        <x:f>M760-N760</x:f>
        <x:v>104606</x:v>
      </x:c>
      <x:c r="P760" s="186" t="n">
        <x:v>125150</x:v>
      </x:c>
      <x:c r="Q760" s="186" t="n">
        <x:v>37011</x:v>
      </x:c>
      <x:c r="R760" s="186" t="n">
        <x:f>P760-Q760</x:f>
        <x:v>88139</x:v>
      </x:c>
      <x:c r="S760" s="186" t="n">
        <x:v>49102</x:v>
      </x:c>
      <x:c r="T760" s="186" t="n">
        <x:v>25299</x:v>
      </x:c>
      <x:c r="U760" s="186" t="n">
        <x:f>S760-T760</x:f>
        <x:v>23803</x:v>
      </x:c>
      <x:c r="V760" s="196" t="n">
        <x:f>IFERROR(O760/F760,"")</x:f>
        <x:v>0.21949904210740567</x:v>
      </x:c>
      <x:c r="W760" s="196" t="n">
        <x:f>IFERROR(I760/F760,"")</x:f>
        <x:v>-0.0733013406299639</x:v>
      </x:c>
    </x:row>
    <x:row r="761">
      <x:c r="A761" s="186" t="str">
        <x:v>Silver</x:v>
      </x:c>
      <x:c r="B761" s="187" t="n">
        <x:v>45027</x:v>
      </x:c>
      <x:c r="C761" s="187" t="n">
        <x:v>45030</x:v>
      </x:c>
      <x:c r="D761" s="186" t="str">
        <x:v>084691-SILVER</x:v>
      </x:c>
      <x:c r="E761" s="186" t="str">
        <x:v>SILVER - COMMODITY EXCHANGE INC.</x:v>
      </x:c>
      <x:c r="F761" s="186" t="n">
        <x:v>142699</x:v>
      </x:c>
      <x:c r="G761" s="186" t="n">
        <x:v>4314</x:v>
      </x:c>
      <x:c r="H761" s="186" t="n">
        <x:v>34517</x:v>
      </x:c>
      <x:c r="I761" s="186" t="n">
        <x:f>G761-H761</x:f>
        <x:v>-30203</x:v>
      </x:c>
      <x:c r="J761" s="186" t="n">
        <x:v>39408</x:v>
      </x:c>
      <x:c r="K761" s="186" t="n">
        <x:v>45460</x:v>
      </x:c>
      <x:c r="L761" s="186" t="n">
        <x:f>J761-K761</x:f>
        <x:v>-6052</x:v>
      </x:c>
      <x:c r="M761" s="186" t="n">
        <x:v>42763</x:v>
      </x:c>
      <x:c r="N761" s="186" t="n">
        <x:v>24973</x:v>
      </x:c>
      <x:c r="O761" s="186" t="n">
        <x:f>M761-N761</x:f>
        <x:v>17790</x:v>
      </x:c>
      <x:c r="P761" s="186" t="n">
        <x:v>12820</x:v>
      </x:c>
      <x:c r="Q761" s="186" t="n">
        <x:v>6892</x:v>
      </x:c>
      <x:c r="R761" s="186" t="n">
        <x:f>P761-Q761</x:f>
        <x:v>5928</x:v>
      </x:c>
      <x:c r="S761" s="186" t="n">
        <x:v>25218</x:v>
      </x:c>
      <x:c r="T761" s="186" t="n">
        <x:v>12681</x:v>
      </x:c>
      <x:c r="U761" s="186" t="n">
        <x:f>S761-T761</x:f>
        <x:v>12537</x:v>
      </x:c>
      <x:c r="V761" s="196" t="n">
        <x:f>IFERROR(O761/F761,"")</x:f>
        <x:v>0.12466800748428511</x:v>
      </x:c>
      <x:c r="W761" s="196" t="n">
        <x:f>IFERROR(I761/F761,"")</x:f>
        <x:v>-0.2116553024197787</x:v>
      </x:c>
    </x:row>
    <x:row r="762">
      <x:c r="A762" s="186" t="str">
        <x:v>Gold</x:v>
      </x:c>
      <x:c r="B762" s="187" t="n">
        <x:v>45034</x:v>
      </x:c>
      <x:c r="C762" s="187" t="n">
        <x:v>45037</x:v>
      </x:c>
      <x:c r="D762" s="186" t="str">
        <x:v>088691-GOLD</x:v>
      </x:c>
      <x:c r="E762" s="186" t="str">
        <x:v>GOLD - COMMODITY EXCHANGE INC.</x:v>
      </x:c>
      <x:c r="F762" s="186" t="n">
        <x:v>482254</x:v>
      </x:c>
      <x:c r="G762" s="186" t="n">
        <x:v>17347</x:v>
      </x:c>
      <x:c r="H762" s="186" t="n">
        <x:v>51291</x:v>
      </x:c>
      <x:c r="I762" s="186" t="n">
        <x:f>G762-H762</x:f>
        <x:v>-33944</x:v>
      </x:c>
      <x:c r="J762" s="186" t="n">
        <x:v>97059</x:v>
      </x:c>
      <x:c r="K762" s="186" t="n">
        <x:v>279540</x:v>
      </x:c>
      <x:c r="L762" s="186" t="n">
        <x:f>J762-K762</x:f>
        <x:v>-182481</x:v>
      </x:c>
      <x:c r="M762" s="186" t="n">
        <x:v>137170</x:v>
      </x:c>
      <x:c r="N762" s="186" t="n">
        <x:v>34474</x:v>
      </x:c>
      <x:c r="O762" s="186" t="n">
        <x:f>M762-N762</x:f>
        <x:v>102696</x:v>
      </x:c>
      <x:c r="P762" s="186" t="n">
        <x:v>122891</x:v>
      </x:c>
      <x:c r="Q762" s="186" t="n">
        <x:v>35694</x:v>
      </x:c>
      <x:c r="R762" s="186" t="n">
        <x:f>P762-Q762</x:f>
        <x:v>87197</x:v>
      </x:c>
      <x:c r="S762" s="186" t="n">
        <x:v>50647</x:v>
      </x:c>
      <x:c r="T762" s="186" t="n">
        <x:v>24115</x:v>
      </x:c>
      <x:c r="U762" s="186" t="n">
        <x:f>S762-T762</x:f>
        <x:v>26532</x:v>
      </x:c>
      <x:c r="V762" s="196" t="n">
        <x:f>IFERROR(O762/F762,"")</x:f>
        <x:v>0.21295002218747797</x:v>
      </x:c>
      <x:c r="W762" s="196" t="n">
        <x:f>IFERROR(I762/F762,"")</x:f>
        <x:v>-0.0703861450604868</x:v>
      </x:c>
    </x:row>
    <x:row r="763">
      <x:c r="A763" s="186" t="str">
        <x:v>Silver</x:v>
      </x:c>
      <x:c r="B763" s="187" t="n">
        <x:v>45034</x:v>
      </x:c>
      <x:c r="C763" s="187" t="n">
        <x:v>45037</x:v>
      </x:c>
      <x:c r="D763" s="186" t="str">
        <x:v>084691-SILVER</x:v>
      </x:c>
      <x:c r="E763" s="186" t="str">
        <x:v>SILVER - COMMODITY EXCHANGE INC.</x:v>
      </x:c>
      <x:c r="F763" s="186" t="n">
        <x:v>158371</x:v>
      </x:c>
      <x:c r="G763" s="186" t="n">
        <x:v>4323</x:v>
      </x:c>
      <x:c r="H763" s="186" t="n">
        <x:v>34988</x:v>
      </x:c>
      <x:c r="I763" s="186" t="n">
        <x:f>G763-H763</x:f>
        <x:v>-30665</x:v>
      </x:c>
      <x:c r="J763" s="186" t="n">
        <x:v>40726</x:v>
      </x:c>
      <x:c r="K763" s="186" t="n">
        <x:v>48717</x:v>
      </x:c>
      <x:c r="L763" s="186" t="n">
        <x:f>J763-K763</x:f>
        <x:v>-7991</x:v>
      </x:c>
      <x:c r="M763" s="186" t="n">
        <x:v>49059</x:v>
      </x:c>
      <x:c r="N763" s="186" t="n">
        <x:v>29246</x:v>
      </x:c>
      <x:c r="O763" s="186" t="n">
        <x:f>M763-N763</x:f>
        <x:v>19813</x:v>
      </x:c>
      <x:c r="P763" s="186" t="n">
        <x:v>13909</x:v>
      </x:c>
      <x:c r="Q763" s="186" t="n">
        <x:v>7127</x:v>
      </x:c>
      <x:c r="R763" s="186" t="n">
        <x:f>P763-Q763</x:f>
        <x:v>6782</x:v>
      </x:c>
      <x:c r="S763" s="186" t="n">
        <x:v>25438</x:v>
      </x:c>
      <x:c r="T763" s="186" t="n">
        <x:v>13377</x:v>
      </x:c>
      <x:c r="U763" s="186" t="n">
        <x:f>S763-T763</x:f>
        <x:v>12061</x:v>
      </x:c>
      <x:c r="V763" s="196" t="n">
        <x:f>IFERROR(O763/F763,"")</x:f>
        <x:v>0.12510497502699358</x:v>
      </x:c>
      <x:c r="W763" s="196" t="n">
        <x:f>IFERROR(I763/F763,"")</x:f>
        <x:v>-0.19362762121853117</x:v>
      </x:c>
    </x:row>
    <x:row r="764">
      <x:c r="A764" s="186" t="str">
        <x:v>Gold</x:v>
      </x:c>
      <x:c r="B764" s="187" t="n">
        <x:v>45041</x:v>
      </x:c>
      <x:c r="C764" s="187" t="n">
        <x:v>45044</x:v>
      </x:c>
      <x:c r="D764" s="186" t="str">
        <x:v>088691-GOLD</x:v>
      </x:c>
      <x:c r="E764" s="186" t="str">
        <x:v>GOLD - COMMODITY EXCHANGE INC.</x:v>
      </x:c>
      <x:c r="F764" s="186" t="n">
        <x:v>473209</x:v>
      </x:c>
      <x:c r="G764" s="186" t="n">
        <x:v>17543</x:v>
      </x:c>
      <x:c r="H764" s="186" t="n">
        <x:v>52563</x:v>
      </x:c>
      <x:c r="I764" s="186" t="n">
        <x:f>G764-H764</x:f>
        <x:v>-35020</x:v>
      </x:c>
      <x:c r="J764" s="186" t="n">
        <x:v>97156</x:v>
      </x:c>
      <x:c r="K764" s="186" t="n">
        <x:v>274064</x:v>
      </x:c>
      <x:c r="L764" s="186" t="n">
        <x:f>J764-K764</x:f>
        <x:v>-176908</x:v>
      </x:c>
      <x:c r="M764" s="186" t="n">
        <x:v>135979</x:v>
      </x:c>
      <x:c r="N764" s="186" t="n">
        <x:v>33176</x:v>
      </x:c>
      <x:c r="O764" s="186" t="n">
        <x:f>M764-N764</x:f>
        <x:v>102803</x:v>
      </x:c>
      <x:c r="P764" s="186" t="n">
        <x:v>117207</x:v>
      </x:c>
      <x:c r="Q764" s="186" t="n">
        <x:v>34746</x:v>
      </x:c>
      <x:c r="R764" s="186" t="n">
        <x:f>P764-Q764</x:f>
        <x:v>82461</x:v>
      </x:c>
      <x:c r="S764" s="186" t="n">
        <x:v>51048</x:v>
      </x:c>
      <x:c r="T764" s="186" t="n">
        <x:v>24384</x:v>
      </x:c>
      <x:c r="U764" s="186" t="n">
        <x:f>S764-T764</x:f>
        <x:v>26664</x:v>
      </x:c>
      <x:c r="V764" s="196" t="n">
        <x:f>IFERROR(O764/F764,"")</x:f>
        <x:v>0.21724650207413637</x:v>
      </x:c>
      <x:c r="W764" s="196" t="n">
        <x:f>IFERROR(I764/F764,"")</x:f>
        <x:v>-0.07400535492773806</x:v>
      </x:c>
    </x:row>
    <x:row r="765">
      <x:c r="A765" s="186" t="str">
        <x:v>Silver</x:v>
      </x:c>
      <x:c r="B765" s="187" t="n">
        <x:v>45041</x:v>
      </x:c>
      <x:c r="C765" s="187" t="n">
        <x:v>45044</x:v>
      </x:c>
      <x:c r="D765" s="186" t="str">
        <x:v>084691-SILVER</x:v>
      </x:c>
      <x:c r="E765" s="186" t="str">
        <x:v>SILVER - COMMODITY EXCHANGE INC.</x:v>
      </x:c>
      <x:c r="F765" s="186" t="n">
        <x:v>149692</x:v>
      </x:c>
      <x:c r="G765" s="186" t="n">
        <x:v>2618</x:v>
      </x:c>
      <x:c r="H765" s="186" t="n">
        <x:v>33414</x:v>
      </x:c>
      <x:c r="I765" s="186" t="n">
        <x:f>G765-H765</x:f>
        <x:v>-30796</x:v>
      </x:c>
      <x:c r="J765" s="186" t="n">
        <x:v>38493</x:v>
      </x:c>
      <x:c r="K765" s="186" t="n">
        <x:v>49220</x:v>
      </x:c>
      <x:c r="L765" s="186" t="n">
        <x:f>J765-K765</x:f>
        <x:v>-10727</x:v>
      </x:c>
      <x:c r="M765" s="186" t="n">
        <x:v>53377</x:v>
      </x:c>
      <x:c r="N765" s="186" t="n">
        <x:v>29305</x:v>
      </x:c>
      <x:c r="O765" s="186" t="n">
        <x:f>M765-N765</x:f>
        <x:v>24072</x:v>
      </x:c>
      <x:c r="P765" s="186" t="n">
        <x:v>12768</x:v>
      </x:c>
      <x:c r="Q765" s="186" t="n">
        <x:v>6237</x:v>
      </x:c>
      <x:c r="R765" s="186" t="n">
        <x:f>P765-Q765</x:f>
        <x:v>6531</x:v>
      </x:c>
      <x:c r="S765" s="186" t="n">
        <x:v>24230</x:v>
      </x:c>
      <x:c r="T765" s="186" t="n">
        <x:v>13310</x:v>
      </x:c>
      <x:c r="U765" s="186" t="n">
        <x:f>S765-T765</x:f>
        <x:v>10920</x:v>
      </x:c>
      <x:c r="V765" s="196" t="n">
        <x:f>IFERROR(O765/F765,"")</x:f>
        <x:v>0.1608101969377121</x:v>
      </x:c>
      <x:c r="W765" s="196" t="n">
        <x:f>IFERROR(I765/F765,"")</x:f>
        <x:v>-0.20572909707933623</x:v>
      </x:c>
    </x:row>
    <x:row r="766">
      <x:c r="A766" s="186" t="str">
        <x:v>Gold</x:v>
      </x:c>
      <x:c r="B766" s="187" t="n">
        <x:v>45048</x:v>
      </x:c>
      <x:c r="C766" s="187" t="n">
        <x:v>45051</x:v>
      </x:c>
      <x:c r="D766" s="186" t="str">
        <x:v>088691-GOLD</x:v>
      </x:c>
      <x:c r="E766" s="186" t="str">
        <x:v>GOLD - COMMODITY EXCHANGE INC.</x:v>
      </x:c>
      <x:c r="F766" s="186" t="n">
        <x:v>493804</x:v>
      </x:c>
      <x:c r="G766" s="186" t="n">
        <x:v>18762</x:v>
      </x:c>
      <x:c r="H766" s="186" t="n">
        <x:v>54293</x:v>
      </x:c>
      <x:c r="I766" s="186" t="n">
        <x:f>G766-H766</x:f>
        <x:v>-35531</x:v>
      </x:c>
      <x:c r="J766" s="186" t="n">
        <x:v>98325</x:v>
      </x:c>
      <x:c r="K766" s="186" t="n">
        <x:v>280378</x:v>
      </x:c>
      <x:c r="L766" s="186" t="n">
        <x:f>J766-K766</x:f>
        <x:v>-182053</x:v>
      </x:c>
      <x:c r="M766" s="186" t="n">
        <x:v>143191</x:v>
      </x:c>
      <x:c r="N766" s="186" t="n">
        <x:v>29401</x:v>
      </x:c>
      <x:c r="O766" s="186" t="n">
        <x:f>M766-N766</x:f>
        <x:v>113790</x:v>
      </x:c>
      <x:c r="P766" s="186" t="n">
        <x:v>119222</x:v>
      </x:c>
      <x:c r="Q766" s="186" t="n">
        <x:v>37445</x:v>
      </x:c>
      <x:c r="R766" s="186" t="n">
        <x:f>P766-Q766</x:f>
        <x:v>81777</x:v>
      </x:c>
      <x:c r="S766" s="186" t="n">
        <x:v>47502</x:v>
      </x:c>
      <x:c r="T766" s="186" t="n">
        <x:v>25485</x:v>
      </x:c>
      <x:c r="U766" s="186" t="n">
        <x:f>S766-T766</x:f>
        <x:v>22017</x:v>
      </x:c>
      <x:c r="V766" s="196" t="n">
        <x:f>IFERROR(O766/F766,"")</x:f>
        <x:v>0.23043555742764335</x:v>
      </x:c>
      <x:c r="W766" s="196" t="n">
        <x:f>IFERROR(I766/F766,"")</x:f>
        <x:v>-0.07195364962616747</x:v>
      </x:c>
    </x:row>
    <x:row r="767">
      <x:c r="A767" s="186" t="str">
        <x:v>Silver</x:v>
      </x:c>
      <x:c r="B767" s="187" t="n">
        <x:v>45048</x:v>
      </x:c>
      <x:c r="C767" s="187" t="n">
        <x:v>45051</x:v>
      </x:c>
      <x:c r="D767" s="186" t="str">
        <x:v>084691-SILVER</x:v>
      </x:c>
      <x:c r="E767" s="186" t="str">
        <x:v>SILVER - COMMODITY EXCHANGE INC.</x:v>
      </x:c>
      <x:c r="F767" s="186" t="n">
        <x:v>142538</x:v>
      </x:c>
      <x:c r="G767" s="186" t="n">
        <x:v>2401</x:v>
      </x:c>
      <x:c r="H767" s="186" t="n">
        <x:v>34351</x:v>
      </x:c>
      <x:c r="I767" s="186" t="n">
        <x:f>G767-H767</x:f>
        <x:v>-31950</x:v>
      </x:c>
      <x:c r="J767" s="186" t="n">
        <x:v>36907</x:v>
      </x:c>
      <x:c r="K767" s="186" t="n">
        <x:v>50131</x:v>
      </x:c>
      <x:c r="L767" s="186" t="n">
        <x:f>J767-K767</x:f>
        <x:v>-13224</x:v>
      </x:c>
      <x:c r="M767" s="186" t="n">
        <x:v>54975</x:v>
      </x:c>
      <x:c r="N767" s="186" t="n">
        <x:v>29361</x:v>
      </x:c>
      <x:c r="O767" s="186" t="n">
        <x:f>M767-N767</x:f>
        <x:v>25614</x:v>
      </x:c>
      <x:c r="P767" s="186" t="n">
        <x:v>13244</x:v>
      </x:c>
      <x:c r="Q767" s="186" t="n">
        <x:v>6906</x:v>
      </x:c>
      <x:c r="R767" s="186" t="n">
        <x:f>P767-Q767</x:f>
        <x:v>6338</x:v>
      </x:c>
      <x:c r="S767" s="186" t="n">
        <x:v>24687</x:v>
      </x:c>
      <x:c r="T767" s="186" t="n">
        <x:v>11465</x:v>
      </x:c>
      <x:c r="U767" s="186" t="n">
        <x:f>S767-T767</x:f>
        <x:v>13222</x:v>
      </x:c>
      <x:c r="V767" s="196" t="n">
        <x:f>IFERROR(O767/F767,"")</x:f>
        <x:v>0.17969944856810113</x:v>
      </x:c>
      <x:c r="W767" s="196" t="n">
        <x:f>IFERROR(I767/F767,"")</x:f>
        <x:v>-0.22415075278171434</x:v>
      </x:c>
    </x:row>
    <x:row r="768">
      <x:c r="A768" s="186" t="str">
        <x:v>Gold</x:v>
      </x:c>
      <x:c r="B768" s="187" t="n">
        <x:v>45055</x:v>
      </x:c>
      <x:c r="C768" s="187" t="n">
        <x:v>45058</x:v>
      </x:c>
      <x:c r="D768" s="186" t="str">
        <x:v>088691-GOLD</x:v>
      </x:c>
      <x:c r="E768" s="186" t="str">
        <x:v>GOLD - COMMODITY EXCHANGE INC.</x:v>
      </x:c>
      <x:c r="F768" s="186" t="n">
        <x:v>518951</x:v>
      </x:c>
      <x:c r="G768" s="186" t="n">
        <x:v>18250</x:v>
      </x:c>
      <x:c r="H768" s="186" t="n">
        <x:v>55018</x:v>
      </x:c>
      <x:c r="I768" s="186" t="n">
        <x:f>G768-H768</x:f>
        <x:v>-36768</x:v>
      </x:c>
      <x:c r="J768" s="186" t="n">
        <x:v>99775</x:v>
      </x:c>
      <x:c r="K768" s="186" t="n">
        <x:v>285522</x:v>
      </x:c>
      <x:c r="L768" s="186" t="n">
        <x:f>J768-K768</x:f>
        <x:v>-185747</x:v>
      </x:c>
      <x:c r="M768" s="186" t="n">
        <x:v>143463</x:v>
      </x:c>
      <x:c r="N768" s="186" t="n">
        <x:v>32477</x:v>
      </x:c>
      <x:c r="O768" s="186" t="n">
        <x:f>M768-N768</x:f>
        <x:v>110986</x:v>
      </x:c>
      <x:c r="P768" s="186" t="n">
        <x:v>123009</x:v>
      </x:c>
      <x:c r="Q768" s="186" t="n">
        <x:v>38181</x:v>
      </x:c>
      <x:c r="R768" s="186" t="n">
        <x:f>P768-Q768</x:f>
        <x:v>84828</x:v>
      </x:c>
      <x:c r="S768" s="186" t="n">
        <x:v>52012</x:v>
      </x:c>
      <x:c r="T768" s="186" t="n">
        <x:v>25311</x:v>
      </x:c>
      <x:c r="U768" s="186" t="n">
        <x:f>S768-T768</x:f>
        <x:v>26701</x:v>
      </x:c>
      <x:c r="V768" s="196" t="n">
        <x:f>IFERROR(O768/F768,"")</x:f>
        <x:v>0.21386604901040754</x:v>
      </x:c>
      <x:c r="W768" s="196" t="n">
        <x:f>IFERROR(I768/F768,"")</x:f>
        <x:v>-0.07085061980803582</x:v>
      </x:c>
    </x:row>
    <x:row r="769">
      <x:c r="A769" s="186" t="str">
        <x:v>Silver</x:v>
      </x:c>
      <x:c r="B769" s="187" t="n">
        <x:v>45055</x:v>
      </x:c>
      <x:c r="C769" s="187" t="n">
        <x:v>45058</x:v>
      </x:c>
      <x:c r="D769" s="186" t="str">
        <x:v>084691-SILVER</x:v>
      </x:c>
      <x:c r="E769" s="186" t="str">
        <x:v>SILVER - COMMODITY EXCHANGE INC.</x:v>
      </x:c>
      <x:c r="F769" s="186" t="n">
        <x:v>145445</x:v>
      </x:c>
      <x:c r="G769" s="186" t="n">
        <x:v>2559</x:v>
      </x:c>
      <x:c r="H769" s="186" t="n">
        <x:v>33624</x:v>
      </x:c>
      <x:c r="I769" s="186" t="n">
        <x:f>G769-H769</x:f>
        <x:v>-31065</x:v>
      </x:c>
      <x:c r="J769" s="186" t="n">
        <x:v>36868</x:v>
      </x:c>
      <x:c r="K769" s="186" t="n">
        <x:v>51993</x:v>
      </x:c>
      <x:c r="L769" s="186" t="n">
        <x:f>J769-K769</x:f>
        <x:v>-15125</x:v>
      </x:c>
      <x:c r="M769" s="186" t="n">
        <x:v>56217</x:v>
      </x:c>
      <x:c r="N769" s="186" t="n">
        <x:v>30828</x:v>
      </x:c>
      <x:c r="O769" s="186" t="n">
        <x:f>M769-N769</x:f>
        <x:v>25389</x:v>
      </x:c>
      <x:c r="P769" s="186" t="n">
        <x:v>12949</x:v>
      </x:c>
      <x:c r="Q769" s="186" t="n">
        <x:v>5978</x:v>
      </x:c>
      <x:c r="R769" s="186" t="n">
        <x:f>P769-Q769</x:f>
        <x:v>6971</x:v>
      </x:c>
      <x:c r="S769" s="186" t="n">
        <x:v>25474</x:v>
      </x:c>
      <x:c r="T769" s="186" t="n">
        <x:v>11644</x:v>
      </x:c>
      <x:c r="U769" s="186" t="n">
        <x:f>S769-T769</x:f>
        <x:v>13830</x:v>
      </x:c>
      <x:c r="V769" s="196" t="n">
        <x:f>IFERROR(O769/F769,"")</x:f>
        <x:v>0.17456083055450514</x:v>
      </x:c>
      <x:c r="W769" s="196" t="n">
        <x:f>IFERROR(I769/F769,"")</x:f>
        <x:v>-0.21358589157413455</x:v>
      </x:c>
    </x:row>
    <x:row r="770">
      <x:c r="A770" s="186" t="str">
        <x:v>Gold</x:v>
      </x:c>
      <x:c r="B770" s="187" t="n">
        <x:v>45062</x:v>
      </x:c>
      <x:c r="C770" s="187" t="n">
        <x:v>45065</x:v>
      </x:c>
      <x:c r="D770" s="186" t="str">
        <x:v>088691-GOLD</x:v>
      </x:c>
      <x:c r="E770" s="186" t="str">
        <x:v>GOLD - COMMODITY EXCHANGE INC.</x:v>
      </x:c>
      <x:c r="F770" s="186" t="n">
        <x:v>521832</x:v>
      </x:c>
      <x:c r="G770" s="186" t="n">
        <x:v>18148</x:v>
      </x:c>
      <x:c r="H770" s="186" t="n">
        <x:v>52362</x:v>
      </x:c>
      <x:c r="I770" s="186" t="n">
        <x:f>G770-H770</x:f>
        <x:v>-34214</x:v>
      </x:c>
      <x:c r="J770" s="186" t="n">
        <x:v>99973</x:v>
      </x:c>
      <x:c r="K770" s="186" t="n">
        <x:v>277316</x:v>
      </x:c>
      <x:c r="L770" s="186" t="n">
        <x:f>J770-K770</x:f>
        <x:v>-177343</x:v>
      </x:c>
      <x:c r="M770" s="186" t="n">
        <x:v>139786</x:v>
      </x:c>
      <x:c r="N770" s="186" t="n">
        <x:v>35803</x:v>
      </x:c>
      <x:c r="O770" s="186" t="n">
        <x:f>M770-N770</x:f>
        <x:v>103983</x:v>
      </x:c>
      <x:c r="P770" s="186" t="n">
        <x:v>115464</x:v>
      </x:c>
      <x:c r="Q770" s="186" t="n">
        <x:v>39633</x:v>
      </x:c>
      <x:c r="R770" s="186" t="n">
        <x:f>P770-Q770</x:f>
        <x:v>75831</x:v>
      </x:c>
      <x:c r="S770" s="186" t="n">
        <x:v>54852</x:v>
      </x:c>
      <x:c r="T770" s="186" t="n">
        <x:v>23109</x:v>
      </x:c>
      <x:c r="U770" s="186" t="n">
        <x:f>S770-T770</x:f>
        <x:v>31743</x:v>
      </x:c>
      <x:c r="V770" s="196" t="n">
        <x:f>IFERROR(O770/F770,"")</x:f>
        <x:v>0.19926528078002115</x:v>
      </x:c>
      <x:c r="W770" s="196" t="n">
        <x:f>IFERROR(I770/F770,"")</x:f>
        <x:v>-0.06556516273436662</x:v>
      </x:c>
    </x:row>
    <x:row r="771">
      <x:c r="A771" s="186" t="str">
        <x:v>Silver</x:v>
      </x:c>
      <x:c r="B771" s="187" t="n">
        <x:v>45062</x:v>
      </x:c>
      <x:c r="C771" s="187" t="n">
        <x:v>45065</x:v>
      </x:c>
      <x:c r="D771" s="186" t="str">
        <x:v>084691-SILVER</x:v>
      </x:c>
      <x:c r="E771" s="186" t="str">
        <x:v>SILVER - COMMODITY EXCHANGE INC.</x:v>
      </x:c>
      <x:c r="F771" s="186" t="n">
        <x:v>140139</x:v>
      </x:c>
      <x:c r="G771" s="186" t="n">
        <x:v>2369</x:v>
      </x:c>
      <x:c r="H771" s="186" t="n">
        <x:v>30457</x:v>
      </x:c>
      <x:c r="I771" s="186" t="n">
        <x:f>G771-H771</x:f>
        <x:v>-28088</x:v>
      </x:c>
      <x:c r="J771" s="186" t="n">
        <x:v>39143</x:v>
      </x:c>
      <x:c r="K771" s="186" t="n">
        <x:v>48122</x:v>
      </x:c>
      <x:c r="L771" s="186" t="n">
        <x:f>J771-K771</x:f>
        <x:v>-8979</x:v>
      </x:c>
      <x:c r="M771" s="186" t="n">
        <x:v>45137</x:v>
      </x:c>
      <x:c r="N771" s="186" t="n">
        <x:v>32397</x:v>
      </x:c>
      <x:c r="O771" s="186" t="n">
        <x:f>M771-N771</x:f>
        <x:v>12740</x:v>
      </x:c>
      <x:c r="P771" s="186" t="n">
        <x:v>15303</x:v>
      </x:c>
      <x:c r="Q771" s="186" t="n">
        <x:v>4228</x:v>
      </x:c>
      <x:c r="R771" s="186" t="n">
        <x:f>P771-Q771</x:f>
        <x:v>11075</x:v>
      </x:c>
      <x:c r="S771" s="186" t="n">
        <x:v>25607</x:v>
      </x:c>
      <x:c r="T771" s="186" t="n">
        <x:v>12355</x:v>
      </x:c>
      <x:c r="U771" s="186" t="n">
        <x:f>S771-T771</x:f>
        <x:v>13252</x:v>
      </x:c>
      <x:c r="V771" s="196" t="n">
        <x:f>IFERROR(O771/F771,"")</x:f>
        <x:v>0.0909097396156673</x:v>
      </x:c>
      <x:c r="W771" s="196" t="n">
        <x:f>IFERROR(I771/F771,"")</x:f>
        <x:v>-0.20042957349488721</x:v>
      </x:c>
    </x:row>
    <x:row r="772">
      <x:c r="A772" s="186" t="str">
        <x:v>Gold</x:v>
      </x:c>
      <x:c r="B772" s="187" t="n">
        <x:v>45069</x:v>
      </x:c>
      <x:c r="C772" s="187" t="n">
        <x:v>45072</x:v>
      </x:c>
      <x:c r="D772" s="186" t="str">
        <x:v>088691-GOLD</x:v>
      </x:c>
      <x:c r="E772" s="186" t="str">
        <x:v>GOLD - COMMODITY EXCHANGE INC.</x:v>
      </x:c>
      <x:c r="F772" s="186" t="n">
        <x:v>479080</x:v>
      </x:c>
      <x:c r="G772" s="186" t="n">
        <x:v>18435</x:v>
      </x:c>
      <x:c r="H772" s="186" t="n">
        <x:v>44860</x:v>
      </x:c>
      <x:c r="I772" s="186" t="n">
        <x:f>G772-H772</x:f>
        <x:v>-26425</x:v>
      </x:c>
      <x:c r="J772" s="186" t="n">
        <x:v>99737</x:v>
      </x:c>
      <x:c r="K772" s="186" t="n">
        <x:v>260335</x:v>
      </x:c>
      <x:c r="L772" s="186" t="n">
        <x:f>J772-K772</x:f>
        <x:v>-160598</x:v>
      </x:c>
      <x:c r="M772" s="186" t="n">
        <x:v>128550</x:v>
      </x:c>
      <x:c r="N772" s="186" t="n">
        <x:v>35411</x:v>
      </x:c>
      <x:c r="O772" s="186" t="n">
        <x:f>M772-N772</x:f>
        <x:v>93139</x:v>
      </x:c>
      <x:c r="P772" s="186" t="n">
        <x:v>107599</x:v>
      </x:c>
      <x:c r="Q772" s="186" t="n">
        <x:v>40006</x:v>
      </x:c>
      <x:c r="R772" s="186" t="n">
        <x:f>P772-Q772</x:f>
        <x:v>67593</x:v>
      </x:c>
      <x:c r="S772" s="186" t="n">
        <x:v>49327</x:v>
      </x:c>
      <x:c r="T772" s="186" t="n">
        <x:v>23036</x:v>
      </x:c>
      <x:c r="U772" s="186" t="n">
        <x:f>S772-T772</x:f>
        <x:v>26291</x:v>
      </x:c>
      <x:c r="V772" s="196" t="n">
        <x:f>IFERROR(O772/F772,"")</x:f>
        <x:v>0.194412206729565</x:v>
      </x:c>
      <x:c r="W772" s="196" t="n">
        <x:f>IFERROR(I772/F772,"")</x:f>
        <x:v>-0.05515780245470485</x:v>
      </x:c>
    </x:row>
    <x:row r="773">
      <x:c r="A773" s="186" t="str">
        <x:v>Silver</x:v>
      </x:c>
      <x:c r="B773" s="187" t="n">
        <x:v>45069</x:v>
      </x:c>
      <x:c r="C773" s="187" t="n">
        <x:v>45072</x:v>
      </x:c>
      <x:c r="D773" s="186" t="str">
        <x:v>084691-SILVER</x:v>
      </x:c>
      <x:c r="E773" s="186" t="str">
        <x:v>SILVER - COMMODITY EXCHANGE INC.</x:v>
      </x:c>
      <x:c r="F773" s="186" t="n">
        <x:v>135740</x:v>
      </x:c>
      <x:c r="G773" s="186" t="n">
        <x:v>2532</x:v>
      </x:c>
      <x:c r="H773" s="186" t="n">
        <x:v>28852</x:v>
      </x:c>
      <x:c r="I773" s="186" t="n">
        <x:f>G773-H773</x:f>
        <x:v>-26320</x:v>
      </x:c>
      <x:c r="J773" s="186" t="n">
        <x:v>38191</x:v>
      </x:c>
      <x:c r="K773" s="186" t="n">
        <x:v>46843</x:v>
      </x:c>
      <x:c r="L773" s="186" t="n">
        <x:f>J773-K773</x:f>
        <x:v>-8652</x:v>
      </x:c>
      <x:c r="M773" s="186" t="n">
        <x:v>43270</x:v>
      </x:c>
      <x:c r="N773" s="186" t="n">
        <x:v>30590</x:v>
      </x:c>
      <x:c r="O773" s="186" t="n">
        <x:f>M773-N773</x:f>
        <x:v>12680</x:v>
      </x:c>
      <x:c r="P773" s="186" t="n">
        <x:v>13416</x:v>
      </x:c>
      <x:c r="Q773" s="186" t="n">
        <x:v>4138</x:v>
      </x:c>
      <x:c r="R773" s="186" t="n">
        <x:f>P773-Q773</x:f>
        <x:v>9278</x:v>
      </x:c>
      <x:c r="S773" s="186" t="n">
        <x:v>25655</x:v>
      </x:c>
      <x:c r="T773" s="186" t="n">
        <x:v>12641</x:v>
      </x:c>
      <x:c r="U773" s="186" t="n">
        <x:f>S773-T773</x:f>
        <x:v>13014</x:v>
      </x:c>
      <x:c r="V773" s="196" t="n">
        <x:f>IFERROR(O773/F773,"")</x:f>
        <x:v>0.09341387947546781</x:v>
      </x:c>
      <x:c r="W773" s="196" t="n">
        <x:f>IFERROR(I773/F773,"")</x:f>
        <x:v>-0.19390010313835274</x:v>
      </x:c>
    </x:row>
    <x:row r="774">
      <x:c r="A774" s="186" t="str">
        <x:v>Gold</x:v>
      </x:c>
      <x:c r="B774" s="187" t="n">
        <x:v>45076</x:v>
      </x:c>
      <x:c r="C774" s="187" t="n">
        <x:v>45079</x:v>
      </x:c>
      <x:c r="D774" s="186" t="str">
        <x:v>088691-GOLD</x:v>
      </x:c>
      <x:c r="E774" s="186" t="str">
        <x:v>GOLD - COMMODITY EXCHANGE INC.</x:v>
      </x:c>
      <x:c r="F774" s="186" t="n">
        <x:v>449515</x:v>
      </x:c>
      <x:c r="G774" s="186" t="n">
        <x:v>12396</x:v>
      </x:c>
      <x:c r="H774" s="186" t="n">
        <x:v>43768</x:v>
      </x:c>
      <x:c r="I774" s="186" t="n">
        <x:f>G774-H774</x:f>
        <x:v>-31372</x:v>
      </x:c>
      <x:c r="J774" s="186" t="n">
        <x:v>93334</x:v>
      </x:c>
      <x:c r="K774" s="186" t="n">
        <x:v>251967</x:v>
      </x:c>
      <x:c r="L774" s="186" t="n">
        <x:f>J774-K774</x:f>
        <x:v>-158633</x:v>
      </x:c>
      <x:c r="M774" s="186" t="n">
        <x:v>122904</x:v>
      </x:c>
      <x:c r="N774" s="186" t="n">
        <x:v>36201</x:v>
      </x:c>
      <x:c r="O774" s="186" t="n">
        <x:f>M774-N774</x:f>
        <x:v>86703</x:v>
      </x:c>
      <x:c r="P774" s="186" t="n">
        <x:v>114402</x:v>
      </x:c>
      <x:c r="Q774" s="186" t="n">
        <x:v>31789</x:v>
      </x:c>
      <x:c r="R774" s="186" t="n">
        <x:f>P774-Q774</x:f>
        <x:v>82613</x:v>
      </x:c>
      <x:c r="S774" s="186" t="n">
        <x:v>43611</x:v>
      </x:c>
      <x:c r="T774" s="186" t="n">
        <x:v>22922</x:v>
      </x:c>
      <x:c r="U774" s="186" t="n">
        <x:f>S774-T774</x:f>
        <x:v>20689</x:v>
      </x:c>
      <x:c r="V774" s="196" t="n">
        <x:f>IFERROR(O774/F774,"")</x:f>
        <x:v>0.19288121642214387</x:v>
      </x:c>
      <x:c r="W774" s="196" t="n">
        <x:f>IFERROR(I774/F774,"")</x:f>
        <x:v>-0.06979077450140707</x:v>
      </x:c>
    </x:row>
    <x:row r="775">
      <x:c r="A775" s="186" t="str">
        <x:v>Silver</x:v>
      </x:c>
      <x:c r="B775" s="187" t="n">
        <x:v>45076</x:v>
      </x:c>
      <x:c r="C775" s="187" t="n">
        <x:v>45079</x:v>
      </x:c>
      <x:c r="D775" s="186" t="str">
        <x:v>084691-SILVER</x:v>
      </x:c>
      <x:c r="E775" s="186" t="str">
        <x:v>SILVER - COMMODITY EXCHANGE INC.</x:v>
      </x:c>
      <x:c r="F775" s="186" t="n">
        <x:v>133619</x:v>
      </x:c>
      <x:c r="G775" s="186" t="n">
        <x:v>1977</x:v>
      </x:c>
      <x:c r="H775" s="186" t="n">
        <x:v>28328</x:v>
      </x:c>
      <x:c r="I775" s="186" t="n">
        <x:f>G775-H775</x:f>
        <x:v>-26351</x:v>
      </x:c>
      <x:c r="J775" s="186" t="n">
        <x:v>37782</x:v>
      </x:c>
      <x:c r="K775" s="186" t="n">
        <x:v>45967</x:v>
      </x:c>
      <x:c r="L775" s="186" t="n">
        <x:f>J775-K775</x:f>
        <x:v>-8185</x:v>
      </x:c>
      <x:c r="M775" s="186" t="n">
        <x:v>39203</x:v>
      </x:c>
      <x:c r="N775" s="186" t="n">
        <x:v>29929</x:v>
      </x:c>
      <x:c r="O775" s="186" t="n">
        <x:f>M775-N775</x:f>
        <x:v>9274</x:v>
      </x:c>
      <x:c r="P775" s="186" t="n">
        <x:v>15634</x:v>
      </x:c>
      <x:c r="Q775" s="186" t="n">
        <x:v>3784</x:v>
      </x:c>
      <x:c r="R775" s="186" t="n">
        <x:f>P775-Q775</x:f>
        <x:v>11850</x:v>
      </x:c>
      <x:c r="S775" s="186" t="n">
        <x:v>25484</x:v>
      </x:c>
      <x:c r="T775" s="186" t="n">
        <x:v>12072</x:v>
      </x:c>
      <x:c r="U775" s="186" t="n">
        <x:f>S775-T775</x:f>
        <x:v>13412</x:v>
      </x:c>
      <x:c r="V775" s="196" t="n">
        <x:f>IFERROR(O775/F775,"")</x:f>
        <x:v>0.06940629700865895</x:v>
      </x:c>
      <x:c r="W775" s="196" t="n">
        <x:f>IFERROR(I775/F775,"")</x:f>
        <x:v>-0.19720997762294284</x:v>
      </x:c>
    </x:row>
    <x:row r="776">
      <x:c r="A776" s="186" t="str">
        <x:v>Gold</x:v>
      </x:c>
      <x:c r="B776" s="187" t="n">
        <x:v>45083</x:v>
      </x:c>
      <x:c r="C776" s="187" t="n">
        <x:v>45086</x:v>
      </x:c>
      <x:c r="D776" s="186" t="str">
        <x:v>088691-GOLD</x:v>
      </x:c>
      <x:c r="E776" s="186" t="str">
        <x:v>GOLD - COMMODITY EXCHANGE INC.</x:v>
      </x:c>
      <x:c r="F776" s="186" t="n">
        <x:v>436301</x:v>
      </x:c>
      <x:c r="G776" s="186" t="n">
        <x:v>13860</x:v>
      </x:c>
      <x:c r="H776" s="186" t="n">
        <x:v>43638</x:v>
      </x:c>
      <x:c r="I776" s="186" t="n">
        <x:f>G776-H776</x:f>
        <x:v>-29778</x:v>
      </x:c>
      <x:c r="J776" s="186" t="n">
        <x:v>91274</x:v>
      </x:c>
      <x:c r="K776" s="186" t="n">
        <x:v>259683</x:v>
      </x:c>
      <x:c r="L776" s="186" t="n">
        <x:f>J776-K776</x:f>
        <x:v>-168409</x:v>
      </x:c>
      <x:c r="M776" s="186" t="n">
        <x:v>120985</x:v>
      </x:c>
      <x:c r="N776" s="186" t="n">
        <x:v>27557</x:v>
      </x:c>
      <x:c r="O776" s="186" t="n">
        <x:f>M776-N776</x:f>
        <x:v>93428</x:v>
      </x:c>
      <x:c r="P776" s="186" t="n">
        <x:v>116482</x:v>
      </x:c>
      <x:c r="Q776" s="186" t="n">
        <x:v>34269</x:v>
      </x:c>
      <x:c r="R776" s="186" t="n">
        <x:f>P776-Q776</x:f>
        <x:v>82213</x:v>
      </x:c>
      <x:c r="S776" s="186" t="n">
        <x:v>47595</x:v>
      </x:c>
      <x:c r="T776" s="186" t="n">
        <x:v>25049</x:v>
      </x:c>
      <x:c r="U776" s="186" t="n">
        <x:f>S776-T776</x:f>
        <x:v>22546</x:v>
      </x:c>
      <x:c r="V776" s="196" t="n">
        <x:f>IFERROR(O776/F776,"")</x:f>
        <x:v>0.21413657085360793</x:v>
      </x:c>
      <x:c r="W776" s="196" t="n">
        <x:f>IFERROR(I776/F776,"")</x:f>
        <x:v>-0.06825104686901932</x:v>
      </x:c>
    </x:row>
    <x:row r="777">
      <x:c r="A777" s="186" t="str">
        <x:v>Silver</x:v>
      </x:c>
      <x:c r="B777" s="187" t="n">
        <x:v>45083</x:v>
      </x:c>
      <x:c r="C777" s="187" t="n">
        <x:v>45086</x:v>
      </x:c>
      <x:c r="D777" s="186" t="str">
        <x:v>084691-SILVER</x:v>
      </x:c>
      <x:c r="E777" s="186" t="str">
        <x:v>SILVER - COMMODITY EXCHANGE INC.</x:v>
      </x:c>
      <x:c r="F777" s="186" t="n">
        <x:v>137871</x:v>
      </x:c>
      <x:c r="G777" s="186" t="n">
        <x:v>3166</x:v>
      </x:c>
      <x:c r="H777" s="186" t="n">
        <x:v>28480</x:v>
      </x:c>
      <x:c r="I777" s="186" t="n">
        <x:f>G777-H777</x:f>
        <x:v>-25314</x:v>
      </x:c>
      <x:c r="J777" s="186" t="n">
        <x:v>37488</x:v>
      </x:c>
      <x:c r="K777" s="186" t="n">
        <x:v>46239</x:v>
      </x:c>
      <x:c r="L777" s="186" t="n">
        <x:f>J777-K777</x:f>
        <x:v>-8751</x:v>
      </x:c>
      <x:c r="M777" s="186" t="n">
        <x:v>37526</x:v>
      </x:c>
      <x:c r="N777" s="186" t="n">
        <x:v>27531</x:v>
      </x:c>
      <x:c r="O777" s="186" t="n">
        <x:f>M777-N777</x:f>
        <x:v>9995</x:v>
      </x:c>
      <x:c r="P777" s="186" t="n">
        <x:v>15623</x:v>
      </x:c>
      <x:c r="Q777" s="186" t="n">
        <x:v>4143</x:v>
      </x:c>
      <x:c r="R777" s="186" t="n">
        <x:f>P777-Q777</x:f>
        <x:v>11480</x:v>
      </x:c>
      <x:c r="S777" s="186" t="n">
        <x:v>25871</x:v>
      </x:c>
      <x:c r="T777" s="186" t="n">
        <x:v>13281</x:v>
      </x:c>
      <x:c r="U777" s="186" t="n">
        <x:f>S777-T777</x:f>
        <x:v>12590</x:v>
      </x:c>
      <x:c r="V777" s="196" t="n">
        <x:f>IFERROR(O777/F777,"")</x:f>
        <x:v>0.07249530358088357</x:v>
      </x:c>
      <x:c r="W777" s="196" t="n">
        <x:f>IFERROR(I777/F777,"")</x:f>
        <x:v>-0.18360641469199468</x:v>
      </x:c>
    </x:row>
    <x:row r="778">
      <x:c r="A778" s="186" t="str">
        <x:v>Gold</x:v>
      </x:c>
      <x:c r="B778" s="187" t="n">
        <x:v>45090</x:v>
      </x:c>
      <x:c r="C778" s="187" t="n">
        <x:v>45093</x:v>
      </x:c>
      <x:c r="D778" s="186" t="str">
        <x:v>088691-GOLD</x:v>
      </x:c>
      <x:c r="E778" s="186" t="str">
        <x:v>GOLD - COMMODITY EXCHANGE INC.</x:v>
      </x:c>
      <x:c r="F778" s="186" t="n">
        <x:v>432898</x:v>
      </x:c>
      <x:c r="G778" s="186" t="n">
        <x:v>14225</x:v>
      </x:c>
      <x:c r="H778" s="186" t="n">
        <x:v>41384</x:v>
      </x:c>
      <x:c r="I778" s="186" t="n">
        <x:f>G778-H778</x:f>
        <x:v>-27159</x:v>
      </x:c>
      <x:c r="J778" s="186" t="n">
        <x:v>93585</x:v>
      </x:c>
      <x:c r="K778" s="186" t="n">
        <x:v>252488</x:v>
      </x:c>
      <x:c r="L778" s="186" t="n">
        <x:f>J778-K778</x:f>
        <x:v>-158903</x:v>
      </x:c>
      <x:c r="M778" s="186" t="n">
        <x:v>110512</x:v>
      </x:c>
      <x:c r="N778" s="186" t="n">
        <x:v>35869</x:v>
      </x:c>
      <x:c r="O778" s="186" t="n">
        <x:f>M778-N778</x:f>
        <x:v>74643</x:v>
      </x:c>
      <x:c r="P778" s="186" t="n">
        <x:v>116805</x:v>
      </x:c>
      <x:c r="Q778" s="186" t="n">
        <x:v>31239</x:v>
      </x:c>
      <x:c r="R778" s="186" t="n">
        <x:f>P778-Q778</x:f>
        <x:v>85566</x:v>
      </x:c>
      <x:c r="S778" s="186" t="n">
        <x:v>48953</x:v>
      </x:c>
      <x:c r="T778" s="186" t="n">
        <x:v>23100</x:v>
      </x:c>
      <x:c r="U778" s="186" t="n">
        <x:f>S778-T778</x:f>
        <x:v>25853</x:v>
      </x:c>
      <x:c r="V778" s="196" t="n">
        <x:f>IFERROR(O778/F778,"")</x:f>
        <x:v>0.1724262990358006</x:v>
      </x:c>
      <x:c r="W778" s="196" t="n">
        <x:f>IFERROR(I778/F778,"")</x:f>
        <x:v>-0.06273764258555133</x:v>
      </x:c>
    </x:row>
    <x:row r="779">
      <x:c r="A779" s="186" t="str">
        <x:v>Silver</x:v>
      </x:c>
      <x:c r="B779" s="187" t="n">
        <x:v>45090</x:v>
      </x:c>
      <x:c r="C779" s="187" t="n">
        <x:v>45093</x:v>
      </x:c>
      <x:c r="D779" s="186" t="str">
        <x:v>084691-SILVER</x:v>
      </x:c>
      <x:c r="E779" s="186" t="str">
        <x:v>SILVER - COMMODITY EXCHANGE INC.</x:v>
      </x:c>
      <x:c r="F779" s="186" t="n">
        <x:v>153853</x:v>
      </x:c>
      <x:c r="G779" s="186" t="n">
        <x:v>3645</x:v>
      </x:c>
      <x:c r="H779" s="186" t="n">
        <x:v>30602</x:v>
      </x:c>
      <x:c r="I779" s="186" t="n">
        <x:f>G779-H779</x:f>
        <x:v>-26957</x:v>
      </x:c>
      <x:c r="J779" s="186" t="n">
        <x:v>35814</x:v>
      </x:c>
      <x:c r="K779" s="186" t="n">
        <x:v>47327</x:v>
      </x:c>
      <x:c r="L779" s="186" t="n">
        <x:f>J779-K779</x:f>
        <x:v>-11513</x:v>
      </x:c>
      <x:c r="M779" s="186" t="n">
        <x:v>38968</x:v>
      </x:c>
      <x:c r="N779" s="186" t="n">
        <x:v>25971</x:v>
      </x:c>
      <x:c r="O779" s="186" t="n">
        <x:f>M779-N779</x:f>
        <x:v>12997</x:v>
      </x:c>
      <x:c r="P779" s="186" t="n">
        <x:v>16086</x:v>
      </x:c>
      <x:c r="Q779" s="186" t="n">
        <x:v>5347</x:v>
      </x:c>
      <x:c r="R779" s="186" t="n">
        <x:f>P779-Q779</x:f>
        <x:v>10739</x:v>
      </x:c>
      <x:c r="S779" s="186" t="n">
        <x:v>27249</x:v>
      </x:c>
      <x:c r="T779" s="186" t="n">
        <x:v>12515</x:v>
      </x:c>
      <x:c r="U779" s="186" t="n">
        <x:f>S779-T779</x:f>
        <x:v>14734</x:v>
      </x:c>
      <x:c r="V779" s="196" t="n">
        <x:f>IFERROR(O779/F779,"")</x:f>
        <x:v>0.08447674078503506</x:v>
      </x:c>
      <x:c r="W779" s="196" t="n">
        <x:f>IFERROR(I779/F779,"")</x:f>
        <x:v>-0.17521270303471495</x:v>
      </x:c>
    </x:row>
    <x:row r="780">
      <x:c r="A780" s="186" t="str">
        <x:v>Gold</x:v>
      </x:c>
      <x:c r="B780" s="187" t="n">
        <x:v>45097</x:v>
      </x:c>
      <x:c r="C780" s="187" t="n">
        <x:v>45100</x:v>
      </x:c>
      <x:c r="D780" s="186" t="str">
        <x:v>088691-GOLD</x:v>
      </x:c>
      <x:c r="E780" s="186" t="str">
        <x:v>GOLD - COMMODITY EXCHANGE INC.</x:v>
      </x:c>
      <x:c r="F780" s="186" t="n">
        <x:v>438037</x:v>
      </x:c>
      <x:c r="G780" s="186" t="n">
        <x:v>13663</x:v>
      </x:c>
      <x:c r="H780" s="186" t="n">
        <x:v>40542</x:v>
      </x:c>
      <x:c r="I780" s="186" t="n">
        <x:f>G780-H780</x:f>
        <x:v>-26879</x:v>
      </x:c>
      <x:c r="J780" s="186" t="n">
        <x:v>94588</x:v>
      </x:c>
      <x:c r="K780" s="186" t="n">
        <x:v>254246</x:v>
      </x:c>
      <x:c r="L780" s="186" t="n">
        <x:f>J780-K780</x:f>
        <x:v>-159658</x:v>
      </x:c>
      <x:c r="M780" s="186" t="n">
        <x:v>110314</x:v>
      </x:c>
      <x:c r="N780" s="186" t="n">
        <x:v>34275</x:v>
      </x:c>
      <x:c r="O780" s="186" t="n">
        <x:f>M780-N780</x:f>
        <x:v>76039</x:v>
      </x:c>
      <x:c r="P780" s="186" t="n">
        <x:v>118994</x:v>
      </x:c>
      <x:c r="Q780" s="186" t="n">
        <x:v>32058</x:v>
      </x:c>
      <x:c r="R780" s="186" t="n">
        <x:f>P780-Q780</x:f>
        <x:v>86936</x:v>
      </x:c>
      <x:c r="S780" s="186" t="n">
        <x:v>47402</x:v>
      </x:c>
      <x:c r="T780" s="186" t="n">
        <x:v>23840</x:v>
      </x:c>
      <x:c r="U780" s="186" t="n">
        <x:f>S780-T780</x:f>
        <x:v>23562</x:v>
      </x:c>
      <x:c r="V780" s="196" t="n">
        <x:f>IFERROR(O780/F780,"")</x:f>
        <x:v>0.1735903588053064</x:v>
      </x:c>
      <x:c r="W780" s="196" t="n">
        <x:f>IFERROR(I780/F780,"")</x:f>
        <x:v>-0.06136239632725089</x:v>
      </x:c>
    </x:row>
    <x:row r="781">
      <x:c r="A781" s="186" t="str">
        <x:v>Silver</x:v>
      </x:c>
      <x:c r="B781" s="187" t="n">
        <x:v>45097</x:v>
      </x:c>
      <x:c r="C781" s="187" t="n">
        <x:v>45100</x:v>
      </x:c>
      <x:c r="D781" s="186" t="str">
        <x:v>084691-SILVER</x:v>
      </x:c>
      <x:c r="E781" s="186" t="str">
        <x:v>SILVER - COMMODITY EXCHANGE INC.</x:v>
      </x:c>
      <x:c r="F781" s="186" t="n">
        <x:v>152633</x:v>
      </x:c>
      <x:c r="G781" s="186" t="n">
        <x:v>3835</x:v>
      </x:c>
      <x:c r="H781" s="186" t="n">
        <x:v>31055</x:v>
      </x:c>
      <x:c r="I781" s="186" t="n">
        <x:f>G781-H781</x:f>
        <x:v>-27220</x:v>
      </x:c>
      <x:c r="J781" s="186" t="n">
        <x:v>35965</x:v>
      </x:c>
      <x:c r="K781" s="186" t="n">
        <x:v>44955</x:v>
      </x:c>
      <x:c r="L781" s="186" t="n">
        <x:f>J781-K781</x:f>
        <x:v>-8990</x:v>
      </x:c>
      <x:c r="M781" s="186" t="n">
        <x:v>37289</x:v>
      </x:c>
      <x:c r="N781" s="186" t="n">
        <x:v>27033</x:v>
      </x:c>
      <x:c r="O781" s="186" t="n">
        <x:f>M781-N781</x:f>
        <x:v>10256</x:v>
      </x:c>
      <x:c r="P781" s="186" t="n">
        <x:v>15258</x:v>
      </x:c>
      <x:c r="Q781" s="186" t="n">
        <x:v>5456</x:v>
      </x:c>
      <x:c r="R781" s="186" t="n">
        <x:f>P781-Q781</x:f>
        <x:v>9802</x:v>
      </x:c>
      <x:c r="S781" s="186" t="n">
        <x:v>28208</x:v>
      </x:c>
      <x:c r="T781" s="186" t="n">
        <x:v>12056</x:v>
      </x:c>
      <x:c r="U781" s="186" t="n">
        <x:f>S781-T781</x:f>
        <x:v>16152</x:v>
      </x:c>
      <x:c r="V781" s="196" t="n">
        <x:f>IFERROR(O781/F781,"")</x:f>
        <x:v>0.06719385716064023</x:v>
      </x:c>
      <x:c r="W781" s="196" t="n">
        <x:f>IFERROR(I781/F781,"")</x:f>
        <x:v>-0.17833627066230762</x:v>
      </x:c>
    </x:row>
    <x:row r="782">
      <x:c r="A782" s="186" t="str">
        <x:v>Gold</x:v>
      </x:c>
      <x:c r="B782" s="187" t="n">
        <x:v>45104</x:v>
      </x:c>
      <x:c r="C782" s="187" t="n">
        <x:v>45107</x:v>
      </x:c>
      <x:c r="D782" s="186" t="str">
        <x:v>088691-GOLD</x:v>
      </x:c>
      <x:c r="E782" s="186" t="str">
        <x:v>GOLD - COMMODITY EXCHANGE INC.</x:v>
      </x:c>
      <x:c r="F782" s="186" t="n">
        <x:v>431861</x:v>
      </x:c>
      <x:c r="G782" s="186" t="n">
        <x:v>11393</x:v>
      </x:c>
      <x:c r="H782" s="186" t="n">
        <x:v>37626</x:v>
      </x:c>
      <x:c r="I782" s="186" t="n">
        <x:f>G782-H782</x:f>
        <x:v>-26233</x:v>
      </x:c>
      <x:c r="J782" s="186" t="n">
        <x:v>95100</x:v>
      </x:c>
      <x:c r="K782" s="186" t="n">
        <x:v>244202</x:v>
      </x:c>
      <x:c r="L782" s="186" t="n">
        <x:f>J782-K782</x:f>
        <x:v>-149102</x:v>
      </x:c>
      <x:c r="M782" s="186" t="n">
        <x:v>108209</x:v>
      </x:c>
      <x:c r="N782" s="186" t="n">
        <x:v>38534</x:v>
      </x:c>
      <x:c r="O782" s="186" t="n">
        <x:f>M782-N782</x:f>
        <x:v>69675</x:v>
      </x:c>
      <x:c r="P782" s="186" t="n">
        <x:v>112672</x:v>
      </x:c>
      <x:c r="Q782" s="186" t="n">
        <x:v>30437</x:v>
      </x:c>
      <x:c r="R782" s="186" t="n">
        <x:f>P782-Q782</x:f>
        <x:v>82235</x:v>
      </x:c>
      <x:c r="S782" s="186" t="n">
        <x:v>48042</x:v>
      </x:c>
      <x:c r="T782" s="186" t="n">
        <x:v>24617</x:v>
      </x:c>
      <x:c r="U782" s="186" t="n">
        <x:f>S782-T782</x:f>
        <x:v>23425</x:v>
      </x:c>
      <x:c r="V782" s="196" t="n">
        <x:f>IFERROR(O782/F782,"")</x:f>
        <x:v>0.161336633777998</x:v>
      </x:c>
      <x:c r="W782" s="196" t="n">
        <x:f>IFERROR(I782/F782,"")</x:f>
        <x:v>-0.06074408200786827</x:v>
      </x:c>
    </x:row>
    <x:row r="783">
      <x:c r="A783" s="186" t="str">
        <x:v>Silver</x:v>
      </x:c>
      <x:c r="B783" s="187" t="n">
        <x:v>45104</x:v>
      </x:c>
      <x:c r="C783" s="187" t="n">
        <x:v>45107</x:v>
      </x:c>
      <x:c r="D783" s="186" t="str">
        <x:v>084691-SILVER</x:v>
      </x:c>
      <x:c r="E783" s="186" t="str">
        <x:v>SILVER - COMMODITY EXCHANGE INC.</x:v>
      </x:c>
      <x:c r="F783" s="186" t="n">
        <x:v>123491</x:v>
      </x:c>
      <x:c r="G783" s="186" t="n">
        <x:v>2481</x:v>
      </x:c>
      <x:c r="H783" s="186" t="n">
        <x:v>29487</x:v>
      </x:c>
      <x:c r="I783" s="186" t="n">
        <x:f>G783-H783</x:f>
        <x:v>-27006</x:v>
      </x:c>
      <x:c r="J783" s="186" t="n">
        <x:v>36829</x:v>
      </x:c>
      <x:c r="K783" s="186" t="n">
        <x:v>39150</x:v>
      </x:c>
      <x:c r="L783" s="186" t="n">
        <x:f>J783-K783</x:f>
        <x:v>-2321</x:v>
      </x:c>
      <x:c r="M783" s="186" t="n">
        <x:v>33247</x:v>
      </x:c>
      <x:c r="N783" s="186" t="n">
        <x:v>22341</x:v>
      </x:c>
      <x:c r="O783" s="186" t="n">
        <x:f>M783-N783</x:f>
        <x:v>10906</x:v>
      </x:c>
      <x:c r="P783" s="186" t="n">
        <x:v>12736</x:v>
      </x:c>
      <x:c r="Q783" s="186" t="n">
        <x:v>4590</x:v>
      </x:c>
      <x:c r="R783" s="186" t="n">
        <x:f>P783-Q783</x:f>
        <x:v>8146</x:v>
      </x:c>
      <x:c r="S783" s="186" t="n">
        <x:v>23415</x:v>
      </x:c>
      <x:c r="T783" s="186" t="n">
        <x:v>13140</x:v>
      </x:c>
      <x:c r="U783" s="186" t="n">
        <x:f>S783-T783</x:f>
        <x:v>10275</x:v>
      </x:c>
      <x:c r="V783" s="196" t="n">
        <x:f>IFERROR(O783/F783,"")</x:f>
        <x:v>0.08831412815508823</x:v>
      </x:c>
      <x:c r="W783" s="196" t="n">
        <x:f>IFERROR(I783/F783,"")</x:f>
        <x:v>-0.21868800155476917</x:v>
      </x:c>
    </x:row>
    <x:row r="784">
      <x:c r="A784" s="186" t="str">
        <x:v>Gold</x:v>
      </x:c>
      <x:c r="B784" s="187" t="n">
        <x:v>45110</x:v>
      </x:c>
      <x:c r="C784" s="187" t="n">
        <x:v>45113</x:v>
      </x:c>
      <x:c r="D784" s="186" t="str">
        <x:v>088691-GOLD</x:v>
      </x:c>
      <x:c r="E784" s="186" t="str">
        <x:v>GOLD - COMMODITY EXCHANGE INC.</x:v>
      </x:c>
      <x:c r="F784" s="186" t="n">
        <x:v>448063</x:v>
      </x:c>
      <x:c r="G784" s="186" t="n">
        <x:v>13966</x:v>
      </x:c>
      <x:c r="H784" s="186" t="n">
        <x:v>41391</x:v>
      </x:c>
      <x:c r="I784" s="186" t="n">
        <x:f>G784-H784</x:f>
        <x:v>-27425</x:v>
      </x:c>
      <x:c r="J784" s="186" t="n">
        <x:v>90454</x:v>
      </x:c>
      <x:c r="K784" s="186" t="n">
        <x:v>247746</x:v>
      </x:c>
      <x:c r="L784" s="186" t="n">
        <x:f>J784-K784</x:f>
        <x:v>-157292</x:v>
      </x:c>
      <x:c r="M784" s="186" t="n">
        <x:v>123017</x:v>
      </x:c>
      <x:c r="N784" s="186" t="n">
        <x:v>39869</x:v>
      </x:c>
      <x:c r="O784" s="186" t="n">
        <x:f>M784-N784</x:f>
        <x:v>83148</x:v>
      </x:c>
      <x:c r="P784" s="186" t="n">
        <x:v>112064</x:v>
      </x:c>
      <x:c r="Q784" s="186" t="n">
        <x:v>32115</x:v>
      </x:c>
      <x:c r="R784" s="186" t="n">
        <x:f>P784-Q784</x:f>
        <x:v>79949</x:v>
      </x:c>
      <x:c r="S784" s="186" t="n">
        <x:v>45490</x:v>
      </x:c>
      <x:c r="T784" s="186" t="n">
        <x:v>23870</x:v>
      </x:c>
      <x:c r="U784" s="186" t="n">
        <x:f>S784-T784</x:f>
        <x:v>21620</x:v>
      </x:c>
      <x:c r="V784" s="196" t="n">
        <x:f>IFERROR(O784/F784,"")</x:f>
        <x:v>0.18557211820659147</x:v>
      </x:c>
      <x:c r="W784" s="196" t="n">
        <x:f>IFERROR(I784/F784,"")</x:f>
        <x:v>-0.06120791049472953</x:v>
      </x:c>
    </x:row>
    <x:row r="785">
      <x:c r="A785" s="186" t="str">
        <x:v>Silver</x:v>
      </x:c>
      <x:c r="B785" s="187" t="n">
        <x:v>45110</x:v>
      </x:c>
      <x:c r="C785" s="187" t="n">
        <x:v>45113</x:v>
      </x:c>
      <x:c r="D785" s="186" t="str">
        <x:v>084691-SILVER</x:v>
      </x:c>
      <x:c r="E785" s="186" t="str">
        <x:v>SILVER - COMMODITY EXCHANGE INC.</x:v>
      </x:c>
      <x:c r="F785" s="186" t="n">
        <x:v>114421</x:v>
      </x:c>
      <x:c r="G785" s="186" t="n">
        <x:v>911</x:v>
      </x:c>
      <x:c r="H785" s="186" t="n">
        <x:v>29309</x:v>
      </x:c>
      <x:c r="I785" s="186" t="n">
        <x:f>G785-H785</x:f>
        <x:v>-28398</x:v>
      </x:c>
      <x:c r="J785" s="186" t="n">
        <x:v>35261</x:v>
      </x:c>
      <x:c r="K785" s="186" t="n">
        <x:v>36432</x:v>
      </x:c>
      <x:c r="L785" s="186" t="n">
        <x:f>J785-K785</x:f>
        <x:v>-1171</x:v>
      </x:c>
      <x:c r="M785" s="186" t="n">
        <x:v>32849</x:v>
      </x:c>
      <x:c r="N785" s="186" t="n">
        <x:v>23053</x:v>
      </x:c>
      <x:c r="O785" s="186" t="n">
        <x:f>M785-N785</x:f>
        <x:v>9796</x:v>
      </x:c>
      <x:c r="P785" s="186" t="n">
        <x:v>13584</x:v>
      </x:c>
      <x:c r="Q785" s="186" t="n">
        <x:v>5390</x:v>
      </x:c>
      <x:c r="R785" s="186" t="n">
        <x:f>P785-Q785</x:f>
        <x:v>8194</x:v>
      </x:c>
      <x:c r="S785" s="186" t="n">
        <x:v>23020</x:v>
      </x:c>
      <x:c r="T785" s="186" t="n">
        <x:v>11441</x:v>
      </x:c>
      <x:c r="U785" s="186" t="n">
        <x:f>S785-T785</x:f>
        <x:v>11579</x:v>
      </x:c>
      <x:c r="V785" s="196" t="n">
        <x:f>IFERROR(O785/F785,"")</x:f>
        <x:v>0.08561365483608778</x:v>
      </x:c>
      <x:c r="W785" s="196" t="n">
        <x:f>IFERROR(I785/F785,"")</x:f>
        <x:v>-0.2481887066185403</x:v>
      </x:c>
    </x:row>
    <x:row r="786">
      <x:c r="A786" s="186" t="str">
        <x:v>Gold</x:v>
      </x:c>
      <x:c r="B786" s="187" t="n">
        <x:v>45118</x:v>
      </x:c>
      <x:c r="C786" s="187" t="n">
        <x:v>45121</x:v>
      </x:c>
      <x:c r="D786" s="186" t="str">
        <x:v>088691-GOLD</x:v>
      </x:c>
      <x:c r="E786" s="186" t="str">
        <x:v>GOLD - COMMODITY EXCHANGE INC.</x:v>
      </x:c>
      <x:c r="F786" s="186" t="n">
        <x:v>483170</x:v>
      </x:c>
      <x:c r="G786" s="186" t="n">
        <x:v>13062</x:v>
      </x:c>
      <x:c r="H786" s="186" t="n">
        <x:v>42136</x:v>
      </x:c>
      <x:c r="I786" s="186" t="n">
        <x:f>G786-H786</x:f>
        <x:v>-29074</x:v>
      </x:c>
      <x:c r="J786" s="186" t="n">
        <x:v>89493</x:v>
      </x:c>
      <x:c r="K786" s="186" t="n">
        <x:v>248168</x:v>
      </x:c>
      <x:c r="L786" s="186" t="n">
        <x:f>J786-K786</x:f>
        <x:v>-158675</x:v>
      </x:c>
      <x:c r="M786" s="186" t="n">
        <x:v>124394</x:v>
      </x:c>
      <x:c r="N786" s="186" t="n">
        <x:v>41951</x:v>
      </x:c>
      <x:c r="O786" s="186" t="n">
        <x:f>M786-N786</x:f>
        <x:v>82443</x:v>
      </x:c>
      <x:c r="P786" s="186" t="n">
        <x:v>116152</x:v>
      </x:c>
      <x:c r="Q786" s="186" t="n">
        <x:v>32841</x:v>
      </x:c>
      <x:c r="R786" s="186" t="n">
        <x:f>P786-Q786</x:f>
        <x:v>83311</x:v>
      </x:c>
      <x:c r="S786" s="186" t="n">
        <x:v>46618</x:v>
      </x:c>
      <x:c r="T786" s="186" t="n">
        <x:v>24623</x:v>
      </x:c>
      <x:c r="U786" s="186" t="n">
        <x:f>S786-T786</x:f>
        <x:v>21995</x:v>
      </x:c>
      <x:c r="V786" s="196" t="n">
        <x:f>IFERROR(O786/F786,"")</x:f>
        <x:v>0.1706293851025519</x:v>
      </x:c>
      <x:c r="W786" s="196" t="n">
        <x:f>IFERROR(I786/F786,"")</x:f>
        <x:v>-0.06017343792040069</x:v>
      </x:c>
    </x:row>
    <x:row r="787">
      <x:c r="A787" s="186" t="str">
        <x:v>Silver</x:v>
      </x:c>
      <x:c r="B787" s="187" t="n">
        <x:v>45118</x:v>
      </x:c>
      <x:c r="C787" s="187" t="n">
        <x:v>45121</x:v>
      </x:c>
      <x:c r="D787" s="186" t="str">
        <x:v>084691-SILVER</x:v>
      </x:c>
      <x:c r="E787" s="186" t="str">
        <x:v>SILVER - COMMODITY EXCHANGE INC.</x:v>
      </x:c>
      <x:c r="F787" s="186" t="n">
        <x:v>120282</x:v>
      </x:c>
      <x:c r="G787" s="186" t="n">
        <x:v>877</x:v>
      </x:c>
      <x:c r="H787" s="186" t="n">
        <x:v>30585</x:v>
      </x:c>
      <x:c r="I787" s="186" t="n">
        <x:f>G787-H787</x:f>
        <x:v>-29708</x:v>
      </x:c>
      <x:c r="J787" s="186" t="n">
        <x:v>35379</x:v>
      </x:c>
      <x:c r="K787" s="186" t="n">
        <x:v>37320</x:v>
      </x:c>
      <x:c r="L787" s="186" t="n">
        <x:f>J787-K787</x:f>
        <x:v>-1941</x:v>
      </x:c>
      <x:c r="M787" s="186" t="n">
        <x:v>31522</x:v>
      </x:c>
      <x:c r="N787" s="186" t="n">
        <x:v>26024</x:v>
      </x:c>
      <x:c r="O787" s="186" t="n">
        <x:f>M787-N787</x:f>
        <x:v>5498</x:v>
      </x:c>
      <x:c r="P787" s="186" t="n">
        <x:v>19783</x:v>
      </x:c>
      <x:c r="Q787" s="186" t="n">
        <x:v>4989</x:v>
      </x:c>
      <x:c r="R787" s="186" t="n">
        <x:f>P787-Q787</x:f>
        <x:v>14794</x:v>
      </x:c>
      <x:c r="S787" s="186" t="n">
        <x:v>23304</x:v>
      </x:c>
      <x:c r="T787" s="186" t="n">
        <x:v>11947</x:v>
      </x:c>
      <x:c r="U787" s="186" t="n">
        <x:f>S787-T787</x:f>
        <x:v>11357</x:v>
      </x:c>
      <x:c r="V787" s="196" t="n">
        <x:f>IFERROR(O787/F787,"")</x:f>
        <x:v>0.045709249929332736</x:v>
      </x:c>
      <x:c r="W787" s="196" t="n">
        <x:f>IFERROR(I787/F787,"")</x:f>
        <x:v>-0.24698624898156</x:v>
      </x:c>
    </x:row>
    <x:row r="788">
      <x:c r="A788" s="186" t="str">
        <x:v>Gold</x:v>
      </x:c>
      <x:c r="B788" s="187" t="n">
        <x:v>45125</x:v>
      </x:c>
      <x:c r="C788" s="187" t="n">
        <x:v>45128</x:v>
      </x:c>
      <x:c r="D788" s="186" t="str">
        <x:v>088691-GOLD</x:v>
      </x:c>
      <x:c r="E788" s="186" t="str">
        <x:v>GOLD - COMMODITY EXCHANGE INC.</x:v>
      </x:c>
      <x:c r="F788" s="186" t="n">
        <x:v>482104</x:v>
      </x:c>
      <x:c r="G788" s="186" t="n">
        <x:v>14281</x:v>
      </x:c>
      <x:c r="H788" s="186" t="n">
        <x:v>53555</x:v>
      </x:c>
      <x:c r="I788" s="186" t="n">
        <x:f>G788-H788</x:f>
        <x:v>-39274</x:v>
      </x:c>
      <x:c r="J788" s="186" t="n">
        <x:v>84927</x:v>
      </x:c>
      <x:c r="K788" s="186" t="n">
        <x:v>259368</x:v>
      </x:c>
      <x:c r="L788" s="186" t="n">
        <x:f>J788-K788</x:f>
        <x:v>-174441</x:v>
      </x:c>
      <x:c r="M788" s="186" t="n">
        <x:v>147644</x:v>
      </x:c>
      <x:c r="N788" s="186" t="n">
        <x:v>32326</x:v>
      </x:c>
      <x:c r="O788" s="186" t="n">
        <x:f>M788-N788</x:f>
        <x:v>115318</x:v>
      </x:c>
      <x:c r="P788" s="186" t="n">
        <x:v>116096</x:v>
      </x:c>
      <x:c r="Q788" s="186" t="n">
        <x:v>38066</x:v>
      </x:c>
      <x:c r="R788" s="186" t="n">
        <x:f>P788-Q788</x:f>
        <x:v>78030</x:v>
      </x:c>
      <x:c r="S788" s="186" t="n">
        <x:v>45784</x:v>
      </x:c>
      <x:c r="T788" s="186" t="n">
        <x:v>25417</x:v>
      </x:c>
      <x:c r="U788" s="186" t="n">
        <x:f>S788-T788</x:f>
        <x:v>20367</x:v>
      </x:c>
      <x:c r="V788" s="196" t="n">
        <x:f>IFERROR(O788/F788,"")</x:f>
        <x:v>0.2391973516087815</x:v>
      </x:c>
      <x:c r="W788" s="196" t="n">
        <x:f>IFERROR(I788/F788,"")</x:f>
        <x:v>-0.08146375056004514</x:v>
      </x:c>
    </x:row>
    <x:row r="789">
      <x:c r="A789" s="186" t="str">
        <x:v>Silver</x:v>
      </x:c>
      <x:c r="B789" s="187" t="n">
        <x:v>45125</x:v>
      </x:c>
      <x:c r="C789" s="187" t="n">
        <x:v>45128</x:v>
      </x:c>
      <x:c r="D789" s="186" t="str">
        <x:v>084691-SILVER</x:v>
      </x:c>
      <x:c r="E789" s="186" t="str">
        <x:v>SILVER - COMMODITY EXCHANGE INC.</x:v>
      </x:c>
      <x:c r="F789" s="186" t="n">
        <x:v>146863</x:v>
      </x:c>
      <x:c r="G789" s="186" t="n">
        <x:v>942</x:v>
      </x:c>
      <x:c r="H789" s="186" t="n">
        <x:v>39079</x:v>
      </x:c>
      <x:c r="I789" s="186" t="n">
        <x:f>G789-H789</x:f>
        <x:v>-38137</x:v>
      </x:c>
      <x:c r="J789" s="186" t="n">
        <x:v>34242</x:v>
      </x:c>
      <x:c r="K789" s="186" t="n">
        <x:v>52088</x:v>
      </x:c>
      <x:c r="L789" s="186" t="n">
        <x:f>J789-K789</x:f>
        <x:v>-17846</x:v>
      </x:c>
      <x:c r="M789" s="186" t="n">
        <x:v>53781</x:v>
      </x:c>
      <x:c r="N789" s="186" t="n">
        <x:v>24092</x:v>
      </x:c>
      <x:c r="O789" s="186" t="n">
        <x:f>M789-N789</x:f>
        <x:v>29689</x:v>
      </x:c>
      <x:c r="P789" s="186" t="n">
        <x:v>22639</x:v>
      </x:c>
      <x:c r="Q789" s="186" t="n">
        <x:v>8466</x:v>
      </x:c>
      <x:c r="R789" s="186" t="n">
        <x:f>P789-Q789</x:f>
        <x:v>14173</x:v>
      </x:c>
      <x:c r="S789" s="186" t="n">
        <x:v>24540</x:v>
      </x:c>
      <x:c r="T789" s="186" t="n">
        <x:v>12419</x:v>
      </x:c>
      <x:c r="U789" s="186" t="n">
        <x:f>S789-T789</x:f>
        <x:v>12121</x:v>
      </x:c>
      <x:c r="V789" s="196" t="n">
        <x:f>IFERROR(O789/F789,"")</x:f>
        <x:v>0.2021543887841049</x:v>
      </x:c>
      <x:c r="W789" s="196" t="n">
        <x:f>IFERROR(I789/F789,"")</x:f>
        <x:v>-0.2596773864077406</x:v>
      </x:c>
    </x:row>
    <x:row r="790">
      <x:c r="A790" s="186" t="str">
        <x:v>Gold</x:v>
      </x:c>
      <x:c r="B790" s="187" t="n">
        <x:v>45132</x:v>
      </x:c>
      <x:c r="C790" s="187" t="n">
        <x:v>45135</x:v>
      </x:c>
      <x:c r="D790" s="186" t="str">
        <x:v>088691-GOLD</x:v>
      </x:c>
      <x:c r="E790" s="186" t="str">
        <x:v>GOLD - COMMODITY EXCHANGE INC.</x:v>
      </x:c>
      <x:c r="F790" s="186" t="n">
        <x:v>476176</x:v>
      </x:c>
      <x:c r="G790" s="186" t="n">
        <x:v>16452</x:v>
      </x:c>
      <x:c r="H790" s="186" t="n">
        <x:v>55396</x:v>
      </x:c>
      <x:c r="I790" s="186" t="n">
        <x:f>G790-H790</x:f>
        <x:v>-38944</x:v>
      </x:c>
      <x:c r="J790" s="186" t="n">
        <x:v>86053</x:v>
      </x:c>
      <x:c r="K790" s="186" t="n">
        <x:v>245319</x:v>
      </x:c>
      <x:c r="L790" s="186" t="n">
        <x:f>J790-K790</x:f>
        <x:v>-159266</x:v>
      </x:c>
      <x:c r="M790" s="186" t="n">
        <x:v>132603</x:v>
      </x:c>
      <x:c r="N790" s="186" t="n">
        <x:v>37316</x:v>
      </x:c>
      <x:c r="O790" s="186" t="n">
        <x:f>M790-N790</x:f>
        <x:v>95287</x:v>
      </x:c>
      <x:c r="P790" s="186" t="n">
        <x:v>115626</x:v>
      </x:c>
      <x:c r="Q790" s="186" t="n">
        <x:v>37274</x:v>
      </x:c>
      <x:c r="R790" s="186" t="n">
        <x:f>P790-Q790</x:f>
        <x:v>78352</x:v>
      </x:c>
      <x:c r="S790" s="186" t="n">
        <x:v>47300</x:v>
      </x:c>
      <x:c r="T790" s="186" t="n">
        <x:v>22729</x:v>
      </x:c>
      <x:c r="U790" s="186" t="n">
        <x:f>S790-T790</x:f>
        <x:v>24571</x:v>
      </x:c>
      <x:c r="V790" s="196" t="n">
        <x:f>IFERROR(O790/F790,"")</x:f>
        <x:v>0.20010878330701254</x:v>
      </x:c>
      <x:c r="W790" s="196" t="n">
        <x:f>IFERROR(I790/F790,"")</x:f>
        <x:v>-0.08178488626054232</x:v>
      </x:c>
    </x:row>
    <x:row r="791">
      <x:c r="A791" s="186" t="str">
        <x:v>Silver</x:v>
      </x:c>
      <x:c r="B791" s="187" t="n">
        <x:v>45132</x:v>
      </x:c>
      <x:c r="C791" s="187" t="n">
        <x:v>45135</x:v>
      </x:c>
      <x:c r="D791" s="186" t="str">
        <x:v>084691-SILVER</x:v>
      </x:c>
      <x:c r="E791" s="186" t="str">
        <x:v>SILVER - COMMODITY EXCHANGE INC.</x:v>
      </x:c>
      <x:c r="F791" s="186" t="n">
        <x:v>146898</x:v>
      </x:c>
      <x:c r="G791" s="186" t="n">
        <x:v>1442</x:v>
      </x:c>
      <x:c r="H791" s="186" t="n">
        <x:v>35579</x:v>
      </x:c>
      <x:c r="I791" s="186" t="n">
        <x:f>G791-H791</x:f>
        <x:v>-34137</x:v>
      </x:c>
      <x:c r="J791" s="186" t="n">
        <x:v>34645</x:v>
      </x:c>
      <x:c r="K791" s="186" t="n">
        <x:v>50226</x:v>
      </x:c>
      <x:c r="L791" s="186" t="n">
        <x:f>J791-K791</x:f>
        <x:v>-15581</x:v>
      </x:c>
      <x:c r="M791" s="186" t="n">
        <x:v>48131</x:v>
      </x:c>
      <x:c r="N791" s="186" t="n">
        <x:v>28530</x:v>
      </x:c>
      <x:c r="O791" s="186" t="n">
        <x:f>M791-N791</x:f>
        <x:v>19601</x:v>
      </x:c>
      <x:c r="P791" s="186" t="n">
        <x:v>24655</x:v>
      </x:c>
      <x:c r="Q791" s="186" t="n">
        <x:v>7331</x:v>
      </x:c>
      <x:c r="R791" s="186" t="n">
        <x:f>P791-Q791</x:f>
        <x:v>17324</x:v>
      </x:c>
      <x:c r="S791" s="186" t="n">
        <x:v>24478</x:v>
      </x:c>
      <x:c r="T791" s="186" t="n">
        <x:v>11685</x:v>
      </x:c>
      <x:c r="U791" s="186" t="n">
        <x:f>S791-T791</x:f>
        <x:v>12793</x:v>
      </x:c>
      <x:c r="V791" s="196" t="n">
        <x:f>IFERROR(O791/F791,"")</x:f>
        <x:v>0.13343272202480633</x:v>
      </x:c>
      <x:c r="W791" s="196" t="n">
        <x:f>IFERROR(I791/F791,"")</x:f>
        <x:v>-0.23238573704202917</x:v>
      </x:c>
    </x:row>
    <x:row r="792">
      <x:c r="A792" s="186" t="str">
        <x:v>Gold</x:v>
      </x:c>
      <x:c r="B792" s="187" t="n">
        <x:v>45139</x:v>
      </x:c>
      <x:c r="C792" s="187" t="n">
        <x:v>45142</x:v>
      </x:c>
      <x:c r="D792" s="186" t="str">
        <x:v>088691-GOLD</x:v>
      </x:c>
      <x:c r="E792" s="186" t="str">
        <x:v>GOLD - COMMODITY EXCHANGE INC.</x:v>
      </x:c>
      <x:c r="F792" s="186" t="n">
        <x:v>439383</x:v>
      </x:c>
      <x:c r="G792" s="186" t="n">
        <x:v>16334</x:v>
      </x:c>
      <x:c r="H792" s="186" t="n">
        <x:v>46546</x:v>
      </x:c>
      <x:c r="I792" s="186" t="n">
        <x:f>G792-H792</x:f>
        <x:v>-30212</x:v>
      </x:c>
      <x:c r="J792" s="186" t="n">
        <x:v>88352</x:v>
      </x:c>
      <x:c r="K792" s="186" t="n">
        <x:v>244985</x:v>
      </x:c>
      <x:c r="L792" s="186" t="n">
        <x:f>J792-K792</x:f>
        <x:v>-156633</x:v>
      </x:c>
      <x:c r="M792" s="186" t="n">
        <x:v>123802</x:v>
      </x:c>
      <x:c r="N792" s="186" t="n">
        <x:v>43793</x:v>
      </x:c>
      <x:c r="O792" s="186" t="n">
        <x:f>M792-N792</x:f>
        <x:v>80009</x:v>
      </x:c>
      <x:c r="P792" s="186" t="n">
        <x:v>115183</x:v>
      </x:c>
      <x:c r="Q792" s="186" t="n">
        <x:v>30268</x:v>
      </x:c>
      <x:c r="R792" s="186" t="n">
        <x:f>P792-Q792</x:f>
        <x:v>84915</x:v>
      </x:c>
      <x:c r="S792" s="186" t="n">
        <x:v>43254</x:v>
      </x:c>
      <x:c r="T792" s="186" t="n">
        <x:v>21333</x:v>
      </x:c>
      <x:c r="U792" s="186" t="n">
        <x:f>S792-T792</x:f>
        <x:v>21921</x:v>
      </x:c>
      <x:c r="V792" s="196" t="n">
        <x:f>IFERROR(O792/F792,"")</x:f>
        <x:v>0.1820939817880983</x:v>
      </x:c>
      <x:c r="W792" s="196" t="n">
        <x:f>IFERROR(I792/F792,"")</x:f>
        <x:v>-0.06876005671589479</x:v>
      </x:c>
    </x:row>
    <x:row r="793">
      <x:c r="A793" s="186" t="str">
        <x:v>Silver</x:v>
      </x:c>
      <x:c r="B793" s="187" t="n">
        <x:v>45139</x:v>
      </x:c>
      <x:c r="C793" s="187" t="n">
        <x:v>45142</x:v>
      </x:c>
      <x:c r="D793" s="186" t="str">
        <x:v>084691-SILVER</x:v>
      </x:c>
      <x:c r="E793" s="186" t="str">
        <x:v>SILVER - COMMODITY EXCHANGE INC.</x:v>
      </x:c>
      <x:c r="F793" s="186" t="n">
        <x:v>144138</x:v>
      </x:c>
      <x:c r="G793" s="186" t="n">
        <x:v>1638</x:v>
      </x:c>
      <x:c r="H793" s="186" t="n">
        <x:v>33314</x:v>
      </x:c>
      <x:c r="I793" s="186" t="n">
        <x:f>G793-H793</x:f>
        <x:v>-31676</x:v>
      </x:c>
      <x:c r="J793" s="186" t="n">
        <x:v>35249</x:v>
      </x:c>
      <x:c r="K793" s="186" t="n">
        <x:v>47585</x:v>
      </x:c>
      <x:c r="L793" s="186" t="n">
        <x:f>J793-K793</x:f>
        <x:v>-12336</x:v>
      </x:c>
      <x:c r="M793" s="186" t="n">
        <x:v>44578</x:v>
      </x:c>
      <x:c r="N793" s="186" t="n">
        <x:v>31920</x:v>
      </x:c>
      <x:c r="O793" s="186" t="n">
        <x:f>M793-N793</x:f>
        <x:v>12658</x:v>
      </x:c>
      <x:c r="P793" s="186" t="n">
        <x:v>23885</x:v>
      </x:c>
      <x:c r="Q793" s="186" t="n">
        <x:v>5712</x:v>
      </x:c>
      <x:c r="R793" s="186" t="n">
        <x:f>P793-Q793</x:f>
        <x:v>18173</x:v>
      </x:c>
      <x:c r="S793" s="186" t="n">
        <x:v>24416</x:v>
      </x:c>
      <x:c r="T793" s="186" t="n">
        <x:v>11235</x:v>
      </x:c>
      <x:c r="U793" s="186" t="n">
        <x:f>S793-T793</x:f>
        <x:v>13181</x:v>
      </x:c>
      <x:c r="V793" s="196" t="n">
        <x:f>IFERROR(O793/F793,"")</x:f>
        <x:v>0.0878186182686037</x:v>
      </x:c>
      <x:c r="W793" s="196" t="n">
        <x:f>IFERROR(I793/F793,"")</x:f>
        <x:v>-0.21976161733893906</x:v>
      </x:c>
    </x:row>
    <x:row r="794">
      <x:c r="A794" s="186" t="str">
        <x:v>Gold</x:v>
      </x:c>
      <x:c r="B794" s="187" t="n">
        <x:v>45146</x:v>
      </x:c>
      <x:c r="C794" s="187" t="n">
        <x:v>45149</x:v>
      </x:c>
      <x:c r="D794" s="186" t="str">
        <x:v>088691-GOLD</x:v>
      </x:c>
      <x:c r="E794" s="186" t="str">
        <x:v>GOLD - COMMODITY EXCHANGE INC.</x:v>
      </x:c>
      <x:c r="F794" s="186" t="n">
        <x:v>427759</x:v>
      </x:c>
      <x:c r="G794" s="186" t="n">
        <x:v>15411</x:v>
      </x:c>
      <x:c r="H794" s="186" t="n">
        <x:v>41861</x:v>
      </x:c>
      <x:c r="I794" s="186" t="n">
        <x:f>G794-H794</x:f>
        <x:v>-26450</x:v>
      </x:c>
      <x:c r="J794" s="186" t="n">
        <x:v>88184</x:v>
      </x:c>
      <x:c r="K794" s="186" t="n">
        <x:v>229288</x:v>
      </x:c>
      <x:c r="L794" s="186" t="n">
        <x:f>J794-K794</x:f>
        <x:v>-141104</x:v>
      </x:c>
      <x:c r="M794" s="186" t="n">
        <x:v>114585</x:v>
      </x:c>
      <x:c r="N794" s="186" t="n">
        <x:v>55979</x:v>
      </x:c>
      <x:c r="O794" s="186" t="n">
        <x:f>M794-N794</x:f>
        <x:v>58606</x:v>
      </x:c>
      <x:c r="P794" s="186" t="n">
        <x:v>114261</x:v>
      </x:c>
      <x:c r="Q794" s="186" t="n">
        <x:v>29882</x:v>
      </x:c>
      <x:c r="R794" s="186" t="n">
        <x:f>P794-Q794</x:f>
        <x:v>84379</x:v>
      </x:c>
      <x:c r="S794" s="186" t="n">
        <x:v>44996</x:v>
      </x:c>
      <x:c r="T794" s="186" t="n">
        <x:v>20427</x:v>
      </x:c>
      <x:c r="U794" s="186" t="n">
        <x:f>S794-T794</x:f>
        <x:v>24569</x:v>
      </x:c>
      <x:c r="V794" s="196" t="n">
        <x:f>IFERROR(O794/F794,"")</x:f>
        <x:v>0.13700705303687358</x:v>
      </x:c>
      <x:c r="W794" s="196" t="n">
        <x:f>IFERROR(I794/F794,"")</x:f>
        <x:v>-0.06183388309772559</x:v>
      </x:c>
    </x:row>
    <x:row r="795">
      <x:c r="A795" s="186" t="str">
        <x:v>Silver</x:v>
      </x:c>
      <x:c r="B795" s="187" t="n">
        <x:v>45146</x:v>
      </x:c>
      <x:c r="C795" s="187" t="n">
        <x:v>45149</x:v>
      </x:c>
      <x:c r="D795" s="186" t="str">
        <x:v>084691-SILVER</x:v>
      </x:c>
      <x:c r="E795" s="186" t="str">
        <x:v>SILVER - COMMODITY EXCHANGE INC.</x:v>
      </x:c>
      <x:c r="F795" s="186" t="n">
        <x:v>137631</x:v>
      </x:c>
      <x:c r="G795" s="186" t="n">
        <x:v>1586</x:v>
      </x:c>
      <x:c r="H795" s="186" t="n">
        <x:v>32434</x:v>
      </x:c>
      <x:c r="I795" s="186" t="n">
        <x:f>G795-H795</x:f>
        <x:v>-30848</x:v>
      </x:c>
      <x:c r="J795" s="186" t="n">
        <x:v>35632</x:v>
      </x:c>
      <x:c r="K795" s="186" t="n">
        <x:v>35133</x:v>
      </x:c>
      <x:c r="L795" s="186" t="n">
        <x:f>J795-K795</x:f>
        <x:v>499</x:v>
      </x:c>
      <x:c r="M795" s="186" t="n">
        <x:v>31985</x:v>
      </x:c>
      <x:c r="N795" s="186" t="n">
        <x:v>35766</x:v>
      </x:c>
      <x:c r="O795" s="186" t="n">
        <x:f>M795-N795</x:f>
        <x:v>-3781</x:v>
      </x:c>
      <x:c r="P795" s="186" t="n">
        <x:v>21796</x:v>
      </x:c>
      <x:c r="Q795" s="186" t="n">
        <x:v>4691</x:v>
      </x:c>
      <x:c r="R795" s="186" t="n">
        <x:f>P795-Q795</x:f>
        <x:v>17105</x:v>
      </x:c>
      <x:c r="S795" s="186" t="n">
        <x:v>27349</x:v>
      </x:c>
      <x:c r="T795" s="186" t="n">
        <x:v>10324</x:v>
      </x:c>
      <x:c r="U795" s="186" t="n">
        <x:f>S795-T795</x:f>
        <x:v>17025</x:v>
      </x:c>
      <x:c r="V795" s="196" t="n">
        <x:f>IFERROR(O795/F795,"")</x:f>
        <x:v>-0.027472008486460173</x:v>
      </x:c>
      <x:c r="W795" s="196" t="n">
        <x:f>IFERROR(I795/F795,"")</x:f>
        <x:v>-0.22413555085700168</x:v>
      </x:c>
    </x:row>
    <x:row r="796">
      <x:c r="A796" s="186" t="str">
        <x:v>Gold</x:v>
      </x:c>
      <x:c r="B796" s="187" t="n">
        <x:v>45153</x:v>
      </x:c>
      <x:c r="C796" s="187" t="n">
        <x:v>45156</x:v>
      </x:c>
      <x:c r="D796" s="186" t="str">
        <x:v>088691-GOLD</x:v>
      </x:c>
      <x:c r="E796" s="186" t="str">
        <x:v>GOLD - COMMODITY EXCHANGE INC.</x:v>
      </x:c>
      <x:c r="F796" s="186" t="n">
        <x:v>433611</x:v>
      </x:c>
      <x:c r="G796" s="186" t="n">
        <x:v>17862</x:v>
      </x:c>
      <x:c r="H796" s="186" t="n">
        <x:v>39392</x:v>
      </x:c>
      <x:c r="I796" s="186" t="n">
        <x:f>G796-H796</x:f>
        <x:v>-21530</x:v>
      </x:c>
      <x:c r="J796" s="186" t="n">
        <x:v>86688</x:v>
      </x:c>
      <x:c r="K796" s="186" t="n">
        <x:v>207088</x:v>
      </x:c>
      <x:c r="L796" s="186" t="n">
        <x:f>J796-K796</x:f>
        <x:v>-120400</x:v>
      </x:c>
      <x:c r="M796" s="186" t="n">
        <x:v>113146</x:v>
      </x:c>
      <x:c r="N796" s="186" t="n">
        <x:v>83610</x:v>
      </x:c>
      <x:c r="O796" s="186" t="n">
        <x:f>M796-N796</x:f>
        <x:v>29536</x:v>
      </x:c>
      <x:c r="P796" s="186" t="n">
        <x:v>119932</x:v>
      </x:c>
      <x:c r="Q796" s="186" t="n">
        <x:v>28332</x:v>
      </x:c>
      <x:c r="R796" s="186" t="n">
        <x:f>P796-Q796</x:f>
        <x:v>91600</x:v>
      </x:c>
      <x:c r="S796" s="186" t="n">
        <x:v>44337</x:v>
      </x:c>
      <x:c r="T796" s="186" t="n">
        <x:v>23543</x:v>
      </x:c>
      <x:c r="U796" s="186" t="n">
        <x:f>S796-T796</x:f>
        <x:v>20794</x:v>
      </x:c>
      <x:c r="V796" s="196" t="n">
        <x:f>IFERROR(O796/F796,"")</x:f>
        <x:v>0.06811635313679773</x:v>
      </x:c>
      <x:c r="W796" s="196" t="n">
        <x:f>IFERROR(I796/F796,"")</x:f>
        <x:v>-0.04965279939853924</x:v>
      </x:c>
    </x:row>
    <x:row r="797">
      <x:c r="A797" s="186" t="str">
        <x:v>Silver</x:v>
      </x:c>
      <x:c r="B797" s="187" t="n">
        <x:v>45153</x:v>
      </x:c>
      <x:c r="C797" s="187" t="n">
        <x:v>45156</x:v>
      </x:c>
      <x:c r="D797" s="186" t="str">
        <x:v>084691-SILVER</x:v>
      </x:c>
      <x:c r="E797" s="186" t="str">
        <x:v>SILVER - COMMODITY EXCHANGE INC.</x:v>
      </x:c>
      <x:c r="F797" s="186" t="n">
        <x:v>138215</x:v>
      </x:c>
      <x:c r="G797" s="186" t="n">
        <x:v>3312</x:v>
      </x:c>
      <x:c r="H797" s="186" t="n">
        <x:v>32554</x:v>
      </x:c>
      <x:c r="I797" s="186" t="n">
        <x:f>G797-H797</x:f>
        <x:v>-29242</x:v>
      </x:c>
      <x:c r="J797" s="186" t="n">
        <x:v>36373</x:v>
      </x:c>
      <x:c r="K797" s="186" t="n">
        <x:v>30395</x:v>
      </x:c>
      <x:c r="L797" s="186" t="n">
        <x:f>J797-K797</x:f>
        <x:v>5978</x:v>
      </x:c>
      <x:c r="M797" s="186" t="n">
        <x:v>31710</x:v>
      </x:c>
      <x:c r="N797" s="186" t="n">
        <x:v>38380</x:v>
      </x:c>
      <x:c r="O797" s="186" t="n">
        <x:f>M797-N797</x:f>
        <x:v>-6670</x:v>
      </x:c>
      <x:c r="P797" s="186" t="n">
        <x:v>18982</x:v>
      </x:c>
      <x:c r="Q797" s="186" t="n">
        <x:v>4451</x:v>
      </x:c>
      <x:c r="R797" s="186" t="n">
        <x:f>P797-Q797</x:f>
        <x:v>14531</x:v>
      </x:c>
      <x:c r="S797" s="186" t="n">
        <x:v>28028</x:v>
      </x:c>
      <x:c r="T797" s="186" t="n">
        <x:v>12625</x:v>
      </x:c>
      <x:c r="U797" s="186" t="n">
        <x:f>S797-T797</x:f>
        <x:v>15403</x:v>
      </x:c>
      <x:c r="V797" s="196" t="n">
        <x:f>IFERROR(O797/F797,"")</x:f>
        <x:v>-0.04825814853670007</x:v>
      </x:c>
      <x:c r="W797" s="196" t="n">
        <x:f>IFERROR(I797/F797,"")</x:f>
        <x:v>-0.21156893246029737</x:v>
      </x:c>
    </x:row>
    <x:row r="798">
      <x:c r="A798" s="186" t="str">
        <x:v>Gold</x:v>
      </x:c>
      <x:c r="B798" s="187" t="n">
        <x:v>45160</x:v>
      </x:c>
      <x:c r="C798" s="187" t="n">
        <x:v>45163</x:v>
      </x:c>
      <x:c r="D798" s="186" t="str">
        <x:v>088691-GOLD</x:v>
      </x:c>
      <x:c r="E798" s="186" t="str">
        <x:v>GOLD - COMMODITY EXCHANGE INC.</x:v>
      </x:c>
      <x:c r="F798" s="186" t="n">
        <x:v>430239</x:v>
      </x:c>
      <x:c r="G798" s="186" t="n">
        <x:v>18338</x:v>
      </x:c>
      <x:c r="H798" s="186" t="n">
        <x:v>35940</x:v>
      </x:c>
      <x:c r="I798" s="186" t="n">
        <x:f>G798-H798</x:f>
        <x:v>-17602</x:v>
      </x:c>
      <x:c r="J798" s="186" t="n">
        <x:v>87166</x:v>
      </x:c>
      <x:c r="K798" s="186" t="n">
        <x:v>190600</x:v>
      </x:c>
      <x:c r="L798" s="186" t="n">
        <x:f>J798-K798</x:f>
        <x:v>-103434</x:v>
      </x:c>
      <x:c r="M798" s="186" t="n">
        <x:v>105085</x:v>
      </x:c>
      <x:c r="N798" s="186" t="n">
        <x:v>95976</x:v>
      </x:c>
      <x:c r="O798" s="186" t="n">
        <x:f>M798-N798</x:f>
        <x:v>9109</x:v>
      </x:c>
      <x:c r="P798" s="186" t="n">
        <x:v>121255</x:v>
      </x:c>
      <x:c r="Q798" s="186" t="n">
        <x:v>28418</x:v>
      </x:c>
      <x:c r="R798" s="186" t="n">
        <x:f>P798-Q798</x:f>
        <x:v>92837</x:v>
      </x:c>
      <x:c r="S798" s="186" t="n">
        <x:v>45312</x:v>
      </x:c>
      <x:c r="T798" s="186" t="n">
        <x:v>26222</x:v>
      </x:c>
      <x:c r="U798" s="186" t="n">
        <x:f>S798-T798</x:f>
        <x:v>19090</x:v>
      </x:c>
      <x:c r="V798" s="196" t="n">
        <x:f>IFERROR(O798/F798,"")</x:f>
        <x:v>0.021171953263186275</x:v>
      </x:c>
      <x:c r="W798" s="196" t="n">
        <x:f>IFERROR(I798/F798,"")</x:f>
        <x:v>-0.04091214418032768</x:v>
      </x:c>
    </x:row>
    <x:row r="799">
      <x:c r="A799" s="186" t="str">
        <x:v>Silver</x:v>
      </x:c>
      <x:c r="B799" s="187" t="n">
        <x:v>45160</x:v>
      </x:c>
      <x:c r="C799" s="187" t="n">
        <x:v>45163</x:v>
      </x:c>
      <x:c r="D799" s="186" t="str">
        <x:v>084691-SILVER</x:v>
      </x:c>
      <x:c r="E799" s="186" t="str">
        <x:v>SILVER - COMMODITY EXCHANGE INC.</x:v>
      </x:c>
      <x:c r="F799" s="186" t="n">
        <x:v>136680</x:v>
      </x:c>
      <x:c r="G799" s="186" t="n">
        <x:v>3897</x:v>
      </x:c>
      <x:c r="H799" s="186" t="n">
        <x:v>33557</x:v>
      </x:c>
      <x:c r="I799" s="186" t="n">
        <x:f>G799-H799</x:f>
        <x:v>-29660</x:v>
      </x:c>
      <x:c r="J799" s="186" t="n">
        <x:v>35609</x:v>
      </x:c>
      <x:c r="K799" s="186" t="n">
        <x:v>29753</x:v>
      </x:c>
      <x:c r="L799" s="186" t="n">
        <x:f>J799-K799</x:f>
        <x:v>5856</x:v>
      </x:c>
      <x:c r="M799" s="186" t="n">
        <x:v>36497</x:v>
      </x:c>
      <x:c r="N799" s="186" t="n">
        <x:v>35114</x:v>
      </x:c>
      <x:c r="O799" s="186" t="n">
        <x:f>M799-N799</x:f>
        <x:v>1383</x:v>
      </x:c>
      <x:c r="P799" s="186" t="n">
        <x:v>16470</x:v>
      </x:c>
      <x:c r="Q799" s="186" t="n">
        <x:v>4976</x:v>
      </x:c>
      <x:c r="R799" s="186" t="n">
        <x:f>P799-Q799</x:f>
        <x:v>11494</x:v>
      </x:c>
      <x:c r="S799" s="186" t="n">
        <x:v>24687</x:v>
      </x:c>
      <x:c r="T799" s="186" t="n">
        <x:v>13760</x:v>
      </x:c>
      <x:c r="U799" s="186" t="n">
        <x:f>S799-T799</x:f>
        <x:v>10927</x:v>
      </x:c>
      <x:c r="V799" s="196" t="n">
        <x:f>IFERROR(O799/F799,"")</x:f>
        <x:v>0.010118525021949078</x:v>
      </x:c>
      <x:c r="W799" s="196" t="n">
        <x:f>IFERROR(I799/F799,"")</x:f>
        <x:v>-0.217003219198127</x:v>
      </x:c>
    </x:row>
    <x:row r="800">
      <x:c r="A800" s="186" t="str">
        <x:v>Gold</x:v>
      </x:c>
      <x:c r="B800" s="187" t="n">
        <x:v>45167</x:v>
      </x:c>
      <x:c r="C800" s="187" t="n">
        <x:v>45170</x:v>
      </x:c>
      <x:c r="D800" s="186" t="str">
        <x:v>088691-GOLD</x:v>
      </x:c>
      <x:c r="E800" s="186" t="str">
        <x:v>GOLD - COMMODITY EXCHANGE INC.</x:v>
      </x:c>
      <x:c r="F800" s="186" t="n">
        <x:v>442806</x:v>
      </x:c>
      <x:c r="G800" s="186" t="n">
        <x:v>20564</x:v>
      </x:c>
      <x:c r="H800" s="186" t="n">
        <x:v>41031</x:v>
      </x:c>
      <x:c r="I800" s="186" t="n">
        <x:f>G800-H800</x:f>
        <x:v>-20467</x:v>
      </x:c>
      <x:c r="J800" s="186" t="n">
        <x:v>83759</x:v>
      </x:c>
      <x:c r="K800" s="186" t="n">
        <x:v>203886</x:v>
      </x:c>
      <x:c r="L800" s="186" t="n">
        <x:f>J800-K800</x:f>
        <x:v>-120127</x:v>
      </x:c>
      <x:c r="M800" s="186" t="n">
        <x:v>120609</x:v>
      </x:c>
      <x:c r="N800" s="186" t="n">
        <x:v>81367</x:v>
      </x:c>
      <x:c r="O800" s="186" t="n">
        <x:f>M800-N800</x:f>
        <x:v>39242</x:v>
      </x:c>
      <x:c r="P800" s="186" t="n">
        <x:v>115445</x:v>
      </x:c>
      <x:c r="Q800" s="186" t="n">
        <x:v>31415</x:v>
      </x:c>
      <x:c r="R800" s="186" t="n">
        <x:f>P800-Q800</x:f>
        <x:v>84030</x:v>
      </x:c>
      <x:c r="S800" s="186" t="n">
        <x:v>43767</x:v>
      </x:c>
      <x:c r="T800" s="186" t="n">
        <x:v>26445</x:v>
      </x:c>
      <x:c r="U800" s="186" t="n">
        <x:f>S800-T800</x:f>
        <x:v>17322</x:v>
      </x:c>
      <x:c r="V800" s="196" t="n">
        <x:f>IFERROR(O800/F800,"")</x:f>
        <x:v>0.08862120206139935</x:v>
      </x:c>
      <x:c r="W800" s="196" t="n">
        <x:f>IFERROR(I800/F800,"")</x:f>
        <x:v>-0.04622114424827125</x:v>
      </x:c>
    </x:row>
    <x:row r="801">
      <x:c r="A801" s="186" t="str">
        <x:v>Silver</x:v>
      </x:c>
      <x:c r="B801" s="187" t="n">
        <x:v>45167</x:v>
      </x:c>
      <x:c r="C801" s="187" t="n">
        <x:v>45170</x:v>
      </x:c>
      <x:c r="D801" s="186" t="str">
        <x:v>084691-SILVER</x:v>
      </x:c>
      <x:c r="E801" s="186" t="str">
        <x:v>SILVER - COMMODITY EXCHANGE INC.</x:v>
      </x:c>
      <x:c r="F801" s="186" t="n">
        <x:v>134993</x:v>
      </x:c>
      <x:c r="G801" s="186" t="n">
        <x:v>3386</x:v>
      </x:c>
      <x:c r="H801" s="186" t="n">
        <x:v>35851</x:v>
      </x:c>
      <x:c r="I801" s="186" t="n">
        <x:f>G801-H801</x:f>
        <x:v>-32465</x:v>
      </x:c>
      <x:c r="J801" s="186" t="n">
        <x:v>33732</x:v>
      </x:c>
      <x:c r="K801" s="186" t="n">
        <x:v>37043</x:v>
      </x:c>
      <x:c r="L801" s="186" t="n">
        <x:f>J801-K801</x:f>
        <x:v>-3311</x:v>
      </x:c>
      <x:c r="M801" s="186" t="n">
        <x:v>43477</x:v>
      </x:c>
      <x:c r="N801" s="186" t="n">
        <x:v>26998</x:v>
      </x:c>
      <x:c r="O801" s="186" t="n">
        <x:f>M801-N801</x:f>
        <x:v>16479</x:v>
      </x:c>
      <x:c r="P801" s="186" t="n">
        <x:v>18267</x:v>
      </x:c>
      <x:c r="Q801" s="186" t="n">
        <x:v>7613</x:v>
      </x:c>
      <x:c r="R801" s="186" t="n">
        <x:f>P801-Q801</x:f>
        <x:v>10654</x:v>
      </x:c>
      <x:c r="S801" s="186" t="n">
        <x:v>21883</x:v>
      </x:c>
      <x:c r="T801" s="186" t="n">
        <x:v>13240</x:v>
      </x:c>
      <x:c r="U801" s="186" t="n">
        <x:f>S801-T801</x:f>
        <x:v>8643</x:v>
      </x:c>
      <x:c r="V801" s="196" t="n">
        <x:f>IFERROR(O801/F801,"")</x:f>
        <x:v>0.12207299637758995</x:v>
      </x:c>
      <x:c r="W801" s="196" t="n">
        <x:f>IFERROR(I801/F801,"")</x:f>
        <x:v>-0.24049395153822792</x:v>
      </x:c>
    </x:row>
    <x:row r="802">
      <x:c r="A802" s="186" t="str">
        <x:v>Gold</x:v>
      </x:c>
      <x:c r="B802" s="187" t="n">
        <x:v>45174</x:v>
      </x:c>
      <x:c r="C802" s="187" t="n">
        <x:v>45177</x:v>
      </x:c>
      <x:c r="D802" s="186" t="str">
        <x:v>088691-GOLD</x:v>
      </x:c>
      <x:c r="E802" s="186" t="str">
        <x:v>GOLD - COMMODITY EXCHANGE INC.</x:v>
      </x:c>
      <x:c r="F802" s="186" t="n">
        <x:v>438672</x:v>
      </x:c>
      <x:c r="G802" s="186" t="n">
        <x:v>17994</x:v>
      </x:c>
      <x:c r="H802" s="186" t="n">
        <x:v>42368</x:v>
      </x:c>
      <x:c r="I802" s="186" t="n">
        <x:f>G802-H802</x:f>
        <x:v>-24374</x:v>
      </x:c>
      <x:c r="J802" s="186" t="n">
        <x:v>81715</x:v>
      </x:c>
      <x:c r="K802" s="186" t="n">
        <x:v>215580</x:v>
      </x:c>
      <x:c r="L802" s="186" t="n">
        <x:f>J802-K802</x:f>
        <x:v>-133865</x:v>
      </x:c>
      <x:c r="M802" s="186" t="n">
        <x:v>120222</x:v>
      </x:c>
      <x:c r="N802" s="186" t="n">
        <x:v>69857</x:v>
      </x:c>
      <x:c r="O802" s="186" t="n">
        <x:f>M802-N802</x:f>
        <x:v>50365</x:v>
      </x:c>
      <x:c r="P802" s="186" t="n">
        <x:v>115580</x:v>
      </x:c>
      <x:c r="Q802" s="186" t="n">
        <x:v>27939</x:v>
      </x:c>
      <x:c r="R802" s="186" t="n">
        <x:f>P802-Q802</x:f>
        <x:v>87641</x:v>
      </x:c>
      <x:c r="S802" s="186" t="n">
        <x:v>45966</x:v>
      </x:c>
      <x:c r="T802" s="186" t="n">
        <x:v>25733</x:v>
      </x:c>
      <x:c r="U802" s="186" t="n">
        <x:f>S802-T802</x:f>
        <x:v>20233</x:v>
      </x:c>
      <x:c r="V802" s="196" t="n">
        <x:f>IFERROR(O802/F802,"")</x:f>
        <x:v>0.11481243389138127</x:v>
      </x:c>
      <x:c r="W802" s="196" t="n">
        <x:f>IFERROR(I802/F802,"")</x:f>
        <x:v>-0.05556315424736477</x:v>
      </x:c>
    </x:row>
    <x:row r="803">
      <x:c r="A803" s="186" t="str">
        <x:v>Silver</x:v>
      </x:c>
      <x:c r="B803" s="187" t="n">
        <x:v>45174</x:v>
      </x:c>
      <x:c r="C803" s="187" t="n">
        <x:v>45177</x:v>
      </x:c>
      <x:c r="D803" s="186" t="str">
        <x:v>084691-SILVER</x:v>
      </x:c>
      <x:c r="E803" s="186" t="str">
        <x:v>SILVER - COMMODITY EXCHANGE INC.</x:v>
      </x:c>
      <x:c r="F803" s="186" t="n">
        <x:v>128279</x:v>
      </x:c>
      <x:c r="G803" s="186" t="n">
        <x:v>3389</x:v>
      </x:c>
      <x:c r="H803" s="186" t="n">
        <x:v>34909</x:v>
      </x:c>
      <x:c r="I803" s="186" t="n">
        <x:f>G803-H803</x:f>
        <x:v>-31520</x:v>
      </x:c>
      <x:c r="J803" s="186" t="n">
        <x:v>32833</x:v>
      </x:c>
      <x:c r="K803" s="186" t="n">
        <x:v>39021</x:v>
      </x:c>
      <x:c r="L803" s="186" t="n">
        <x:f>J803-K803</x:f>
        <x:v>-6188</x:v>
      </x:c>
      <x:c r="M803" s="186" t="n">
        <x:v>38143</x:v>
      </x:c>
      <x:c r="N803" s="186" t="n">
        <x:v>24795</x:v>
      </x:c>
      <x:c r="O803" s="186" t="n">
        <x:f>M803-N803</x:f>
        <x:v>13348</x:v>
      </x:c>
      <x:c r="P803" s="186" t="n">
        <x:v>19415</x:v>
      </x:c>
      <x:c r="Q803" s="186" t="n">
        <x:v>5959</x:v>
      </x:c>
      <x:c r="R803" s="186" t="n">
        <x:f>P803-Q803</x:f>
        <x:v>13456</x:v>
      </x:c>
      <x:c r="S803" s="186" t="n">
        <x:v>23814</x:v>
      </x:c>
      <x:c r="T803" s="186" t="n">
        <x:v>12910</x:v>
      </x:c>
      <x:c r="U803" s="186" t="n">
        <x:f>S803-T803</x:f>
        <x:v>10904</x:v>
      </x:c>
      <x:c r="V803" s="196" t="n">
        <x:f>IFERROR(O803/F803,"")</x:f>
        <x:v>0.10405444382946546</x:v>
      </x:c>
      <x:c r="W803" s="196" t="n">
        <x:f>IFERROR(I803/F803,"")</x:f>
        <x:v>-0.24571441935156962</x:v>
      </x:c>
    </x:row>
    <x:row r="804">
      <x:c r="A804" s="186" t="str">
        <x:v>Gold</x:v>
      </x:c>
      <x:c r="B804" s="187" t="n">
        <x:v>45181</x:v>
      </x:c>
      <x:c r="C804" s="187" t="n">
        <x:v>45184</x:v>
      </x:c>
      <x:c r="D804" s="186" t="str">
        <x:v>088691-GOLD</x:v>
      </x:c>
      <x:c r="E804" s="186" t="str">
        <x:v>GOLD - COMMODITY EXCHANGE INC.</x:v>
      </x:c>
      <x:c r="F804" s="186" t="n">
        <x:v>441221</x:v>
      </x:c>
      <x:c r="G804" s="186" t="n">
        <x:v>17361</x:v>
      </x:c>
      <x:c r="H804" s="186" t="n">
        <x:v>39709</x:v>
      </x:c>
      <x:c r="I804" s="186" t="n">
        <x:f>G804-H804</x:f>
        <x:v>-22348</x:v>
      </x:c>
      <x:c r="J804" s="186" t="n">
        <x:v>83274</x:v>
      </x:c>
      <x:c r="K804" s="186" t="n">
        <x:v>205736</x:v>
      </x:c>
      <x:c r="L804" s="186" t="n">
        <x:f>J804-K804</x:f>
        <x:v>-122462</x:v>
      </x:c>
      <x:c r="M804" s="186" t="n">
        <x:v>117737</x:v>
      </x:c>
      <x:c r="N804" s="186" t="n">
        <x:v>83166</x:v>
      </x:c>
      <x:c r="O804" s="186" t="n">
        <x:f>M804-N804</x:f>
        <x:v>34571</x:v>
      </x:c>
      <x:c r="P804" s="186" t="n">
        <x:v>117967</x:v>
      </x:c>
      <x:c r="Q804" s="186" t="n">
        <x:v>28674</x:v>
      </x:c>
      <x:c r="R804" s="186" t="n">
        <x:f>P804-Q804</x:f>
        <x:v>89293</x:v>
      </x:c>
      <x:c r="S804" s="186" t="n">
        <x:v>46740</x:v>
      </x:c>
      <x:c r="T804" s="186" t="n">
        <x:v>25794</x:v>
      </x:c>
      <x:c r="U804" s="186" t="n">
        <x:f>S804-T804</x:f>
        <x:v>20946</x:v>
      </x:c>
      <x:c r="V804" s="196" t="n">
        <x:f>IFERROR(O804/F804,"")</x:f>
        <x:v>0.07835302490135329</x:v>
      </x:c>
      <x:c r="W804" s="196" t="n">
        <x:f>IFERROR(I804/F804,"")</x:f>
        <x:v>-0.050650354357566846</x:v>
      </x:c>
    </x:row>
    <x:row r="805">
      <x:c r="A805" s="186" t="str">
        <x:v>Silver</x:v>
      </x:c>
      <x:c r="B805" s="187" t="n">
        <x:v>45181</x:v>
      </x:c>
      <x:c r="C805" s="187" t="n">
        <x:v>45184</x:v>
      </x:c>
      <x:c r="D805" s="186" t="str">
        <x:v>084691-SILVER</x:v>
      </x:c>
      <x:c r="E805" s="186" t="str">
        <x:v>SILVER - COMMODITY EXCHANGE INC.</x:v>
      </x:c>
      <x:c r="F805" s="186" t="n">
        <x:v>125292</x:v>
      </x:c>
      <x:c r="G805" s="186" t="n">
        <x:v>3201</x:v>
      </x:c>
      <x:c r="H805" s="186" t="n">
        <x:v>32511</x:v>
      </x:c>
      <x:c r="I805" s="186" t="n">
        <x:f>G805-H805</x:f>
        <x:v>-29310</x:v>
      </x:c>
      <x:c r="J805" s="186" t="n">
        <x:v>32681</x:v>
      </x:c>
      <x:c r="K805" s="186" t="n">
        <x:v>35411</x:v>
      </x:c>
      <x:c r="L805" s="186" t="n">
        <x:f>J805-K805</x:f>
        <x:v>-2730</x:v>
      </x:c>
      <x:c r="M805" s="186" t="n">
        <x:v>31715</x:v>
      </x:c>
      <x:c r="N805" s="186" t="n">
        <x:v>31147</x:v>
      </x:c>
      <x:c r="O805" s="186" t="n">
        <x:f>M805-N805</x:f>
        <x:v>568</x:v>
      </x:c>
      <x:c r="P805" s="186" t="n">
        <x:v>21248</x:v>
      </x:c>
      <x:c r="Q805" s="186" t="n">
        <x:v>3783</x:v>
      </x:c>
      <x:c r="R805" s="186" t="n">
        <x:f>P805-Q805</x:f>
        <x:v>17465</x:v>
      </x:c>
      <x:c r="S805" s="186" t="n">
        <x:v>26427</x:v>
      </x:c>
      <x:c r="T805" s="186" t="n">
        <x:v>12420</x:v>
      </x:c>
      <x:c r="U805" s="186" t="n">
        <x:f>S805-T805</x:f>
        <x:v>14007</x:v>
      </x:c>
      <x:c r="V805" s="196" t="n">
        <x:f>IFERROR(O805/F805,"")</x:f>
        <x:v>0.004533409954346646</x:v>
      </x:c>
      <x:c r="W805" s="196" t="n">
        <x:f>IFERROR(I805/F805,"")</x:f>
        <x:v>-0.23393353127095107</x:v>
      </x:c>
    </x:row>
    <x:row r="806">
      <x:c r="A806" s="186" t="str">
        <x:v>Gold</x:v>
      </x:c>
      <x:c r="B806" s="187" t="n">
        <x:v>45188</x:v>
      </x:c>
      <x:c r="C806" s="187" t="n">
        <x:v>45191</x:v>
      </x:c>
      <x:c r="D806" s="186" t="str">
        <x:v>088691-GOLD</x:v>
      </x:c>
      <x:c r="E806" s="186" t="str">
        <x:v>GOLD - COMMODITY EXCHANGE INC.</x:v>
      </x:c>
      <x:c r="F806" s="186" t="n">
        <x:v>438078</x:v>
      </x:c>
      <x:c r="G806" s="186" t="n">
        <x:v>15305</x:v>
      </x:c>
      <x:c r="H806" s="186" t="n">
        <x:v>40593</x:v>
      </x:c>
      <x:c r="I806" s="186" t="n">
        <x:f>G806-H806</x:f>
        <x:v>-25288</x:v>
      </x:c>
      <x:c r="J806" s="186" t="n">
        <x:v>82606</x:v>
      </x:c>
      <x:c r="K806" s="186" t="n">
        <x:v>210250</x:v>
      </x:c>
      <x:c r="L806" s="186" t="n">
        <x:f>J806-K806</x:f>
        <x:v>-127644</x:v>
      </x:c>
      <x:c r="M806" s="186" t="n">
        <x:v>121172</x:v>
      </x:c>
      <x:c r="N806" s="186" t="n">
        <x:v>73782</x:v>
      </x:c>
      <x:c r="O806" s="186" t="n">
        <x:f>M806-N806</x:f>
        <x:v>47390</x:v>
      </x:c>
      <x:c r="P806" s="186" t="n">
        <x:v>116544</x:v>
      </x:c>
      <x:c r="Q806" s="186" t="n">
        <x:v>28771</x:v>
      </x:c>
      <x:c r="R806" s="186" t="n">
        <x:f>P806-Q806</x:f>
        <x:v>87773</x:v>
      </x:c>
      <x:c r="S806" s="186" t="n">
        <x:v>43921</x:v>
      </x:c>
      <x:c r="T806" s="186" t="n">
        <x:v>26152</x:v>
      </x:c>
      <x:c r="U806" s="186" t="n">
        <x:f>S806-T806</x:f>
        <x:v>17769</x:v>
      </x:c>
      <x:c r="V806" s="196" t="n">
        <x:f>IFERROR(O806/F806,"")</x:f>
        <x:v>0.10817708261999005</x:v>
      </x:c>
      <x:c r="W806" s="196" t="n">
        <x:f>IFERROR(I806/F806,"")</x:f>
        <x:v>-0.057724880044193044</x:v>
      </x:c>
    </x:row>
    <x:row r="807">
      <x:c r="A807" s="186" t="str">
        <x:v>Silver</x:v>
      </x:c>
      <x:c r="B807" s="187" t="n">
        <x:v>45188</x:v>
      </x:c>
      <x:c r="C807" s="187" t="n">
        <x:v>45191</x:v>
      </x:c>
      <x:c r="D807" s="186" t="str">
        <x:v>084691-SILVER</x:v>
      </x:c>
      <x:c r="E807" s="186" t="str">
        <x:v>SILVER - COMMODITY EXCHANGE INC.</x:v>
      </x:c>
      <x:c r="F807" s="186" t="n">
        <x:v>125749</x:v>
      </x:c>
      <x:c r="G807" s="186" t="n">
        <x:v>4017</x:v>
      </x:c>
      <x:c r="H807" s="186" t="n">
        <x:v>31819</x:v>
      </x:c>
      <x:c r="I807" s="186" t="n">
        <x:f>G807-H807</x:f>
        <x:v>-27802</x:v>
      </x:c>
      <x:c r="J807" s="186" t="n">
        <x:v>32878</x:v>
      </x:c>
      <x:c r="K807" s="186" t="n">
        <x:v>34863</x:v>
      </x:c>
      <x:c r="L807" s="186" t="n">
        <x:f>J807-K807</x:f>
        <x:v>-1985</x:v>
      </x:c>
      <x:c r="M807" s="186" t="n">
        <x:v>32700</x:v>
      </x:c>
      <x:c r="N807" s="186" t="n">
        <x:v>31346</x:v>
      </x:c>
      <x:c r="O807" s="186" t="n">
        <x:f>M807-N807</x:f>
        <x:v>1354</x:v>
      </x:c>
      <x:c r="P807" s="186" t="n">
        <x:v>17999</x:v>
      </x:c>
      <x:c r="Q807" s="186" t="n">
        <x:v>4122</x:v>
      </x:c>
      <x:c r="R807" s="186" t="n">
        <x:f>P807-Q807</x:f>
        <x:v>13877</x:v>
      </x:c>
      <x:c r="S807" s="186" t="n">
        <x:v>26201</x:v>
      </x:c>
      <x:c r="T807" s="186" t="n">
        <x:v>11645</x:v>
      </x:c>
      <x:c r="U807" s="186" t="n">
        <x:f>S807-T807</x:f>
        <x:v>14556</x:v>
      </x:c>
      <x:c r="V807" s="196" t="n">
        <x:f>IFERROR(O807/F807,"")</x:f>
        <x:v>0.010767481252336003</x:v>
      </x:c>
      <x:c r="W807" s="196" t="n">
        <x:f>IFERROR(I807/F807,"")</x:f>
        <x:v>-0.22109122140136303</x:v>
      </x:c>
    </x:row>
    <x:row r="808">
      <x:c r="A808" s="186" t="str">
        <x:v>Gold</x:v>
      </x:c>
      <x:c r="B808" s="187" t="n">
        <x:v>45195</x:v>
      </x:c>
      <x:c r="C808" s="187" t="n">
        <x:v>45198</x:v>
      </x:c>
      <x:c r="D808" s="186" t="str">
        <x:v>088691-GOLD</x:v>
      </x:c>
      <x:c r="E808" s="186" t="str">
        <x:v>GOLD - COMMODITY EXCHANGE INC.</x:v>
      </x:c>
      <x:c r="F808" s="186" t="n">
        <x:v>435620</x:v>
      </x:c>
      <x:c r="G808" s="186" t="n">
        <x:v>13152</x:v>
      </x:c>
      <x:c r="H808" s="186" t="n">
        <x:v>39819</x:v>
      </x:c>
      <x:c r="I808" s="186" t="n">
        <x:f>G808-H808</x:f>
        <x:v>-26667</x:v>
      </x:c>
      <x:c r="J808" s="186" t="n">
        <x:v>88126</x:v>
      </x:c>
      <x:c r="K808" s="186" t="n">
        <x:v>196295</x:v>
      </x:c>
      <x:c r="L808" s="186" t="n">
        <x:f>J808-K808</x:f>
        <x:v>-108169</x:v>
      </x:c>
      <x:c r="M808" s="186" t="n">
        <x:v>114668</x:v>
      </x:c>
      <x:c r="N808" s="186" t="n">
        <x:v>91230</x:v>
      </x:c>
      <x:c r="O808" s="186" t="n">
        <x:f>M808-N808</x:f>
        <x:v>23438</x:v>
      </x:c>
      <x:c r="P808" s="186" t="n">
        <x:v>120892</x:v>
      </x:c>
      <x:c r="Q808" s="186" t="n">
        <x:v>28515</x:v>
      </x:c>
      <x:c r="R808" s="186" t="n">
        <x:f>P808-Q808</x:f>
        <x:v>92377</x:v>
      </x:c>
      <x:c r="S808" s="186" t="n">
        <x:v>45213</x:v>
      </x:c>
      <x:c r="T808" s="186" t="n">
        <x:v>26192</x:v>
      </x:c>
      <x:c r="U808" s="186" t="n">
        <x:f>S808-T808</x:f>
        <x:v>19021</x:v>
      </x:c>
      <x:c r="V808" s="196" t="n">
        <x:f>IFERROR(O808/F808,"")</x:f>
        <x:v>0.05380377393140811</x:v>
      </x:c>
      <x:c r="W808" s="196" t="n">
        <x:f>IFERROR(I808/F808,"")</x:f>
        <x:v>-0.061216197603415824</x:v>
      </x:c>
    </x:row>
    <x:row r="809">
      <x:c r="A809" s="186" t="str">
        <x:v>Silver</x:v>
      </x:c>
      <x:c r="B809" s="187" t="n">
        <x:v>45195</x:v>
      </x:c>
      <x:c r="C809" s="187" t="n">
        <x:v>45198</x:v>
      </x:c>
      <x:c r="D809" s="186" t="str">
        <x:v>084691-SILVER</x:v>
      </x:c>
      <x:c r="E809" s="186" t="str">
        <x:v>SILVER - COMMODITY EXCHANGE INC.</x:v>
      </x:c>
      <x:c r="F809" s="186" t="n">
        <x:v>126206</x:v>
      </x:c>
      <x:c r="G809" s="186" t="n">
        <x:v>3583</x:v>
      </x:c>
      <x:c r="H809" s="186" t="n">
        <x:v>31776</x:v>
      </x:c>
      <x:c r="I809" s="186" t="n">
        <x:f>G809-H809</x:f>
        <x:v>-28193</x:v>
      </x:c>
      <x:c r="J809" s="186" t="n">
        <x:v>32350</x:v>
      </x:c>
      <x:c r="K809" s="186" t="n">
        <x:v>37237</x:v>
      </x:c>
      <x:c r="L809" s="186" t="n">
        <x:f>J809-K809</x:f>
        <x:v>-4887</x:v>
      </x:c>
      <x:c r="M809" s="186" t="n">
        <x:v>32719</x:v>
      </x:c>
      <x:c r="N809" s="186" t="n">
        <x:v>27452</x:v>
      </x:c>
      <x:c r="O809" s="186" t="n">
        <x:f>M809-N809</x:f>
        <x:v>5267</x:v>
      </x:c>
      <x:c r="P809" s="186" t="n">
        <x:v>18820</x:v>
      </x:c>
      <x:c r="Q809" s="186" t="n">
        <x:v>3982</x:v>
      </x:c>
      <x:c r="R809" s="186" t="n">
        <x:f>P809-Q809</x:f>
        <x:v>14838</x:v>
      </x:c>
      <x:c r="S809" s="186" t="n">
        <x:v>25601</x:v>
      </x:c>
      <x:c r="T809" s="186" t="n">
        <x:v>12626</x:v>
      </x:c>
      <x:c r="U809" s="186" t="n">
        <x:f>S809-T809</x:f>
        <x:v>12975</x:v>
      </x:c>
      <x:c r="V809" s="196" t="n">
        <x:f>IFERROR(O809/F809,"")</x:f>
        <x:v>0.041733356575757094</x:v>
      </x:c>
      <x:c r="W809" s="196" t="n">
        <x:f>IFERROR(I809/F809,"")</x:f>
        <x:v>-0.22338874538453005</x:v>
      </x:c>
    </x:row>
    <x:row r="810">
      <x:c r="A810" s="186" t="str">
        <x:v>Gold</x:v>
      </x:c>
      <x:c r="B810" s="187" t="n">
        <x:v>45202</x:v>
      </x:c>
      <x:c r="C810" s="187" t="n">
        <x:v>45205</x:v>
      </x:c>
      <x:c r="D810" s="186" t="str">
        <x:v>088691-GOLD</x:v>
      </x:c>
      <x:c r="E810" s="186" t="str">
        <x:v>GOLD - COMMODITY EXCHANGE INC.</x:v>
      </x:c>
      <x:c r="F810" s="186" t="n">
        <x:v>431226</x:v>
      </x:c>
      <x:c r="G810" s="186" t="n">
        <x:v>16614</x:v>
      </x:c>
      <x:c r="H810" s="186" t="n">
        <x:v>38810</x:v>
      </x:c>
      <x:c r="I810" s="186" t="n">
        <x:f>G810-H810</x:f>
        <x:v>-22196</x:v>
      </x:c>
      <x:c r="J810" s="186" t="n">
        <x:v>85747</x:v>
      </x:c>
      <x:c r="K810" s="186" t="n">
        <x:v>175533</x:v>
      </x:c>
      <x:c r="L810" s="186" t="n">
        <x:f>J810-K810</x:f>
        <x:v>-89786</x:v>
      </x:c>
      <x:c r="M810" s="186" t="n">
        <x:v>100500</x:v>
      </x:c>
      <x:c r="N810" s="186" t="n">
        <x:v>108061</x:v>
      </x:c>
      <x:c r="O810" s="186" t="n">
        <x:f>M810-N810</x:f>
        <x:v>-7561</x:v>
      </x:c>
      <x:c r="P810" s="186" t="n">
        <x:v>127906</x:v>
      </x:c>
      <x:c r="Q810" s="186" t="n">
        <x:v>29119</x:v>
      </x:c>
      <x:c r="R810" s="186" t="n">
        <x:f>P810-Q810</x:f>
        <x:v>98787</x:v>
      </x:c>
      <x:c r="S810" s="186" t="n">
        <x:v>45256</x:v>
      </x:c>
      <x:c r="T810" s="186" t="n">
        <x:v>24500</x:v>
      </x:c>
      <x:c r="U810" s="186" t="n">
        <x:f>S810-T810</x:f>
        <x:v>20756</x:v>
      </x:c>
      <x:c r="V810" s="196" t="n">
        <x:f>IFERROR(O810/F810,"")</x:f>
        <x:v>-0.017533729413347063</x:v>
      </x:c>
      <x:c r="W810" s="196" t="n">
        <x:f>IFERROR(I810/F810,"")</x:f>
        <x:v>-0.05147185002759574</x:v>
      </x:c>
    </x:row>
    <x:row r="811">
      <x:c r="A811" s="186" t="str">
        <x:v>Silver</x:v>
      </x:c>
      <x:c r="B811" s="187" t="n">
        <x:v>45202</x:v>
      </x:c>
      <x:c r="C811" s="187" t="n">
        <x:v>45205</x:v>
      </x:c>
      <x:c r="D811" s="186" t="str">
        <x:v>084691-SILVER</x:v>
      </x:c>
      <x:c r="E811" s="186" t="str">
        <x:v>SILVER - COMMODITY EXCHANGE INC.</x:v>
      </x:c>
      <x:c r="F811" s="186" t="n">
        <x:v>125847</x:v>
      </x:c>
      <x:c r="G811" s="186" t="n">
        <x:v>3322</x:v>
      </x:c>
      <x:c r="H811" s="186" t="n">
        <x:v>31880</x:v>
      </x:c>
      <x:c r="I811" s="186" t="n">
        <x:f>G811-H811</x:f>
        <x:v>-28558</x:v>
      </x:c>
      <x:c r="J811" s="186" t="n">
        <x:v>31133</x:v>
      </x:c>
      <x:c r="K811" s="186" t="n">
        <x:v>32933</x:v>
      </x:c>
      <x:c r="L811" s="186" t="n">
        <x:f>J811-K811</x:f>
        <x:v>-1800</x:v>
      </x:c>
      <x:c r="M811" s="186" t="n">
        <x:v>29421</x:v>
      </x:c>
      <x:c r="N811" s="186" t="n">
        <x:v>31671</x:v>
      </x:c>
      <x:c r="O811" s="186" t="n">
        <x:f>M811-N811</x:f>
        <x:v>-2250</x:v>
      </x:c>
      <x:c r="P811" s="186" t="n">
        <x:v>21984</x:v>
      </x:c>
      <x:c r="Q811" s="186" t="n">
        <x:v>4390</x:v>
      </x:c>
      <x:c r="R811" s="186" t="n">
        <x:f>P811-Q811</x:f>
        <x:v>17594</x:v>
      </x:c>
      <x:c r="S811" s="186" t="n">
        <x:v>28386</x:v>
      </x:c>
      <x:c r="T811" s="186" t="n">
        <x:v>13372</x:v>
      </x:c>
      <x:c r="U811" s="186" t="n">
        <x:f>S811-T811</x:f>
        <x:v>15014</x:v>
      </x:c>
      <x:c r="V811" s="196" t="n">
        <x:f>IFERROR(O811/F811,"")</x:f>
        <x:v>-0.0178788528927984</x:v>
      </x:c>
      <x:c r="W811" s="196" t="n">
        <x:f>IFERROR(I811/F811,"")</x:f>
        <x:v>-0.22692634707223852</x:v>
      </x:c>
    </x:row>
    <x:row r="812">
      <x:c r="A812" s="186" t="str">
        <x:v>Gold</x:v>
      </x:c>
      <x:c r="B812" s="187" t="n">
        <x:v>45209</x:v>
      </x:c>
      <x:c r="C812" s="187" t="n">
        <x:v>45212</x:v>
      </x:c>
      <x:c r="D812" s="186" t="str">
        <x:v>088691-GOLD</x:v>
      </x:c>
      <x:c r="E812" s="186" t="str">
        <x:v>GOLD - COMMODITY EXCHANGE INC.</x:v>
      </x:c>
      <x:c r="F812" s="186" t="n">
        <x:v>436499</x:v>
      </x:c>
      <x:c r="G812" s="186" t="n">
        <x:v>19010</x:v>
      </x:c>
      <x:c r="H812" s="186" t="n">
        <x:v>37437</x:v>
      </x:c>
      <x:c r="I812" s="186" t="n">
        <x:f>G812-H812</x:f>
        <x:v>-18427</x:v>
      </x:c>
      <x:c r="J812" s="186" t="n">
        <x:v>91619</x:v>
      </x:c>
      <x:c r="K812" s="186" t="n">
        <x:v>163620</x:v>
      </x:c>
      <x:c r="L812" s="186" t="n">
        <x:f>J812-K812</x:f>
        <x:v>-72001</x:v>
      </x:c>
      <x:c r="M812" s="186" t="n">
        <x:v>93934</x:v>
      </x:c>
      <x:c r="N812" s="186" t="n">
        <x:v>120701</x:v>
      </x:c>
      <x:c r="O812" s="186" t="n">
        <x:f>M812-N812</x:f>
        <x:v>-26767</x:v>
      </x:c>
      <x:c r="P812" s="186" t="n">
        <x:v>126398</x:v>
      </x:c>
      <x:c r="Q812" s="186" t="n">
        <x:v>28198</x:v>
      </x:c>
      <x:c r="R812" s="186" t="n">
        <x:f>P812-Q812</x:f>
        <x:v>98200</x:v>
      </x:c>
      <x:c r="S812" s="186" t="n">
        <x:v>44470</x:v>
      </x:c>
      <x:c r="T812" s="186" t="n">
        <x:v>25475</x:v>
      </x:c>
      <x:c r="U812" s="186" t="n">
        <x:f>S812-T812</x:f>
        <x:v>18995</x:v>
      </x:c>
      <x:c r="V812" s="196" t="n">
        <x:f>IFERROR(O812/F812,"")</x:f>
        <x:v>-0.06132201906533578</x:v>
      </x:c>
      <x:c r="W812" s="196" t="n">
        <x:f>IFERROR(I812/F812,"")</x:f>
        <x:v>-0.04221544608349618</x:v>
      </x:c>
    </x:row>
    <x:row r="813">
      <x:c r="A813" s="186" t="str">
        <x:v>Silver</x:v>
      </x:c>
      <x:c r="B813" s="187" t="n">
        <x:v>45209</x:v>
      </x:c>
      <x:c r="C813" s="187" t="n">
        <x:v>45212</x:v>
      </x:c>
      <x:c r="D813" s="186" t="str">
        <x:v>084691-SILVER</x:v>
      </x:c>
      <x:c r="E813" s="186" t="str">
        <x:v>SILVER - COMMODITY EXCHANGE INC.</x:v>
      </x:c>
      <x:c r="F813" s="186" t="n">
        <x:v>126971</x:v>
      </x:c>
      <x:c r="G813" s="186" t="n">
        <x:v>4035</x:v>
      </x:c>
      <x:c r="H813" s="186" t="n">
        <x:v>32567</x:v>
      </x:c>
      <x:c r="I813" s="186" t="n">
        <x:f>G813-H813</x:f>
        <x:v>-28532</x:v>
      </x:c>
      <x:c r="J813" s="186" t="n">
        <x:v>32828</x:v>
      </x:c>
      <x:c r="K813" s="186" t="n">
        <x:v>30514</x:v>
      </x:c>
      <x:c r="L813" s="186" t="n">
        <x:f>J813-K813</x:f>
        <x:v>2314</x:v>
      </x:c>
      <x:c r="M813" s="186" t="n">
        <x:v>29895</x:v>
      </x:c>
      <x:c r="N813" s="186" t="n">
        <x:v>34842</x:v>
      </x:c>
      <x:c r="O813" s="186" t="n">
        <x:f>M813-N813</x:f>
        <x:v>-4947</x:v>
      </x:c>
      <x:c r="P813" s="186" t="n">
        <x:v>20442</x:v>
      </x:c>
      <x:c r="Q813" s="186" t="n">
        <x:v>3196</x:v>
      </x:c>
      <x:c r="R813" s="186" t="n">
        <x:f>P813-Q813</x:f>
        <x:v>17246</x:v>
      </x:c>
      <x:c r="S813" s="186" t="n">
        <x:v>28005</x:v>
      </x:c>
      <x:c r="T813" s="186" t="n">
        <x:v>14086</x:v>
      </x:c>
      <x:c r="U813" s="186" t="n">
        <x:f>S813-T813</x:f>
        <x:v>13919</x:v>
      </x:c>
      <x:c r="V813" s="196" t="n">
        <x:f>IFERROR(O813/F813,"")</x:f>
        <x:v>-0.03896165266084382</x:v>
      </x:c>
      <x:c r="W813" s="196" t="n">
        <x:f>IFERROR(I813/F813,"")</x:f>
        <x:v>-0.2247127296784305</x:v>
      </x:c>
    </x:row>
    <x:row r="814">
      <x:c r="A814" s="186" t="str">
        <x:v>Gold</x:v>
      </x:c>
      <x:c r="B814" s="187" t="n">
        <x:v>45216</x:v>
      </x:c>
      <x:c r="C814" s="187" t="n">
        <x:v>45219</x:v>
      </x:c>
      <x:c r="D814" s="186" t="str">
        <x:v>088691-GOLD</x:v>
      </x:c>
      <x:c r="E814" s="186" t="str">
        <x:v>GOLD - COMMODITY EXCHANGE INC.</x:v>
      </x:c>
      <x:c r="F814" s="186" t="n">
        <x:v>439581</x:v>
      </x:c>
      <x:c r="G814" s="186" t="n">
        <x:v>11737</x:v>
      </x:c>
      <x:c r="H814" s="186" t="n">
        <x:v>41703</x:v>
      </x:c>
      <x:c r="I814" s="186" t="n">
        <x:f>G814-H814</x:f>
        <x:v>-29966</x:v>
      </x:c>
      <x:c r="J814" s="186" t="n">
        <x:v>84592</x:v>
      </x:c>
      <x:c r="K814" s="186" t="n">
        <x:v>182625</x:v>
      </x:c>
      <x:c r="L814" s="186" t="n">
        <x:f>J814-K814</x:f>
        <x:v>-98033</x:v>
      </x:c>
      <x:c r="M814" s="186" t="n">
        <x:v>104708</x:v>
      </x:c>
      <x:c r="N814" s="186" t="n">
        <x:v>89605</x:v>
      </x:c>
      <x:c r="O814" s="186" t="n">
        <x:f>M814-N814</x:f>
        <x:v>15103</x:v>
      </x:c>
      <x:c r="P814" s="186" t="n">
        <x:v>126704</x:v>
      </x:c>
      <x:c r="Q814" s="186" t="n">
        <x:v>29069</x:v>
      </x:c>
      <x:c r="R814" s="186" t="n">
        <x:f>P814-Q814</x:f>
        <x:v>97635</x:v>
      </x:c>
      <x:c r="S814" s="186" t="n">
        <x:v>40863</x:v>
      </x:c>
      <x:c r="T814" s="186" t="n">
        <x:v>25602</x:v>
      </x:c>
      <x:c r="U814" s="186" t="n">
        <x:f>S814-T814</x:f>
        <x:v>15261</x:v>
      </x:c>
      <x:c r="V814" s="196" t="n">
        <x:f>IFERROR(O814/F814,"")</x:f>
        <x:v>0.0343577179177444</x:v>
      </x:c>
      <x:c r="W814" s="196" t="n">
        <x:f>IFERROR(I814/F814,"")</x:f>
        <x:v>-0.06816946137344426</x:v>
      </x:c>
    </x:row>
    <x:row r="815">
      <x:c r="A815" s="186" t="str">
        <x:v>Silver</x:v>
      </x:c>
      <x:c r="B815" s="187" t="n">
        <x:v>45216</x:v>
      </x:c>
      <x:c r="C815" s="187" t="n">
        <x:v>45219</x:v>
      </x:c>
      <x:c r="D815" s="186" t="str">
        <x:v>084691-SILVER</x:v>
      </x:c>
      <x:c r="E815" s="186" t="str">
        <x:v>SILVER - COMMODITY EXCHANGE INC.</x:v>
      </x:c>
      <x:c r="F815" s="186" t="n">
        <x:v>123640</x:v>
      </x:c>
      <x:c r="G815" s="186" t="n">
        <x:v>3025</x:v>
      </x:c>
      <x:c r="H815" s="186" t="n">
        <x:v>34073</x:v>
      </x:c>
      <x:c r="I815" s="186" t="n">
        <x:f>G815-H815</x:f>
        <x:v>-31048</x:v>
      </x:c>
      <x:c r="J815" s="186" t="n">
        <x:v>31461</x:v>
      </x:c>
      <x:c r="K815" s="186" t="n">
        <x:v>32039</x:v>
      </x:c>
      <x:c r="L815" s="186" t="n">
        <x:f>J815-K815</x:f>
        <x:v>-578</x:v>
      </x:c>
      <x:c r="M815" s="186" t="n">
        <x:v>31027</x:v>
      </x:c>
      <x:c r="N815" s="186" t="n">
        <x:v>27701</x:v>
      </x:c>
      <x:c r="O815" s="186" t="n">
        <x:f>M815-N815</x:f>
        <x:v>3326</x:v>
      </x:c>
      <x:c r="P815" s="186" t="n">
        <x:v>19722</x:v>
      </x:c>
      <x:c r="Q815" s="186" t="n">
        <x:v>3302</x:v>
      </x:c>
      <x:c r="R815" s="186" t="n">
        <x:f>P815-Q815</x:f>
        <x:v>16420</x:v>
      </x:c>
      <x:c r="S815" s="186" t="n">
        <x:v>25421</x:v>
      </x:c>
      <x:c r="T815" s="186" t="n">
        <x:v>13541</x:v>
      </x:c>
      <x:c r="U815" s="186" t="n">
        <x:f>S815-T815</x:f>
        <x:v>11880</x:v>
      </x:c>
      <x:c r="V815" s="196" t="n">
        <x:f>IFERROR(O815/F815,"")</x:f>
        <x:v>0.026900679391782596</x:v>
      </x:c>
      <x:c r="W815" s="196" t="n">
        <x:f>IFERROR(I815/F815,"")</x:f>
        <x:v>-0.251116143642834</x:v>
      </x:c>
    </x:row>
    <x:row r="816">
      <x:c r="A816" s="186" t="str">
        <x:v>Gold</x:v>
      </x:c>
      <x:c r="B816" s="187" t="n">
        <x:v>45223</x:v>
      </x:c>
      <x:c r="C816" s="187" t="n">
        <x:v>45226</x:v>
      </x:c>
      <x:c r="D816" s="186" t="str">
        <x:v>088691-GOLD</x:v>
      </x:c>
      <x:c r="E816" s="186" t="str">
        <x:v>GOLD - COMMODITY EXCHANGE INC.</x:v>
      </x:c>
      <x:c r="F816" s="186" t="n">
        <x:v>463476</x:v>
      </x:c>
      <x:c r="G816" s="186" t="n">
        <x:v>10642</x:v>
      </x:c>
      <x:c r="H816" s="186" t="n">
        <x:v>50787</x:v>
      </x:c>
      <x:c r="I816" s="186" t="n">
        <x:f>G816-H816</x:f>
        <x:v>-40145</x:v>
      </x:c>
      <x:c r="J816" s="186" t="n">
        <x:v>81233</x:v>
      </x:c>
      <x:c r="K816" s="186" t="n">
        <x:v>206961</x:v>
      </x:c>
      <x:c r="L816" s="186" t="n">
        <x:f>J816-K816</x:f>
        <x:v>-125728</x:v>
      </x:c>
      <x:c r="M816" s="186" t="n">
        <x:v>122456</x:v>
      </x:c>
      <x:c r="N816" s="186" t="n">
        <x:v>66708</x:v>
      </x:c>
      <x:c r="O816" s="186" t="n">
        <x:f>M816-N816</x:f>
        <x:v>55748</x:v>
      </x:c>
      <x:c r="P816" s="186" t="n">
        <x:v>129013</x:v>
      </x:c>
      <x:c r="Q816" s="186" t="n">
        <x:v>35376</x:v>
      </x:c>
      <x:c r="R816" s="186" t="n">
        <x:f>P816-Q816</x:f>
        <x:v>93637</x:v>
      </x:c>
      <x:c r="S816" s="186" t="n">
        <x:v>42129</x:v>
      </x:c>
      <x:c r="T816" s="186" t="n">
        <x:v>25641</x:v>
      </x:c>
      <x:c r="U816" s="186" t="n">
        <x:f>S816-T816</x:f>
        <x:v>16488</x:v>
      </x:c>
      <x:c r="V816" s="196" t="n">
        <x:f>IFERROR(O816/F816,"")</x:f>
        <x:v>0.12028238786905902</x:v>
      </x:c>
      <x:c r="W816" s="196" t="n">
        <x:f>IFERROR(I816/F816,"")</x:f>
        <x:v>-0.08661721426783696</x:v>
      </x:c>
    </x:row>
    <x:row r="817">
      <x:c r="A817" s="186" t="str">
        <x:v>Silver</x:v>
      </x:c>
      <x:c r="B817" s="187" t="n">
        <x:v>45223</x:v>
      </x:c>
      <x:c r="C817" s="187" t="n">
        <x:v>45226</x:v>
      </x:c>
      <x:c r="D817" s="186" t="str">
        <x:v>084691-SILVER</x:v>
      </x:c>
      <x:c r="E817" s="186" t="str">
        <x:v>SILVER - COMMODITY EXCHANGE INC.</x:v>
      </x:c>
      <x:c r="F817" s="186" t="n">
        <x:v>123980</x:v>
      </x:c>
      <x:c r="G817" s="186" t="n">
        <x:v>2810</x:v>
      </x:c>
      <x:c r="H817" s="186" t="n">
        <x:v>35009</x:v>
      </x:c>
      <x:c r="I817" s="186" t="n">
        <x:f>G817-H817</x:f>
        <x:v>-32199</x:v>
      </x:c>
      <x:c r="J817" s="186" t="n">
        <x:v>32219</x:v>
      </x:c>
      <x:c r="K817" s="186" t="n">
        <x:v>34590</x:v>
      </x:c>
      <x:c r="L817" s="186" t="n">
        <x:f>J817-K817</x:f>
        <x:v>-2371</x:v>
      </x:c>
      <x:c r="M817" s="186" t="n">
        <x:v>29617</x:v>
      </x:c>
      <x:c r="N817" s="186" t="n">
        <x:v>22373</x:v>
      </x:c>
      <x:c r="O817" s="186" t="n">
        <x:f>M817-N817</x:f>
        <x:v>7244</x:v>
      </x:c>
      <x:c r="P817" s="186" t="n">
        <x:v>22243</x:v>
      </x:c>
      <x:c r="Q817" s="186" t="n">
        <x:v>5155</x:v>
      </x:c>
      <x:c r="R817" s="186" t="n">
        <x:f>P817-Q817</x:f>
        <x:v>17088</x:v>
      </x:c>
      <x:c r="S817" s="186" t="n">
        <x:v>23527</x:v>
      </x:c>
      <x:c r="T817" s="186" t="n">
        <x:v>13289</x:v>
      </x:c>
      <x:c r="U817" s="186" t="n">
        <x:f>S817-T817</x:f>
        <x:v>10238</x:v>
      </x:c>
      <x:c r="V817" s="196" t="n">
        <x:f>IFERROR(O817/F817,"")</x:f>
        <x:v>0.058428778835296014</x:v>
      </x:c>
      <x:c r="W817" s="196" t="n">
        <x:f>IFERROR(I817/F817,"")</x:f>
        <x:v>-0.2597112437489918</x:v>
      </x:c>
    </x:row>
    <x:row r="818">
      <x:c r="A818" s="186" t="str">
        <x:v>Gold</x:v>
      </x:c>
      <x:c r="B818" s="187" t="n">
        <x:v>45230</x:v>
      </x:c>
      <x:c r="C818" s="187" t="n">
        <x:v>45233</x:v>
      </x:c>
      <x:c r="D818" s="186" t="str">
        <x:v>088691-GOLD</x:v>
      </x:c>
      <x:c r="E818" s="186" t="str">
        <x:v>GOLD - COMMODITY EXCHANGE INC.</x:v>
      </x:c>
      <x:c r="F818" s="186" t="n">
        <x:v>475808</x:v>
      </x:c>
      <x:c r="G818" s="186" t="n">
        <x:v>11165</x:v>
      </x:c>
      <x:c r="H818" s="186" t="n">
        <x:v>55350</x:v>
      </x:c>
      <x:c r="I818" s="186" t="n">
        <x:f>G818-H818</x:f>
        <x:v>-44185</x:v>
      </x:c>
      <x:c r="J818" s="186" t="n">
        <x:v>79294</x:v>
      </x:c>
      <x:c r="K818" s="186" t="n">
        <x:v>217816</x:v>
      </x:c>
      <x:c r="L818" s="186" t="n">
        <x:f>J818-K818</x:f>
        <x:v>-138522</x:v>
      </x:c>
      <x:c r="M818" s="186" t="n">
        <x:v>140111</x:v>
      </x:c>
      <x:c r="N818" s="186" t="n">
        <x:v>65271</x:v>
      </x:c>
      <x:c r="O818" s="186" t="n">
        <x:f>M818-N818</x:f>
        <x:v>74840</x:v>
      </x:c>
      <x:c r="P818" s="186" t="n">
        <x:v>120942</x:v>
      </x:c>
      <x:c r="Q818" s="186" t="n">
        <x:v>32357</x:v>
      </x:c>
      <x:c r="R818" s="186" t="n">
        <x:f>P818-Q818</x:f>
        <x:v>88585</x:v>
      </x:c>
      <x:c r="S818" s="186" t="n">
        <x:v>44792</x:v>
      </x:c>
      <x:c r="T818" s="186" t="n">
        <x:v>25510</x:v>
      </x:c>
      <x:c r="U818" s="186" t="n">
        <x:f>S818-T818</x:f>
        <x:v>19282</x:v>
      </x:c>
      <x:c r="V818" s="196" t="n">
        <x:f>IFERROR(O818/F818,"")</x:f>
        <x:v>0.15729033559755196</x:v>
      </x:c>
      <x:c r="W818" s="196" t="n">
        <x:f>IFERROR(I818/F818,"")</x:f>
        <x:v>-0.09286308763198602</x:v>
      </x:c>
    </x:row>
    <x:row r="819">
      <x:c r="A819" s="186" t="str">
        <x:v>Silver</x:v>
      </x:c>
      <x:c r="B819" s="187" t="n">
        <x:v>45230</x:v>
      </x:c>
      <x:c r="C819" s="187" t="n">
        <x:v>45233</x:v>
      </x:c>
      <x:c r="D819" s="186" t="str">
        <x:v>084691-SILVER</x:v>
      </x:c>
      <x:c r="E819" s="186" t="str">
        <x:v>SILVER - COMMODITY EXCHANGE INC.</x:v>
      </x:c>
      <x:c r="F819" s="186" t="n">
        <x:v>126549</x:v>
      </x:c>
      <x:c r="G819" s="186" t="n">
        <x:v>3571</x:v>
      </x:c>
      <x:c r="H819" s="186" t="n">
        <x:v>33701</x:v>
      </x:c>
      <x:c r="I819" s="186" t="n">
        <x:f>G819-H819</x:f>
        <x:v>-30130</x:v>
      </x:c>
      <x:c r="J819" s="186" t="n">
        <x:v>33270</x:v>
      </x:c>
      <x:c r="K819" s="186" t="n">
        <x:v>36279</x:v>
      </x:c>
      <x:c r="L819" s="186" t="n">
        <x:f>J819-K819</x:f>
        <x:v>-3009</x:v>
      </x:c>
      <x:c r="M819" s="186" t="n">
        <x:v>28019</x:v>
      </x:c>
      <x:c r="N819" s="186" t="n">
        <x:v>23384</x:v>
      </x:c>
      <x:c r="O819" s="186" t="n">
        <x:f>M819-N819</x:f>
        <x:v>4635</x:v>
      </x:c>
      <x:c r="P819" s="186" t="n">
        <x:v>20006</x:v>
      </x:c>
      <x:c r="Q819" s="186" t="n">
        <x:v>4430</x:v>
      </x:c>
      <x:c r="R819" s="186" t="n">
        <x:f>P819-Q819</x:f>
        <x:v>15576</x:v>
      </x:c>
      <x:c r="S819" s="186" t="n">
        <x:v>25863</x:v>
      </x:c>
      <x:c r="T819" s="186" t="n">
        <x:v>12935</x:v>
      </x:c>
      <x:c r="U819" s="186" t="n">
        <x:f>S819-T819</x:f>
        <x:v>12928</x:v>
      </x:c>
      <x:c r="V819" s="196" t="n">
        <x:f>IFERROR(O819/F819,"")</x:f>
        <x:v>0.03662612900931655</x:v>
      </x:c>
      <x:c r="W819" s="196" t="n">
        <x:f>IFERROR(I819/F819,"")</x:f>
        <x:v>-0.23808959375419797</x:v>
      </x:c>
    </x:row>
    <x:row r="820">
      <x:c r="A820" s="186" t="str">
        <x:v>Gold</x:v>
      </x:c>
      <x:c r="B820" s="187" t="n">
        <x:v>45237</x:v>
      </x:c>
      <x:c r="C820" s="187" t="n">
        <x:v>45240</x:v>
      </x:c>
      <x:c r="D820" s="186" t="str">
        <x:v>088691-GOLD</x:v>
      </x:c>
      <x:c r="E820" s="186" t="str">
        <x:v>GOLD - COMMODITY EXCHANGE INC.</x:v>
      </x:c>
      <x:c r="F820" s="186" t="n">
        <x:v>484347</x:v>
      </x:c>
      <x:c r="G820" s="186" t="n">
        <x:v>10487</x:v>
      </x:c>
      <x:c r="H820" s="186" t="n">
        <x:v>55470</x:v>
      </x:c>
      <x:c r="I820" s="186" t="n">
        <x:f>G820-H820</x:f>
        <x:v>-44983</x:v>
      </x:c>
      <x:c r="J820" s="186" t="n">
        <x:v>82014</x:v>
      </x:c>
      <x:c r="K820" s="186" t="n">
        <x:v>223122</x:v>
      </x:c>
      <x:c r="L820" s="186" t="n">
        <x:f>J820-K820</x:f>
        <x:v>-141108</x:v>
      </x:c>
      <x:c r="M820" s="186" t="n">
        <x:v>140609</x:v>
      </x:c>
      <x:c r="N820" s="186" t="n">
        <x:v>62374</x:v>
      </x:c>
      <x:c r="O820" s="186" t="n">
        <x:f>M820-N820</x:f>
        <x:v>78235</x:v>
      </x:c>
      <x:c r="P820" s="186" t="n">
        <x:v>121044</x:v>
      </x:c>
      <x:c r="Q820" s="186" t="n">
        <x:v>33063</x:v>
      </x:c>
      <x:c r="R820" s="186" t="n">
        <x:f>P820-Q820</x:f>
        <x:v>87981</x:v>
      </x:c>
      <x:c r="S820" s="186" t="n">
        <x:v>45484</x:v>
      </x:c>
      <x:c r="T820" s="186" t="n">
        <x:v>25609</x:v>
      </x:c>
      <x:c r="U820" s="186" t="n">
        <x:f>S820-T820</x:f>
        <x:v>19875</x:v>
      </x:c>
      <x:c r="V820" s="196" t="n">
        <x:f>IFERROR(O820/F820,"")</x:f>
        <x:v>0.16152675664348082</x:v>
      </x:c>
      <x:c r="W820" s="196" t="n">
        <x:f>IFERROR(I820/F820,"")</x:f>
        <x:v>-0.09287349771961012</x:v>
      </x:c>
    </x:row>
    <x:row r="821">
      <x:c r="A821" s="186" t="str">
        <x:v>Silver</x:v>
      </x:c>
      <x:c r="B821" s="187" t="n">
        <x:v>45237</x:v>
      </x:c>
      <x:c r="C821" s="187" t="n">
        <x:v>45240</x:v>
      </x:c>
      <x:c r="D821" s="186" t="str">
        <x:v>084691-SILVER</x:v>
      </x:c>
      <x:c r="E821" s="186" t="str">
        <x:v>SILVER - COMMODITY EXCHANGE INC.</x:v>
      </x:c>
      <x:c r="F821" s="186" t="n">
        <x:v>131073</x:v>
      </x:c>
      <x:c r="G821" s="186" t="n">
        <x:v>4243</x:v>
      </x:c>
      <x:c r="H821" s="186" t="n">
        <x:v>33847</x:v>
      </x:c>
      <x:c r="I821" s="186" t="n">
        <x:f>G821-H821</x:f>
        <x:v>-29604</x:v>
      </x:c>
      <x:c r="J821" s="186" t="n">
        <x:v>34678</x:v>
      </x:c>
      <x:c r="K821" s="186" t="n">
        <x:v>35796</x:v>
      </x:c>
      <x:c r="L821" s="186" t="n">
        <x:f>J821-K821</x:f>
        <x:v>-1118</x:v>
      </x:c>
      <x:c r="M821" s="186" t="n">
        <x:v>25457</x:v>
      </x:c>
      <x:c r="N821" s="186" t="n">
        <x:v>25107</x:v>
      </x:c>
      <x:c r="O821" s="186" t="n">
        <x:f>M821-N821</x:f>
        <x:v>350</x:v>
      </x:c>
      <x:c r="P821" s="186" t="n">
        <x:v>21739</x:v>
      </x:c>
      <x:c r="Q821" s="186" t="n">
        <x:v>3836</x:v>
      </x:c>
      <x:c r="R821" s="186" t="n">
        <x:f>P821-Q821</x:f>
        <x:v>17903</x:v>
      </x:c>
      <x:c r="S821" s="186" t="n">
        <x:v>26334</x:v>
      </x:c>
      <x:c r="T821" s="186" t="n">
        <x:v>13865</x:v>
      </x:c>
      <x:c r="U821" s="186" t="n">
        <x:f>S821-T821</x:f>
        <x:v>12469</x:v>
      </x:c>
      <x:c r="V821" s="196" t="n">
        <x:f>IFERROR(O821/F821,"")</x:f>
        <x:v>0.00267026771341161</x:v>
      </x:c>
      <x:c r="W821" s="196" t="n">
        <x:f>IFERROR(I821/F821,"")</x:f>
        <x:v>-0.22585887253667802</x:v>
      </x:c>
    </x:row>
    <x:row r="822">
      <x:c r="A822" s="186" t="str">
        <x:v>Gold</x:v>
      </x:c>
      <x:c r="B822" s="187" t="n">
        <x:v>45244</x:v>
      </x:c>
      <x:c r="C822" s="187" t="n">
        <x:v>45247</x:v>
      </x:c>
      <x:c r="D822" s="186" t="str">
        <x:v>088691-GOLD</x:v>
      </x:c>
      <x:c r="E822" s="186" t="str">
        <x:v>GOLD - COMMODITY EXCHANGE INC.</x:v>
      </x:c>
      <x:c r="F822" s="186" t="n">
        <x:v>486634</x:v>
      </x:c>
      <x:c r="G822" s="186" t="n">
        <x:v>12176</x:v>
      </x:c>
      <x:c r="H822" s="186" t="n">
        <x:v>55241</x:v>
      </x:c>
      <x:c r="I822" s="186" t="n">
        <x:f>G822-H822</x:f>
        <x:v>-43065</x:v>
      </x:c>
      <x:c r="J822" s="186" t="n">
        <x:v>83706</x:v>
      </x:c>
      <x:c r="K822" s="186" t="n">
        <x:v>217660</x:v>
      </x:c>
      <x:c r="L822" s="186" t="n">
        <x:f>J822-K822</x:f>
        <x:v>-133954</x:v>
      </x:c>
      <x:c r="M822" s="186" t="n">
        <x:v>132924</x:v>
      </x:c>
      <x:c r="N822" s="186" t="n">
        <x:v>68609</x:v>
      </x:c>
      <x:c r="O822" s="186" t="n">
        <x:f>M822-N822</x:f>
        <x:v>64315</x:v>
      </x:c>
      <x:c r="P822" s="186" t="n">
        <x:v>121428</x:v>
      </x:c>
      <x:c r="Q822" s="186" t="n">
        <x:v>30367</x:v>
      </x:c>
      <x:c r="R822" s="186" t="n">
        <x:f>P822-Q822</x:f>
        <x:v>91061</x:v>
      </x:c>
      <x:c r="S822" s="186" t="n">
        <x:v>45409</x:v>
      </x:c>
      <x:c r="T822" s="186" t="n">
        <x:v>23766</x:v>
      </x:c>
      <x:c r="U822" s="186" t="n">
        <x:f>S822-T822</x:f>
        <x:v>21643</x:v>
      </x:c>
      <x:c r="V822" s="196" t="n">
        <x:f>IFERROR(O822/F822,"")</x:f>
        <x:v>0.13216298080282102</x:v>
      </x:c>
      <x:c r="W822" s="196" t="n">
        <x:f>IFERROR(I822/F822,"")</x:f>
        <x:v>-0.08849566614745373</x:v>
      </x:c>
    </x:row>
    <x:row r="823">
      <x:c r="A823" s="186" t="str">
        <x:v>Silver</x:v>
      </x:c>
      <x:c r="B823" s="187" t="n">
        <x:v>45244</x:v>
      </x:c>
      <x:c r="C823" s="187" t="n">
        <x:v>45247</x:v>
      </x:c>
      <x:c r="D823" s="186" t="str">
        <x:v>084691-SILVER</x:v>
      </x:c>
      <x:c r="E823" s="186" t="str">
        <x:v>SILVER - COMMODITY EXCHANGE INC.</x:v>
      </x:c>
      <x:c r="F823" s="186" t="n">
        <x:v>134826</x:v>
      </x:c>
      <x:c r="G823" s="186" t="n">
        <x:v>3722</x:v>
      </x:c>
      <x:c r="H823" s="186" t="n">
        <x:v>33610</x:v>
      </x:c>
      <x:c r="I823" s="186" t="n">
        <x:f>G823-H823</x:f>
        <x:v>-29888</x:v>
      </x:c>
      <x:c r="J823" s="186" t="n">
        <x:v>34163</x:v>
      </x:c>
      <x:c r="K823" s="186" t="n">
        <x:v>35909</x:v>
      </x:c>
      <x:c r="L823" s="186" t="n">
        <x:f>J823-K823</x:f>
        <x:v>-1746</x:v>
      </x:c>
      <x:c r="M823" s="186" t="n">
        <x:v>30527</x:v>
      </x:c>
      <x:c r="N823" s="186" t="n">
        <x:v>23822</x:v>
      </x:c>
      <x:c r="O823" s="186" t="n">
        <x:f>M823-N823</x:f>
        <x:v>6705</x:v>
      </x:c>
      <x:c r="P823" s="186" t="n">
        <x:v>19764</x:v>
      </x:c>
      <x:c r="Q823" s="186" t="n">
        <x:v>4071</x:v>
      </x:c>
      <x:c r="R823" s="186" t="n">
        <x:f>P823-Q823</x:f>
        <x:v>15693</x:v>
      </x:c>
      <x:c r="S823" s="186" t="n">
        <x:v>25379</x:v>
      </x:c>
      <x:c r="T823" s="186" t="n">
        <x:v>16143</x:v>
      </x:c>
      <x:c r="U823" s="186" t="n">
        <x:f>S823-T823</x:f>
        <x:v>9236</x:v>
      </x:c>
      <x:c r="V823" s="196" t="n">
        <x:f>IFERROR(O823/F823,"")</x:f>
        <x:v>0.04973076409594589</x:v>
      </x:c>
      <x:c r="W823" s="196" t="n">
        <x:f>IFERROR(I823/F823,"")</x:f>
        <x:v>-0.22167831130494117</x:v>
      </x:c>
    </x:row>
    <x:row r="824">
      <x:c r="A824" s="186" t="str">
        <x:v>Gold</x:v>
      </x:c>
      <x:c r="B824" s="187" t="n">
        <x:v>45251</x:v>
      </x:c>
      <x:c r="C824" s="187" t="n">
        <x:v>45254</x:v>
      </x:c>
      <x:c r="D824" s="186" t="str">
        <x:v>088691-GOLD</x:v>
      </x:c>
      <x:c r="E824" s="186" t="str">
        <x:v>GOLD - COMMODITY EXCHANGE INC.</x:v>
      </x:c>
      <x:c r="F824" s="186" t="n">
        <x:v>508429</x:v>
      </x:c>
      <x:c r="G824" s="186" t="n">
        <x:v>14081</x:v>
      </x:c>
      <x:c r="H824" s="186" t="n">
        <x:v>59990</x:v>
      </x:c>
      <x:c r="I824" s="186" t="n">
        <x:f>G824-H824</x:f>
        <x:v>-45909</x:v>
      </x:c>
      <x:c r="J824" s="186" t="n">
        <x:v>80946</x:v>
      </x:c>
      <x:c r="K824" s="186" t="n">
        <x:v>225272</x:v>
      </x:c>
      <x:c r="L824" s="186" t="n">
        <x:f>J824-K824</x:f>
        <x:v>-144326</x:v>
      </x:c>
      <x:c r="M824" s="186" t="n">
        <x:v>144381</x:v>
      </x:c>
      <x:c r="N824" s="186" t="n">
        <x:v>65246</x:v>
      </x:c>
      <x:c r="O824" s="186" t="n">
        <x:f>M824-N824</x:f>
        <x:v>79135</x:v>
      </x:c>
      <x:c r="P824" s="186" t="n">
        <x:v>125320</x:v>
      </x:c>
      <x:c r="Q824" s="186" t="n">
        <x:v>32750</x:v>
      </x:c>
      <x:c r="R824" s="186" t="n">
        <x:f>P824-Q824</x:f>
        <x:v>92570</x:v>
      </x:c>
      <x:c r="S824" s="186" t="n">
        <x:v>43959</x:v>
      </x:c>
      <x:c r="T824" s="186" t="n">
        <x:v>25429</x:v>
      </x:c>
      <x:c r="U824" s="186" t="n">
        <x:f>S824-T824</x:f>
        <x:v>18530</x:v>
      </x:c>
      <x:c r="V824" s="196" t="n">
        <x:f>IFERROR(O824/F824,"")</x:f>
        <x:v>0.15564611774702072</x:v>
      </x:c>
      <x:c r="W824" s="196" t="n">
        <x:f>IFERROR(I824/F824,"")</x:f>
        <x:v>-0.09029579351295855</x:v>
      </x:c>
    </x:row>
    <x:row r="825">
      <x:c r="A825" s="186" t="str">
        <x:v>Silver</x:v>
      </x:c>
      <x:c r="B825" s="187" t="n">
        <x:v>45251</x:v>
      </x:c>
      <x:c r="C825" s="187" t="n">
        <x:v>45254</x:v>
      </x:c>
      <x:c r="D825" s="186" t="str">
        <x:v>084691-SILVER</x:v>
      </x:c>
      <x:c r="E825" s="186" t="str">
        <x:v>SILVER - COMMODITY EXCHANGE INC.</x:v>
      </x:c>
      <x:c r="F825" s="186" t="n">
        <x:v>134333</x:v>
      </x:c>
      <x:c r="G825" s="186" t="n">
        <x:v>3582</x:v>
      </x:c>
      <x:c r="H825" s="186" t="n">
        <x:v>36975</x:v>
      </x:c>
      <x:c r="I825" s="186" t="n">
        <x:f>G825-H825</x:f>
        <x:v>-33393</x:v>
      </x:c>
      <x:c r="J825" s="186" t="n">
        <x:v>33879</x:v>
      </x:c>
      <x:c r="K825" s="186" t="n">
        <x:v>41430</x:v>
      </x:c>
      <x:c r="L825" s="186" t="n">
        <x:f>J825-K825</x:f>
        <x:v>-7551</x:v>
      </x:c>
      <x:c r="M825" s="186" t="n">
        <x:v>33308</x:v>
      </x:c>
      <x:c r="N825" s="186" t="n">
        <x:v>21839</x:v>
      </x:c>
      <x:c r="O825" s="186" t="n">
        <x:f>M825-N825</x:f>
        <x:v>11469</x:v>
      </x:c>
      <x:c r="P825" s="186" t="n">
        <x:v>20064</x:v>
      </x:c>
      <x:c r="Q825" s="186" t="n">
        <x:v>4081</x:v>
      </x:c>
      <x:c r="R825" s="186" t="n">
        <x:f>P825-Q825</x:f>
        <x:v>15983</x:v>
      </x:c>
      <x:c r="S825" s="186" t="n">
        <x:v>26789</x:v>
      </x:c>
      <x:c r="T825" s="186" t="n">
        <x:v>13297</x:v>
      </x:c>
      <x:c r="U825" s="186" t="n">
        <x:f>S825-T825</x:f>
        <x:v>13492</x:v>
      </x:c>
      <x:c r="V825" s="196" t="n">
        <x:f>IFERROR(O825/F825,"")</x:f>
        <x:v>0.08537738307042946</x:v>
      </x:c>
      <x:c r="W825" s="196" t="n">
        <x:f>IFERROR(I825/F825,"")</x:f>
        <x:v>-0.24858374338397862</x:v>
      </x:c>
    </x:row>
    <x:row r="826">
      <x:c r="A826" s="186" t="str">
        <x:v>Gold</x:v>
      </x:c>
      <x:c r="B826" s="187" t="n">
        <x:v>45258</x:v>
      </x:c>
      <x:c r="C826" s="187" t="n">
        <x:v>45261</x:v>
      </x:c>
      <x:c r="D826" s="186" t="str">
        <x:v>088691-GOLD</x:v>
      </x:c>
      <x:c r="E826" s="186" t="str">
        <x:v>GOLD - COMMODITY EXCHANGE INC.</x:v>
      </x:c>
      <x:c r="F826" s="186" t="n">
        <x:v>505658</x:v>
      </x:c>
      <x:c r="G826" s="186" t="n">
        <x:v>14333</x:v>
      </x:c>
      <x:c r="H826" s="186" t="n">
        <x:v>64941</x:v>
      </x:c>
      <x:c r="I826" s="186" t="n">
        <x:f>G826-H826</x:f>
        <x:v>-50608</x:v>
      </x:c>
      <x:c r="J826" s="186" t="n">
        <x:v>76804</x:v>
      </x:c>
      <x:c r="K826" s="186" t="n">
        <x:v>244788</x:v>
      </x:c>
      <x:c r="L826" s="186" t="n">
        <x:f>J826-K826</x:f>
        <x:v>-167984</x:v>
      </x:c>
      <x:c r="M826" s="186" t="n">
        <x:v>169695</x:v>
      </x:c>
      <x:c r="N826" s="186" t="n">
        <x:v>54802</x:v>
      </x:c>
      <x:c r="O826" s="186" t="n">
        <x:f>M826-N826</x:f>
        <x:v>114893</x:v>
      </x:c>
      <x:c r="P826" s="186" t="n">
        <x:v>120150</x:v>
      </x:c>
      <x:c r="Q826" s="186" t="n">
        <x:v>34959</x:v>
      </x:c>
      <x:c r="R826" s="186" t="n">
        <x:f>P826-Q826</x:f>
        <x:v>85191</x:v>
      </x:c>
      <x:c r="S826" s="186" t="n">
        <x:v>45650</x:v>
      </x:c>
      <x:c r="T826" s="186" t="n">
        <x:v>27142</x:v>
      </x:c>
      <x:c r="U826" s="186" t="n">
        <x:f>S826-T826</x:f>
        <x:v>18508</x:v>
      </x:c>
      <x:c r="V826" s="196" t="n">
        <x:f>IFERROR(O826/F826,"")</x:f>
        <x:v>0.2272148369055765</x:v>
      </x:c>
      <x:c r="W826" s="196" t="n">
        <x:f>IFERROR(I826/F826,"")</x:f>
        <x:v>-0.10008345561624656</x:v>
      </x:c>
    </x:row>
    <x:row r="827">
      <x:c r="A827" s="186" t="str">
        <x:v>Silver</x:v>
      </x:c>
      <x:c r="B827" s="187" t="n">
        <x:v>45258</x:v>
      </x:c>
      <x:c r="C827" s="187" t="n">
        <x:v>45261</x:v>
      </x:c>
      <x:c r="D827" s="186" t="str">
        <x:v>084691-SILVER</x:v>
      </x:c>
      <x:c r="E827" s="186" t="str">
        <x:v>SILVER - COMMODITY EXCHANGE INC.</x:v>
      </x:c>
      <x:c r="F827" s="186" t="n">
        <x:v>139144</x:v>
      </x:c>
      <x:c r="G827" s="186" t="n">
        <x:v>3472</x:v>
      </x:c>
      <x:c r="H827" s="186" t="n">
        <x:v>40323</x:v>
      </x:c>
      <x:c r="I827" s="186" t="n">
        <x:f>G827-H827</x:f>
        <x:v>-36851</x:v>
      </x:c>
      <x:c r="J827" s="186" t="n">
        <x:v>33045</x:v>
      </x:c>
      <x:c r="K827" s="186" t="n">
        <x:v>44049</x:v>
      </x:c>
      <x:c r="L827" s="186" t="n">
        <x:f>J827-K827</x:f>
        <x:v>-11004</x:v>
      </x:c>
      <x:c r="M827" s="186" t="n">
        <x:v>45604</x:v>
      </x:c>
      <x:c r="N827" s="186" t="n">
        <x:v>21842</x:v>
      </x:c>
      <x:c r="O827" s="186" t="n">
        <x:f>M827-N827</x:f>
        <x:v>23762</x:v>
      </x:c>
      <x:c r="P827" s="186" t="n">
        <x:v>17276</x:v>
      </x:c>
      <x:c r="Q827" s="186" t="n">
        <x:v>6758</x:v>
      </x:c>
      <x:c r="R827" s="186" t="n">
        <x:f>P827-Q827</x:f>
        <x:v>10518</x:v>
      </x:c>
      <x:c r="S827" s="186" t="n">
        <x:v>26647</x:v>
      </x:c>
      <x:c r="T827" s="186" t="n">
        <x:v>13072</x:v>
      </x:c>
      <x:c r="U827" s="186" t="n">
        <x:f>S827-T827</x:f>
        <x:v>13575</x:v>
      </x:c>
      <x:c r="V827" s="196" t="n">
        <x:f>IFERROR(O827/F827,"")</x:f>
        <x:v>0.1707727246593457</x:v>
      </x:c>
      <x:c r="W827" s="196" t="n">
        <x:f>IFERROR(I827/F827,"")</x:f>
        <x:v>-0.26484074052779855</x:v>
      </x:c>
    </x:row>
    <x:row r="828">
      <x:c r="A828" s="186" t="str">
        <x:v>Gold</x:v>
      </x:c>
      <x:c r="B828" s="187" t="n">
        <x:v>45265</x:v>
      </x:c>
      <x:c r="C828" s="187" t="n">
        <x:v>45268</x:v>
      </x:c>
      <x:c r="D828" s="186" t="str">
        <x:v>088691-GOLD</x:v>
      </x:c>
      <x:c r="E828" s="186" t="str">
        <x:v>GOLD - COMMODITY EXCHANGE INC.</x:v>
      </x:c>
      <x:c r="F828" s="186" t="n">
        <x:v>487469</x:v>
      </x:c>
      <x:c r="G828" s="186" t="n">
        <x:v>12631</x:v>
      </x:c>
      <x:c r="H828" s="186" t="n">
        <x:v>62325</x:v>
      </x:c>
      <x:c r="I828" s="186" t="n">
        <x:f>G828-H828</x:f>
        <x:v>-49694</x:v>
      </x:c>
      <x:c r="J828" s="186" t="n">
        <x:v>76376</x:v>
      </x:c>
      <x:c r="K828" s="186" t="n">
        <x:v>253627</x:v>
      </x:c>
      <x:c r="L828" s="186" t="n">
        <x:f>J828-K828</x:f>
        <x:v>-177251</x:v>
      </x:c>
      <x:c r="M828" s="186" t="n">
        <x:v>159907</x:v>
      </x:c>
      <x:c r="N828" s="186" t="n">
        <x:v>50520</x:v>
      </x:c>
      <x:c r="O828" s="186" t="n">
        <x:f>M828-N828</x:f>
        <x:v>109387</x:v>
      </x:c>
      <x:c r="P828" s="186" t="n">
        <x:v>128933</x:v>
      </x:c>
      <x:c r="Q828" s="186" t="n">
        <x:v>34776</x:v>
      </x:c>
      <x:c r="R828" s="186" t="n">
        <x:f>P828-Q828</x:f>
        <x:v>94157</x:v>
      </x:c>
      <x:c r="S828" s="186" t="n">
        <x:v>47483</x:v>
      </x:c>
      <x:c r="T828" s="186" t="n">
        <x:v>24082</x:v>
      </x:c>
      <x:c r="U828" s="186" t="n">
        <x:f>S828-T828</x:f>
        <x:v>23401</x:v>
      </x:c>
      <x:c r="V828" s="196" t="n">
        <x:f>IFERROR(O828/F828,"")</x:f>
        <x:v>0.22439785914591492</x:v>
      </x:c>
      <x:c r="W828" s="196" t="n">
        <x:f>IFERROR(I828/F828,"")</x:f>
        <x:v>-0.10194289277882286</x:v>
      </x:c>
    </x:row>
    <x:row r="829">
      <x:c r="A829" s="186" t="str">
        <x:v>Silver</x:v>
      </x:c>
      <x:c r="B829" s="187" t="n">
        <x:v>45265</x:v>
      </x:c>
      <x:c r="C829" s="187" t="n">
        <x:v>45268</x:v>
      </x:c>
      <x:c r="D829" s="186" t="str">
        <x:v>084691-SILVER</x:v>
      </x:c>
      <x:c r="E829" s="186" t="str">
        <x:v>SILVER - COMMODITY EXCHANGE INC.</x:v>
      </x:c>
      <x:c r="F829" s="186" t="n">
        <x:v>139753</x:v>
      </x:c>
      <x:c r="G829" s="186" t="n">
        <x:v>4714</x:v>
      </x:c>
      <x:c r="H829" s="186" t="n">
        <x:v>41340</x:v>
      </x:c>
      <x:c r="I829" s="186" t="n">
        <x:f>G829-H829</x:f>
        <x:v>-36626</x:v>
      </x:c>
      <x:c r="J829" s="186" t="n">
        <x:v>33328</x:v>
      </x:c>
      <x:c r="K829" s="186" t="n">
        <x:v>48716</x:v>
      </x:c>
      <x:c r="L829" s="186" t="n">
        <x:f>J829-K829</x:f>
        <x:v>-15388</x:v>
      </x:c>
      <x:c r="M829" s="186" t="n">
        <x:v>43852</x:v>
      </x:c>
      <x:c r="N829" s="186" t="n">
        <x:v>22322</x:v>
      </x:c>
      <x:c r="O829" s="186" t="n">
        <x:f>M829-N829</x:f>
        <x:v>21530</x:v>
      </x:c>
      <x:c r="P829" s="186" t="n">
        <x:v>19389</x:v>
      </x:c>
      <x:c r="Q829" s="186" t="n">
        <x:v>4616</x:v>
      </x:c>
      <x:c r="R829" s="186" t="n">
        <x:f>P829-Q829</x:f>
        <x:v>14773</x:v>
      </x:c>
      <x:c r="S829" s="186" t="n">
        <x:v>26387</x:v>
      </x:c>
      <x:c r="T829" s="186" t="n">
        <x:v>10676</x:v>
      </x:c>
      <x:c r="U829" s="186" t="n">
        <x:f>S829-T829</x:f>
        <x:v>15711</x:v>
      </x:c>
      <x:c r="V829" s="196" t="n">
        <x:f>IFERROR(O829/F829,"")</x:f>
        <x:v>0.15405751575994792</x:v>
      </x:c>
      <x:c r="W829" s="196" t="n">
        <x:f>IFERROR(I829/F829,"")</x:f>
        <x:v>-0.2620766638283257</x:v>
      </x:c>
    </x:row>
    <x:row r="830">
      <x:c r="A830" s="186" t="str">
        <x:v>Gold</x:v>
      </x:c>
      <x:c r="B830" s="187" t="n">
        <x:v>45272</x:v>
      </x:c>
      <x:c r="C830" s="187" t="n">
        <x:v>45275</x:v>
      </x:c>
      <x:c r="D830" s="186" t="str">
        <x:v>088691-GOLD</x:v>
      </x:c>
      <x:c r="E830" s="186" t="str">
        <x:v>GOLD - COMMODITY EXCHANGE INC.</x:v>
      </x:c>
      <x:c r="F830" s="186" t="n">
        <x:v>469939</x:v>
      </x:c>
      <x:c r="G830" s="186" t="n">
        <x:v>13420</x:v>
      </x:c>
      <x:c r="H830" s="186" t="n">
        <x:v>58535</x:v>
      </x:c>
      <x:c r="I830" s="186" t="n">
        <x:f>G830-H830</x:f>
        <x:v>-45115</x:v>
      </x:c>
      <x:c r="J830" s="186" t="n">
        <x:v>76081</x:v>
      </x:c>
      <x:c r="K830" s="186" t="n">
        <x:v>243774</x:v>
      </x:c>
      <x:c r="L830" s="186" t="n">
        <x:f>J830-K830</x:f>
        <x:v>-167693</x:v>
      </x:c>
      <x:c r="M830" s="186" t="n">
        <x:v>149634</x:v>
      </x:c>
      <x:c r="N830" s="186" t="n">
        <x:v>54106</x:v>
      </x:c>
      <x:c r="O830" s="186" t="n">
        <x:f>M830-N830</x:f>
        <x:v>95528</x:v>
      </x:c>
      <x:c r="P830" s="186" t="n">
        <x:v>123902</x:v>
      </x:c>
      <x:c r="Q830" s="186" t="n">
        <x:v>31197</x:v>
      </x:c>
      <x:c r="R830" s="186" t="n">
        <x:f>P830-Q830</x:f>
        <x:v>92705</x:v>
      </x:c>
      <x:c r="S830" s="186" t="n">
        <x:v>46457</x:v>
      </x:c>
      <x:c r="T830" s="186" t="n">
        <x:v>21882</x:v>
      </x:c>
      <x:c r="U830" s="186" t="n">
        <x:f>S830-T830</x:f>
        <x:v>24575</x:v>
      </x:c>
      <x:c r="V830" s="196" t="n">
        <x:f>IFERROR(O830/F830,"")</x:f>
        <x:v>0.20327744664733083</x:v>
      </x:c>
      <x:c r="W830" s="196" t="n">
        <x:f>IFERROR(I830/F830,"")</x:f>
        <x:v>-0.09600182151300488</x:v>
      </x:c>
    </x:row>
    <x:row r="831">
      <x:c r="A831" s="186" t="str">
        <x:v>Silver</x:v>
      </x:c>
      <x:c r="B831" s="187" t="n">
        <x:v>45272</x:v>
      </x:c>
      <x:c r="C831" s="187" t="n">
        <x:v>45275</x:v>
      </x:c>
      <x:c r="D831" s="186" t="str">
        <x:v>084691-SILVER</x:v>
      </x:c>
      <x:c r="E831" s="186" t="str">
        <x:v>SILVER - COMMODITY EXCHANGE INC.</x:v>
      </x:c>
      <x:c r="F831" s="186" t="n">
        <x:v>134281</x:v>
      </x:c>
      <x:c r="G831" s="186" t="n">
        <x:v>4311</x:v>
      </x:c>
      <x:c r="H831" s="186" t="n">
        <x:v>38849</x:v>
      </x:c>
      <x:c r="I831" s="186" t="n">
        <x:f>G831-H831</x:f>
        <x:v>-34538</x:v>
      </x:c>
      <x:c r="J831" s="186" t="n">
        <x:v>30707</x:v>
      </x:c>
      <x:c r="K831" s="186" t="n">
        <x:v>43665</x:v>
      </x:c>
      <x:c r="L831" s="186" t="n">
        <x:f>J831-K831</x:f>
        <x:v>-12958</x:v>
      </x:c>
      <x:c r="M831" s="186" t="n">
        <x:v>33472</x:v>
      </x:c>
      <x:c r="N831" s="186" t="n">
        <x:v>24805</x:v>
      </x:c>
      <x:c r="O831" s="186" t="n">
        <x:f>M831-N831</x:f>
        <x:v>8667</x:v>
      </x:c>
      <x:c r="P831" s="186" t="n">
        <x:v>22212</x:v>
      </x:c>
      <x:c r="Q831" s="186" t="n">
        <x:v>2421</x:v>
      </x:c>
      <x:c r="R831" s="186" t="n">
        <x:f>P831-Q831</x:f>
        <x:v>19791</x:v>
      </x:c>
      <x:c r="S831" s="186" t="n">
        <x:v>30602</x:v>
      </x:c>
      <x:c r="T831" s="186" t="n">
        <x:v>11564</x:v>
      </x:c>
      <x:c r="U831" s="186" t="n">
        <x:f>S831-T831</x:f>
        <x:v>19038</x:v>
      </x:c>
      <x:c r="V831" s="196" t="n">
        <x:f>IFERROR(O831/F831,"")</x:f>
        <x:v>0.06454375525949316</x:v>
      </x:c>
      <x:c r="W831" s="196" t="n">
        <x:f>IFERROR(I831/F831,"")</x:f>
        <x:v>-0.25720690194442997</x:v>
      </x:c>
    </x:row>
    <x:row r="832">
      <x:c r="A832" s="186" t="str">
        <x:v>Gold</x:v>
      </x:c>
      <x:c r="B832" s="187" t="n">
        <x:v>45279</x:v>
      </x:c>
      <x:c r="C832" s="187" t="n">
        <x:v>45282</x:v>
      </x:c>
      <x:c r="D832" s="186" t="str">
        <x:v>088691-GOLD</x:v>
      </x:c>
      <x:c r="E832" s="186" t="str">
        <x:v>GOLD - COMMODITY EXCHANGE INC.</x:v>
      </x:c>
      <x:c r="F832" s="186" t="n">
        <x:v>481203</x:v>
      </x:c>
      <x:c r="G832" s="186" t="n">
        <x:v>12836</x:v>
      </x:c>
      <x:c r="H832" s="186" t="n">
        <x:v>60852</x:v>
      </x:c>
      <x:c r="I832" s="186" t="n">
        <x:f>G832-H832</x:f>
        <x:v>-48016</x:v>
      </x:c>
      <x:c r="J832" s="186" t="n">
        <x:v>75017</x:v>
      </x:c>
      <x:c r="K832" s="186" t="n">
        <x:v>254059</x:v>
      </x:c>
      <x:c r="L832" s="186" t="n">
        <x:f>J832-K832</x:f>
        <x:v>-179042</x:v>
      </x:c>
      <x:c r="M832" s="186" t="n">
        <x:v>155697</x:v>
      </x:c>
      <x:c r="N832" s="186" t="n">
        <x:v>47421</x:v>
      </x:c>
      <x:c r="O832" s="186" t="n">
        <x:f>M832-N832</x:f>
        <x:v>108276</x:v>
      </x:c>
      <x:c r="P832" s="186" t="n">
        <x:v>125275</x:v>
      </x:c>
      <x:c r="Q832" s="186" t="n">
        <x:v>32212</x:v>
      </x:c>
      <x:c r="R832" s="186" t="n">
        <x:f>P832-Q832</x:f>
        <x:v>93063</x:v>
      </x:c>
      <x:c r="S832" s="186" t="n">
        <x:v>48019</x:v>
      </x:c>
      <x:c r="T832" s="186" t="n">
        <x:v>22300</x:v>
      </x:c>
      <x:c r="U832" s="186" t="n">
        <x:f>S832-T832</x:f>
        <x:v>25719</x:v>
      </x:c>
      <x:c r="V832" s="196" t="n">
        <x:f>IFERROR(O832/F832,"")</x:f>
        <x:v>0.2250110660157979</x:v>
      </x:c>
      <x:c r="W832" s="196" t="n">
        <x:f>IFERROR(I832/F832,"")</x:f>
        <x:v>-0.0997832515591133</x:v>
      </x:c>
    </x:row>
    <x:row r="833">
      <x:c r="A833" s="186" t="str">
        <x:v>Silver</x:v>
      </x:c>
      <x:c r="B833" s="187" t="n">
        <x:v>45279</x:v>
      </x:c>
      <x:c r="C833" s="187" t="n">
        <x:v>45282</x:v>
      </x:c>
      <x:c r="D833" s="186" t="str">
        <x:v>084691-SILVER</x:v>
      </x:c>
      <x:c r="E833" s="186" t="str">
        <x:v>SILVER - COMMODITY EXCHANGE INC.</x:v>
      </x:c>
      <x:c r="F833" s="186" t="n">
        <x:v>127549</x:v>
      </x:c>
      <x:c r="G833" s="186" t="n">
        <x:v>3701</x:v>
      </x:c>
      <x:c r="H833" s="186" t="n">
        <x:v>39714</x:v>
      </x:c>
      <x:c r="I833" s="186" t="n">
        <x:f>G833-H833</x:f>
        <x:v>-36013</x:v>
      </x:c>
      <x:c r="J833" s="186" t="n">
        <x:v>30908</x:v>
      </x:c>
      <x:c r="K833" s="186" t="n">
        <x:v>43686</x:v>
      </x:c>
      <x:c r="L833" s="186" t="n">
        <x:f>J833-K833</x:f>
        <x:v>-12778</x:v>
      </x:c>
      <x:c r="M833" s="186" t="n">
        <x:v>34931</x:v>
      </x:c>
      <x:c r="N833" s="186" t="n">
        <x:v>20060</x:v>
      </x:c>
      <x:c r="O833" s="186" t="n">
        <x:f>M833-N833</x:f>
        <x:v>14871</x:v>
      </x:c>
      <x:c r="P833" s="186" t="n">
        <x:v>17700</x:v>
      </x:c>
      <x:c r="Q833" s="186" t="n">
        <x:v>2820</x:v>
      </x:c>
      <x:c r="R833" s="186" t="n">
        <x:f>P833-Q833</x:f>
        <x:v>14880</x:v>
      </x:c>
      <x:c r="S833" s="186" t="n">
        <x:v>30159</x:v>
      </x:c>
      <x:c r="T833" s="186" t="n">
        <x:v>11119</x:v>
      </x:c>
      <x:c r="U833" s="186" t="n">
        <x:f>S833-T833</x:f>
        <x:v>19040</x:v>
      </x:c>
      <x:c r="V833" s="196" t="n">
        <x:f>IFERROR(O833/F833,"")</x:f>
        <x:v>0.1165904867933108</x:v>
      </x:c>
      <x:c r="W833" s="196" t="n">
        <x:f>IFERROR(I833/F833,"")</x:f>
        <x:v>-0.2823463923668551</x:v>
      </x:c>
    </x:row>
    <x:row r="834">
      <x:c r="A834" s="186" t="str">
        <x:v>Gold</x:v>
      </x:c>
      <x:c r="B834" s="187" t="n">
        <x:v>45286</x:v>
      </x:c>
      <x:c r="C834" s="187" t="n">
        <x:v>45289</x:v>
      </x:c>
      <x:c r="D834" s="186" t="str">
        <x:v>088691-GOLD</x:v>
      </x:c>
      <x:c r="E834" s="186" t="str">
        <x:v>GOLD - COMMODITY EXCHANGE INC.</x:v>
      </x:c>
      <x:c r="F834" s="186" t="n">
        <x:v>491343</x:v>
      </x:c>
      <x:c r="G834" s="186" t="n">
        <x:v>13243</x:v>
      </x:c>
      <x:c r="H834" s="186" t="n">
        <x:v>58256</x:v>
      </x:c>
      <x:c r="I834" s="186" t="n">
        <x:f>G834-H834</x:f>
        <x:v>-45013</x:v>
      </x:c>
      <x:c r="J834" s="186" t="n">
        <x:v>74400</x:v>
      </x:c>
      <x:c r="K834" s="186" t="n">
        <x:v>261732</x:v>
      </x:c>
      <x:c r="L834" s="186" t="n">
        <x:f>J834-K834</x:f>
        <x:v>-187332</x:v>
      </x:c>
      <x:c r="M834" s="186" t="n">
        <x:v>152801</x:v>
      </x:c>
      <x:c r="N834" s="186" t="n">
        <x:v>46347</x:v>
      </x:c>
      <x:c r="O834" s="186" t="n">
        <x:f>M834-N834</x:f>
        <x:v>106454</x:v>
      </x:c>
      <x:c r="P834" s="186" t="n">
        <x:v>137042</x:v>
      </x:c>
      <x:c r="Q834" s="186" t="n">
        <x:v>35778</x:v>
      </x:c>
      <x:c r="R834" s="186" t="n">
        <x:f>P834-Q834</x:f>
        <x:v>101264</x:v>
      </x:c>
      <x:c r="S834" s="186" t="n">
        <x:v>48036</x:v>
      </x:c>
      <x:c r="T834" s="186" t="n">
        <x:v>23409</x:v>
      </x:c>
      <x:c r="U834" s="186" t="n">
        <x:f>S834-T834</x:f>
        <x:v>24627</x:v>
      </x:c>
      <x:c r="V834" s="196" t="n">
        <x:f>IFERROR(O834/F834,"")</x:f>
        <x:v>0.21665923804755538</x:v>
      </x:c>
      <x:c r="W834" s="196" t="n">
        <x:f>IFERROR(I834/F834,"")</x:f>
        <x:v>-0.09161217316619957</x:v>
      </x:c>
    </x:row>
    <x:row r="835">
      <x:c r="A835" s="186" t="str">
        <x:v>Silver</x:v>
      </x:c>
      <x:c r="B835" s="187" t="n">
        <x:v>45286</x:v>
      </x:c>
      <x:c r="C835" s="187" t="n">
        <x:v>45289</x:v>
      </x:c>
      <x:c r="D835" s="186" t="str">
        <x:v>084691-SILVER</x:v>
      </x:c>
      <x:c r="E835" s="186" t="str">
        <x:v>SILVER - COMMODITY EXCHANGE INC.</x:v>
      </x:c>
      <x:c r="F835" s="186" t="n">
        <x:v>131408</x:v>
      </x:c>
      <x:c r="G835" s="186" t="n">
        <x:v>4063</x:v>
      </x:c>
      <x:c r="H835" s="186" t="n">
        <x:v>41011</x:v>
      </x:c>
      <x:c r="I835" s="186" t="n">
        <x:f>G835-H835</x:f>
        <x:v>-36948</x:v>
      </x:c>
      <x:c r="J835" s="186" t="n">
        <x:v>29911</x:v>
      </x:c>
      <x:c r="K835" s="186" t="n">
        <x:v>45585</x:v>
      </x:c>
      <x:c r="L835" s="186" t="n">
        <x:f>J835-K835</x:f>
        <x:v>-15674</x:v>
      </x:c>
      <x:c r="M835" s="186" t="n">
        <x:v>36546</x:v>
      </x:c>
      <x:c r="N835" s="186" t="n">
        <x:v>19749</x:v>
      </x:c>
      <x:c r="O835" s="186" t="n">
        <x:f>M835-N835</x:f>
        <x:v>16797</x:v>
      </x:c>
      <x:c r="P835" s="186" t="n">
        <x:v>18013</x:v>
      </x:c>
      <x:c r="Q835" s="186" t="n">
        <x:v>2947</x:v>
      </x:c>
      <x:c r="R835" s="186" t="n">
        <x:f>P835-Q835</x:f>
        <x:v>15066</x:v>
      </x:c>
      <x:c r="S835" s="186" t="n">
        <x:v>31476</x:v>
      </x:c>
      <x:c r="T835" s="186" t="n">
        <x:v>10717</x:v>
      </x:c>
      <x:c r="U835" s="186" t="n">
        <x:f>S835-T835</x:f>
        <x:v>20759</x:v>
      </x:c>
      <x:c r="V835" s="196" t="n">
        <x:f>IFERROR(O835/F835,"")</x:f>
        <x:v>0.1278232679897723</x:v>
      </x:c>
      <x:c r="W835" s="196" t="n">
        <x:f>IFERROR(I835/F835,"")</x:f>
        <x:v>-0.2811700961889687</x:v>
      </x:c>
    </x:row>
    <x:row r="836">
      <x:c r="A836" s="186" t="str">
        <x:v>Gold</x:v>
      </x:c>
      <x:c r="B836" s="187" t="n">
        <x:v>45293</x:v>
      </x:c>
      <x:c r="C836" s="187" t="n">
        <x:v>45296</x:v>
      </x:c>
      <x:c r="D836" s="186" t="str">
        <x:v>088691-GOLD</x:v>
      </x:c>
      <x:c r="E836" s="186" t="str">
        <x:v>GOLD - COMMODITY EXCHANGE INC.</x:v>
      </x:c>
      <x:c r="F836" s="186" t="n">
        <x:v>500364</x:v>
      </x:c>
      <x:c r="G836" s="186" t="n">
        <x:v>13674</x:v>
      </x:c>
      <x:c r="H836" s="186" t="n">
        <x:v>55375</x:v>
      </x:c>
      <x:c r="I836" s="186" t="n">
        <x:f>G836-H836</x:f>
        <x:v>-41701</x:v>
      </x:c>
      <x:c r="J836" s="186" t="n">
        <x:v>76117</x:v>
      </x:c>
      <x:c r="K836" s="186" t="n">
        <x:v>269894</x:v>
      </x:c>
      <x:c r="L836" s="186" t="n">
        <x:f>J836-K836</x:f>
        <x:v>-193777</x:v>
      </x:c>
      <x:c r="M836" s="186" t="n">
        <x:v>154384</x:v>
      </x:c>
      <x:c r="N836" s="186" t="n">
        <x:v>45235</x:v>
      </x:c>
      <x:c r="O836" s="186" t="n">
        <x:f>M836-N836</x:f>
        <x:v>109149</x:v>
      </x:c>
      <x:c r="P836" s="186" t="n">
        <x:v>136322</x:v>
      </x:c>
      <x:c r="Q836" s="186" t="n">
        <x:v>37822</x:v>
      </x:c>
      <x:c r="R836" s="186" t="n">
        <x:f>P836-Q836</x:f>
        <x:v>98500</x:v>
      </x:c>
      <x:c r="S836" s="186" t="n">
        <x:v>49200</x:v>
      </x:c>
      <x:c r="T836" s="186" t="n">
        <x:v>21371</x:v>
      </x:c>
      <x:c r="U836" s="186" t="n">
        <x:f>S836-T836</x:f>
        <x:v>27829</x:v>
      </x:c>
      <x:c r="V836" s="196" t="n">
        <x:f>IFERROR(O836/F836,"")</x:f>
        <x:v>0.21813919466628295</x:v>
      </x:c>
      <x:c r="W836" s="196" t="n">
        <x:f>IFERROR(I836/F836,"")</x:f>
        <x:v>-0.08334132751357012</x:v>
      </x:c>
    </x:row>
    <x:row r="837">
      <x:c r="A837" s="186" t="str">
        <x:v>Silver</x:v>
      </x:c>
      <x:c r="B837" s="187" t="n">
        <x:v>45293</x:v>
      </x:c>
      <x:c r="C837" s="187" t="n">
        <x:v>45296</x:v>
      </x:c>
      <x:c r="D837" s="186" t="str">
        <x:v>084691-SILVER</x:v>
      </x:c>
      <x:c r="E837" s="186" t="str">
        <x:v>SILVER - COMMODITY EXCHANGE INC.</x:v>
      </x:c>
      <x:c r="F837" s="186" t="n">
        <x:v>134725</x:v>
      </x:c>
      <x:c r="G837" s="186" t="n">
        <x:v>4483</x:v>
      </x:c>
      <x:c r="H837" s="186" t="n">
        <x:v>42194</x:v>
      </x:c>
      <x:c r="I837" s="186" t="n">
        <x:f>G837-H837</x:f>
        <x:v>-37711</x:v>
      </x:c>
      <x:c r="J837" s="186" t="n">
        <x:v>30612</x:v>
      </x:c>
      <x:c r="K837" s="186" t="n">
        <x:v>43448</x:v>
      </x:c>
      <x:c r="L837" s="186" t="n">
        <x:f>J837-K837</x:f>
        <x:v>-12836</x:v>
      </x:c>
      <x:c r="M837" s="186" t="n">
        <x:v>38424</x:v>
      </x:c>
      <x:c r="N837" s="186" t="n">
        <x:v>22367</x:v>
      </x:c>
      <x:c r="O837" s="186" t="n">
        <x:f>M837-N837</x:f>
        <x:v>16057</x:v>
      </x:c>
      <x:c r="P837" s="186" t="n">
        <x:v>19210</x:v>
      </x:c>
      <x:c r="Q837" s="186" t="n">
        <x:v>2697</x:v>
      </x:c>
      <x:c r="R837" s="186" t="n">
        <x:f>P837-Q837</x:f>
        <x:v>16513</x:v>
      </x:c>
      <x:c r="S837" s="186" t="n">
        <x:v>28176</x:v>
      </x:c>
      <x:c r="T837" s="186" t="n">
        <x:v>10199</x:v>
      </x:c>
      <x:c r="U837" s="186" t="n">
        <x:f>S837-T837</x:f>
        <x:v>17977</x:v>
      </x:c>
      <x:c r="V837" s="196" t="n">
        <x:f>IFERROR(O837/F837,"")</x:f>
        <x:v>0.11918352198923733</x:v>
      </x:c>
      <x:c r="W837" s="196" t="n">
        <x:f>IFERROR(I837/F837,"")</x:f>
        <x:v>-0.2799109296715532</x:v>
      </x:c>
    </x:row>
    <x:row r="838">
      <x:c r="A838" s="186" t="str">
        <x:v>Gold</x:v>
      </x:c>
      <x:c r="B838" s="187" t="n">
        <x:v>45300</x:v>
      </x:c>
      <x:c r="C838" s="187" t="n">
        <x:v>45303</x:v>
      </x:c>
      <x:c r="D838" s="186" t="str">
        <x:v>088691-GOLD</x:v>
      </x:c>
      <x:c r="E838" s="186" t="str">
        <x:v>GOLD - COMMODITY EXCHANGE INC.</x:v>
      </x:c>
      <x:c r="F838" s="186" t="n">
        <x:v>489849</x:v>
      </x:c>
      <x:c r="G838" s="186" t="n">
        <x:v>11949</x:v>
      </x:c>
      <x:c r="H838" s="186" t="n">
        <x:v>56950</x:v>
      </x:c>
      <x:c r="I838" s="186" t="n">
        <x:f>G838-H838</x:f>
        <x:v>-45001</x:v>
      </x:c>
      <x:c r="J838" s="186" t="n">
        <x:v>78213</x:v>
      </x:c>
      <x:c r="K838" s="186" t="n">
        <x:v>250913</x:v>
      </x:c>
      <x:c r="L838" s="186" t="n">
        <x:f>J838-K838</x:f>
        <x:v>-172700</x:v>
      </x:c>
      <x:c r="M838" s="186" t="n">
        <x:v>134333</x:v>
      </x:c>
      <x:c r="N838" s="186" t="n">
        <x:v>45874</x:v>
      </x:c>
      <x:c r="O838" s="186" t="n">
        <x:f>M838-N838</x:f>
        <x:v>88459</x:v>
      </x:c>
      <x:c r="P838" s="186" t="n">
        <x:v>137332</x:v>
      </x:c>
      <x:c r="Q838" s="186" t="n">
        <x:v>37177</x:v>
      </x:c>
      <x:c r="R838" s="186" t="n">
        <x:f>P838-Q838</x:f>
        <x:v>100155</x:v>
      </x:c>
      <x:c r="S838" s="186" t="n">
        <x:v>50574</x:v>
      </x:c>
      <x:c r="T838" s="186" t="n">
        <x:v>21487</x:v>
      </x:c>
      <x:c r="U838" s="186" t="n">
        <x:f>S838-T838</x:f>
        <x:v>29087</x:v>
      </x:c>
      <x:c r="V838" s="196" t="n">
        <x:f>IFERROR(O838/F838,"")</x:f>
        <x:v>0.18058422085173187</x:v>
      </x:c>
      <x:c r="W838" s="196" t="n">
        <x:f>IFERROR(I838/F838,"")</x:f>
        <x:v>-0.09186708557126788</x:v>
      </x:c>
    </x:row>
    <x:row r="839">
      <x:c r="A839" s="186" t="str">
        <x:v>Silver</x:v>
      </x:c>
      <x:c r="B839" s="187" t="n">
        <x:v>45300</x:v>
      </x:c>
      <x:c r="C839" s="187" t="n">
        <x:v>45303</x:v>
      </x:c>
      <x:c r="D839" s="186" t="str">
        <x:v>084691-SILVER</x:v>
      </x:c>
      <x:c r="E839" s="186" t="str">
        <x:v>SILVER - COMMODITY EXCHANGE INC.</x:v>
      </x:c>
      <x:c r="F839" s="186" t="n">
        <x:v>131992</x:v>
      </x:c>
      <x:c r="G839" s="186" t="n">
        <x:v>4454</x:v>
      </x:c>
      <x:c r="H839" s="186" t="n">
        <x:v>41495</x:v>
      </x:c>
      <x:c r="I839" s="186" t="n">
        <x:f>G839-H839</x:f>
        <x:v>-37041</x:v>
      </x:c>
      <x:c r="J839" s="186" t="n">
        <x:v>31530</x:v>
      </x:c>
      <x:c r="K839" s="186" t="n">
        <x:v>38244</x:v>
      </x:c>
      <x:c r="L839" s="186" t="n">
        <x:f>J839-K839</x:f>
        <x:v>-6714</x:v>
      </x:c>
      <x:c r="M839" s="186" t="n">
        <x:v>32392</x:v>
      </x:c>
      <x:c r="N839" s="186" t="n">
        <x:v>24044</x:v>
      </x:c>
      <x:c r="O839" s="186" t="n">
        <x:f>M839-N839</x:f>
        <x:v>8348</x:v>
      </x:c>
      <x:c r="P839" s="186" t="n">
        <x:v>20494</x:v>
      </x:c>
      <x:c r="Q839" s="186" t="n">
        <x:v>2480</x:v>
      </x:c>
      <x:c r="R839" s="186" t="n">
        <x:f>P839-Q839</x:f>
        <x:v>18014</x:v>
      </x:c>
      <x:c r="S839" s="186" t="n">
        <x:v>29378</x:v>
      </x:c>
      <x:c r="T839" s="186" t="n">
        <x:v>11985</x:v>
      </x:c>
      <x:c r="U839" s="186" t="n">
        <x:f>S839-T839</x:f>
        <x:v>17393</x:v>
      </x:c>
      <x:c r="V839" s="196" t="n">
        <x:f>IFERROR(O839/F839,"")</x:f>
        <x:v>0.06324625734893023</x:v>
      </x:c>
      <x:c r="W839" s="196" t="n">
        <x:f>IFERROR(I839/F839,"")</x:f>
        <x:v>-0.2806306442814716</x:v>
      </x:c>
    </x:row>
    <x:row r="840">
      <x:c r="A840" s="186" t="str">
        <x:v>Gold</x:v>
      </x:c>
      <x:c r="B840" s="187" t="n">
        <x:v>45307</x:v>
      </x:c>
      <x:c r="C840" s="187" t="n">
        <x:v>45310</x:v>
      </x:c>
      <x:c r="D840" s="186" t="str">
        <x:v>088691-GOLD</x:v>
      </x:c>
      <x:c r="E840" s="186" t="str">
        <x:v>GOLD - COMMODITY EXCHANGE INC.</x:v>
      </x:c>
      <x:c r="F840" s="186" t="n">
        <x:v>489334</x:v>
      </x:c>
      <x:c r="G840" s="186" t="n">
        <x:v>12864</x:v>
      </x:c>
      <x:c r="H840" s="186" t="n">
        <x:v>53418</x:v>
      </x:c>
      <x:c r="I840" s="186" t="n">
        <x:f>G840-H840</x:f>
        <x:v>-40554</x:v>
      </x:c>
      <x:c r="J840" s="186" t="n">
        <x:v>75791</x:v>
      </x:c>
      <x:c r="K840" s="186" t="n">
        <x:v>242657</x:v>
      </x:c>
      <x:c r="L840" s="186" t="n">
        <x:f>J840-K840</x:f>
        <x:v>-166866</x:v>
      </x:c>
      <x:c r="M840" s="186" t="n">
        <x:v>130931</x:v>
      </x:c>
      <x:c r="N840" s="186" t="n">
        <x:v>47702</x:v>
      </x:c>
      <x:c r="O840" s="186" t="n">
        <x:f>M840-N840</x:f>
        <x:v>83229</x:v>
      </x:c>
      <x:c r="P840" s="186" t="n">
        <x:v>131429</x:v>
      </x:c>
      <x:c r="Q840" s="186" t="n">
        <x:v>34765</x:v>
      </x:c>
      <x:c r="R840" s="186" t="n">
        <x:f>P840-Q840</x:f>
        <x:v>96664</x:v>
      </x:c>
      <x:c r="S840" s="186" t="n">
        <x:v>49640</x:v>
      </x:c>
      <x:c r="T840" s="186" t="n">
        <x:v>22113</x:v>
      </x:c>
      <x:c r="U840" s="186" t="n">
        <x:f>S840-T840</x:f>
        <x:v>27527</x:v>
      </x:c>
      <x:c r="V840" s="196" t="n">
        <x:f>IFERROR(O840/F840,"")</x:f>
        <x:v>0.17008628053640254</x:v>
      </x:c>
      <x:c r="W840" s="196" t="n">
        <x:f>IFERROR(I840/F840,"")</x:f>
        <x:v>-0.08287590888840751</x:v>
      </x:c>
    </x:row>
    <x:row r="841">
      <x:c r="A841" s="186" t="str">
        <x:v>Silver</x:v>
      </x:c>
      <x:c r="B841" s="187" t="n">
        <x:v>45307</x:v>
      </x:c>
      <x:c r="C841" s="187" t="n">
        <x:v>45310</x:v>
      </x:c>
      <x:c r="D841" s="186" t="str">
        <x:v>084691-SILVER</x:v>
      </x:c>
      <x:c r="E841" s="186" t="str">
        <x:v>SILVER - COMMODITY EXCHANGE INC.</x:v>
      </x:c>
      <x:c r="F841" s="186" t="n">
        <x:v>131956</x:v>
      </x:c>
      <x:c r="G841" s="186" t="n">
        <x:v>3996</x:v>
      </x:c>
      <x:c r="H841" s="186" t="n">
        <x:v>41203</x:v>
      </x:c>
      <x:c r="I841" s="186" t="n">
        <x:f>G841-H841</x:f>
        <x:v>-37207</x:v>
      </x:c>
      <x:c r="J841" s="186" t="n">
        <x:v>29225</x:v>
      </x:c>
      <x:c r="K841" s="186" t="n">
        <x:v>35777</x:v>
      </x:c>
      <x:c r="L841" s="186" t="n">
        <x:f>J841-K841</x:f>
        <x:v>-6552</x:v>
      </x:c>
      <x:c r="M841" s="186" t="n">
        <x:v>31698</x:v>
      </x:c>
      <x:c r="N841" s="186" t="n">
        <x:v>25475</x:v>
      </x:c>
      <x:c r="O841" s="186" t="n">
        <x:f>M841-N841</x:f>
        <x:v>6223</x:v>
      </x:c>
      <x:c r="P841" s="186" t="n">
        <x:v>22303</x:v>
      </x:c>
      <x:c r="Q841" s="186" t="n">
        <x:v>2933</x:v>
      </x:c>
      <x:c r="R841" s="186" t="n">
        <x:f>P841-Q841</x:f>
        <x:v>19370</x:v>
      </x:c>
      <x:c r="S841" s="186" t="n">
        <x:v>29933</x:v>
      </x:c>
      <x:c r="T841" s="186" t="n">
        <x:v>11767</x:v>
      </x:c>
      <x:c r="U841" s="186" t="n">
        <x:f>S841-T841</x:f>
        <x:v>18166</x:v>
      </x:c>
      <x:c r="V841" s="196" t="n">
        <x:f>IFERROR(O841/F841,"")</x:f>
        <x:v>0.04715965928036618</x:v>
      </x:c>
      <x:c r="W841" s="196" t="n">
        <x:f>IFERROR(I841/F841,"")</x:f>
        <x:v>-0.2819652005213859</x:v>
      </x:c>
    </x:row>
    <x:row r="842">
      <x:c r="A842" s="186" t="str">
        <x:v>Gold</x:v>
      </x:c>
      <x:c r="B842" s="187" t="n">
        <x:v>45314</x:v>
      </x:c>
      <x:c r="C842" s="187" t="n">
        <x:v>45317</x:v>
      </x:c>
      <x:c r="D842" s="186" t="str">
        <x:v>088691-GOLD</x:v>
      </x:c>
      <x:c r="E842" s="186" t="str">
        <x:v>GOLD - COMMODITY EXCHANGE INC.</x:v>
      </x:c>
      <x:c r="F842" s="186" t="n">
        <x:v>465872</x:v>
      </x:c>
      <x:c r="G842" s="186" t="n">
        <x:v>13724</x:v>
      </x:c>
      <x:c r="H842" s="186" t="n">
        <x:v>52673</x:v>
      </x:c>
      <x:c r="I842" s="186" t="n">
        <x:f>G842-H842</x:f>
        <x:v>-38949</x:v>
      </x:c>
      <x:c r="J842" s="186" t="n">
        <x:v>78535</x:v>
      </x:c>
      <x:c r="K842" s="186" t="n">
        <x:v>231679</x:v>
      </x:c>
      <x:c r="L842" s="186" t="n">
        <x:f>J842-K842</x:f>
        <x:v>-153144</x:v>
      </x:c>
      <x:c r="M842" s="186" t="n">
        <x:v>111298</x:v>
      </x:c>
      <x:c r="N842" s="186" t="n">
        <x:v>50265</x:v>
      </x:c>
      <x:c r="O842" s="186" t="n">
        <x:f>M842-N842</x:f>
        <x:v>61033</x:v>
      </x:c>
      <x:c r="P842" s="186" t="n">
        <x:v>129802</x:v>
      </x:c>
      <x:c r="Q842" s="186" t="n">
        <x:v>21361</x:v>
      </x:c>
      <x:c r="R842" s="186" t="n">
        <x:f>P842-Q842</x:f>
        <x:v>108441</x:v>
      </x:c>
      <x:c r="S842" s="186" t="n">
        <x:v>45644</x:v>
      </x:c>
      <x:c r="T842" s="186" t="n">
        <x:v>23025</x:v>
      </x:c>
      <x:c r="U842" s="186" t="n">
        <x:f>S842-T842</x:f>
        <x:v>22619</x:v>
      </x:c>
      <x:c r="V842" s="196" t="n">
        <x:f>IFERROR(O842/F842,"")</x:f>
        <x:v>0.13100808805852251</x:v>
      </x:c>
      <x:c r="W842" s="196" t="n">
        <x:f>IFERROR(I842/F842,"")</x:f>
        <x:v>-0.08360450939313803</x:v>
      </x:c>
    </x:row>
    <x:row r="843">
      <x:c r="A843" s="186" t="str">
        <x:v>Silver</x:v>
      </x:c>
      <x:c r="B843" s="187" t="n">
        <x:v>45314</x:v>
      </x:c>
      <x:c r="C843" s="187" t="n">
        <x:v>45317</x:v>
      </x:c>
      <x:c r="D843" s="186" t="str">
        <x:v>084691-SILVER</x:v>
      </x:c>
      <x:c r="E843" s="186" t="str">
        <x:v>SILVER - COMMODITY EXCHANGE INC.</x:v>
      </x:c>
      <x:c r="F843" s="186" t="n">
        <x:v>138617</x:v>
      </x:c>
      <x:c r="G843" s="186" t="n">
        <x:v>5416</x:v>
      </x:c>
      <x:c r="H843" s="186" t="n">
        <x:v>38275</x:v>
      </x:c>
      <x:c r="I843" s="186" t="n">
        <x:f>G843-H843</x:f>
        <x:v>-32859</x:v>
      </x:c>
      <x:c r="J843" s="186" t="n">
        <x:v>32519</x:v>
      </x:c>
      <x:c r="K843" s="186" t="n">
        <x:v>33731</x:v>
      </x:c>
      <x:c r="L843" s="186" t="n">
        <x:f>J843-K843</x:f>
        <x:v>-1212</x:v>
      </x:c>
      <x:c r="M843" s="186" t="n">
        <x:v>29434</x:v>
      </x:c>
      <x:c r="N843" s="186" t="n">
        <x:v>32088</x:v>
      </x:c>
      <x:c r="O843" s="186" t="n">
        <x:f>M843-N843</x:f>
        <x:v>-2654</x:v>
      </x:c>
      <x:c r="P843" s="186" t="n">
        <x:v>23687</x:v>
      </x:c>
      <x:c r="Q843" s="186" t="n">
        <x:v>3296</x:v>
      </x:c>
      <x:c r="R843" s="186" t="n">
        <x:f>P843-Q843</x:f>
        <x:v>20391</x:v>
      </x:c>
      <x:c r="S843" s="186" t="n">
        <x:v>30311</x:v>
      </x:c>
      <x:c r="T843" s="186" t="n">
        <x:v>13977</x:v>
      </x:c>
      <x:c r="U843" s="186" t="n">
        <x:f>S843-T843</x:f>
        <x:v>16334</x:v>
      </x:c>
      <x:c r="V843" s="196" t="n">
        <x:f>IFERROR(O843/F843,"")</x:f>
        <x:v>-0.019146280759214238</x:v>
      </x:c>
      <x:c r="W843" s="196" t="n">
        <x:f>IFERROR(I843/F843,"")</x:f>
        <x:v>-0.2370488468225398</x:v>
      </x:c>
    </x:row>
    <x:row r="844">
      <x:c r="A844" s="186" t="str">
        <x:v>Gold</x:v>
      </x:c>
      <x:c r="B844" s="187" t="n">
        <x:v>45321</x:v>
      </x:c>
      <x:c r="C844" s="187" t="n">
        <x:v>45324</x:v>
      </x:c>
      <x:c r="D844" s="186" t="str">
        <x:v>088691-GOLD</x:v>
      </x:c>
      <x:c r="E844" s="186" t="str">
        <x:v>GOLD - COMMODITY EXCHANGE INC.</x:v>
      </x:c>
      <x:c r="F844" s="186" t="n">
        <x:v>430328</x:v>
      </x:c>
      <x:c r="G844" s="186" t="n">
        <x:v>15272</x:v>
      </x:c>
      <x:c r="H844" s="186" t="n">
        <x:v>49631</x:v>
      </x:c>
      <x:c r="I844" s="186" t="n">
        <x:f>G844-H844</x:f>
        <x:v>-34359</x:v>
      </x:c>
      <x:c r="J844" s="186" t="n">
        <x:v>77882</x:v>
      </x:c>
      <x:c r="K844" s="186" t="n">
        <x:v>214041</x:v>
      </x:c>
      <x:c r="L844" s="186" t="n">
        <x:f>J844-K844</x:f>
        <x:v>-136159</x:v>
      </x:c>
      <x:c r="M844" s="186" t="n">
        <x:v>108093</x:v>
      </x:c>
      <x:c r="N844" s="186" t="n">
        <x:v>52069</x:v>
      </x:c>
      <x:c r="O844" s="186" t="n">
        <x:f>M844-N844</x:f>
        <x:v>56024</x:v>
      </x:c>
      <x:c r="P844" s="186" t="n">
        <x:v>111129</x:v>
      </x:c>
      <x:c r="Q844" s="186" t="n">
        <x:v>19362</x:v>
      </x:c>
      <x:c r="R844" s="186" t="n">
        <x:f>P844-Q844</x:f>
        <x:v>91767</x:v>
      </x:c>
      <x:c r="S844" s="186" t="n">
        <x:v>45364</x:v>
      </x:c>
      <x:c r="T844" s="186" t="n">
        <x:v>22637</x:v>
      </x:c>
      <x:c r="U844" s="186" t="n">
        <x:f>S844-T844</x:f>
        <x:v>22727</x:v>
      </x:c>
      <x:c r="V844" s="196" t="n">
        <x:f>IFERROR(O844/F844,"")</x:f>
        <x:v>0.1301890650852373</x:v>
      </x:c>
      <x:c r="W844" s="196" t="n">
        <x:f>IFERROR(I844/F844,"")</x:f>
        <x:v>-0.07984374709523898</x:v>
      </x:c>
    </x:row>
    <x:row r="845">
      <x:c r="A845" s="186" t="str">
        <x:v>Silver</x:v>
      </x:c>
      <x:c r="B845" s="187" t="n">
        <x:v>45321</x:v>
      </x:c>
      <x:c r="C845" s="187" t="n">
        <x:v>45324</x:v>
      </x:c>
      <x:c r="D845" s="186" t="str">
        <x:v>084691-SILVER</x:v>
      </x:c>
      <x:c r="E845" s="186" t="str">
        <x:v>SILVER - COMMODITY EXCHANGE INC.</x:v>
      </x:c>
      <x:c r="F845" s="186" t="n">
        <x:v>136544</x:v>
      </x:c>
      <x:c r="G845" s="186" t="n">
        <x:v>4103</x:v>
      </x:c>
      <x:c r="H845" s="186" t="n">
        <x:v>40136</x:v>
      </x:c>
      <x:c r="I845" s="186" t="n">
        <x:f>G845-H845</x:f>
        <x:v>-36033</x:v>
      </x:c>
      <x:c r="J845" s="186" t="n">
        <x:v>33364</x:v>
      </x:c>
      <x:c r="K845" s="186" t="n">
        <x:v>35109</x:v>
      </x:c>
      <x:c r="L845" s="186" t="n">
        <x:f>J845-K845</x:f>
        <x:v>-1745</x:v>
      </x:c>
      <x:c r="M845" s="186" t="n">
        <x:v>32840</x:v>
      </x:c>
      <x:c r="N845" s="186" t="n">
        <x:v>28509</x:v>
      </x:c>
      <x:c r="O845" s="186" t="n">
        <x:f>M845-N845</x:f>
        <x:v>4331</x:v>
      </x:c>
      <x:c r="P845" s="186" t="n">
        <x:v>19938</x:v>
      </x:c>
      <x:c r="Q845" s="186" t="n">
        <x:v>2843</x:v>
      </x:c>
      <x:c r="R845" s="186" t="n">
        <x:f>P845-Q845</x:f>
        <x:v>17095</x:v>
      </x:c>
      <x:c r="S845" s="186" t="n">
        <x:v>30191</x:v>
      </x:c>
      <x:c r="T845" s="186" t="n">
        <x:v>13839</x:v>
      </x:c>
      <x:c r="U845" s="186" t="n">
        <x:f>S845-T845</x:f>
        <x:v>16352</x:v>
      </x:c>
      <x:c r="V845" s="196" t="n">
        <x:f>IFERROR(O845/F845,"")</x:f>
        <x:v>0.03171871338176705</x:v>
      </x:c>
      <x:c r="W845" s="196" t="n">
        <x:f>IFERROR(I845/F845,"")</x:f>
        <x:v>-0.26389295758143894</x:v>
      </x:c>
    </x:row>
    <x:row r="846">
      <x:c r="A846" s="186" t="str">
        <x:v>Gold</x:v>
      </x:c>
      <x:c r="B846" s="187" t="n">
        <x:v>45328</x:v>
      </x:c>
      <x:c r="C846" s="187" t="n">
        <x:v>45331</x:v>
      </x:c>
      <x:c r="D846" s="186" t="str">
        <x:v>088691-GOLD</x:v>
      </x:c>
      <x:c r="E846" s="186" t="str">
        <x:v>GOLD - COMMODITY EXCHANGE INC.</x:v>
      </x:c>
      <x:c r="F846" s="186" t="n">
        <x:v>419121</x:v>
      </x:c>
      <x:c r="G846" s="186" t="n">
        <x:v>14285</x:v>
      </x:c>
      <x:c r="H846" s="186" t="n">
        <x:v>50903</x:v>
      </x:c>
      <x:c r="I846" s="186" t="n">
        <x:f>G846-H846</x:f>
        <x:v>-36618</x:v>
      </x:c>
      <x:c r="J846" s="186" t="n">
        <x:v>77734</x:v>
      </x:c>
      <x:c r="K846" s="186" t="n">
        <x:v>221357</x:v>
      </x:c>
      <x:c r="L846" s="186" t="n">
        <x:f>J846-K846</x:f>
        <x:v>-143623</x:v>
      </x:c>
      <x:c r="M846" s="186" t="n">
        <x:v>114316</x:v>
      </x:c>
      <x:c r="N846" s="186" t="n">
        <x:v>46247</x:v>
      </x:c>
      <x:c r="O846" s="186" t="n">
        <x:f>M846-N846</x:f>
        <x:v>68069</x:v>
      </x:c>
      <x:c r="P846" s="186" t="n">
        <x:v>114307</x:v>
      </x:c>
      <x:c r="Q846" s="186" t="n">
        <x:v>20638</x:v>
      </x:c>
      <x:c r="R846" s="186" t="n">
        <x:f>P846-Q846</x:f>
        <x:v>93669</x:v>
      </x:c>
      <x:c r="S846" s="186" t="n">
        <x:v>41863</x:v>
      </x:c>
      <x:c r="T846" s="186" t="n">
        <x:v>23360</x:v>
      </x:c>
      <x:c r="U846" s="186" t="n">
        <x:f>S846-T846</x:f>
        <x:v>18503</x:v>
      </x:c>
      <x:c r="V846" s="196" t="n">
        <x:f>IFERROR(O846/F846,"")</x:f>
        <x:v>0.16240894634246436</x:v>
      </x:c>
      <x:c r="W846" s="196" t="n">
        <x:f>IFERROR(I846/F846,"")</x:f>
        <x:v>-0.08736856420938106</x:v>
      </x:c>
    </x:row>
    <x:row r="847">
      <x:c r="A847" s="186" t="str">
        <x:v>Silver</x:v>
      </x:c>
      <x:c r="B847" s="187" t="n">
        <x:v>45328</x:v>
      </x:c>
      <x:c r="C847" s="187" t="n">
        <x:v>45331</x:v>
      </x:c>
      <x:c r="D847" s="186" t="str">
        <x:v>084691-SILVER</x:v>
      </x:c>
      <x:c r="E847" s="186" t="str">
        <x:v>SILVER - COMMODITY EXCHANGE INC.</x:v>
      </x:c>
      <x:c r="F847" s="186" t="n">
        <x:v>147333</x:v>
      </x:c>
      <x:c r="G847" s="186" t="n">
        <x:v>6697</x:v>
      </x:c>
      <x:c r="H847" s="186" t="n">
        <x:v>39360</x:v>
      </x:c>
      <x:c r="I847" s="186" t="n">
        <x:f>G847-H847</x:f>
        <x:v>-32663</x:v>
      </x:c>
      <x:c r="J847" s="186" t="n">
        <x:v>33825</x:v>
      </x:c>
      <x:c r="K847" s="186" t="n">
        <x:v>34645</x:v>
      </x:c>
      <x:c r="L847" s="186" t="n">
        <x:f>J847-K847</x:f>
        <x:v>-820</x:v>
      </x:c>
      <x:c r="M847" s="186" t="n">
        <x:v>32101</x:v>
      </x:c>
      <x:c r="N847" s="186" t="n">
        <x:v>36700</x:v>
      </x:c>
      <x:c r="O847" s="186" t="n">
        <x:f>M847-N847</x:f>
        <x:v>-4599</x:v>
      </x:c>
      <x:c r="P847" s="186" t="n">
        <x:v>23234</x:v>
      </x:c>
      <x:c r="Q847" s="186" t="n">
        <x:v>1755</x:v>
      </x:c>
      <x:c r="R847" s="186" t="n">
        <x:f>P847-Q847</x:f>
        <x:v>21479</x:v>
      </x:c>
      <x:c r="S847" s="186" t="n">
        <x:v>32162</x:v>
      </x:c>
      <x:c r="T847" s="186" t="n">
        <x:v>15559</x:v>
      </x:c>
      <x:c r="U847" s="186" t="n">
        <x:f>S847-T847</x:f>
        <x:v>16603</x:v>
      </x:c>
      <x:c r="V847" s="196" t="n">
        <x:f>IFERROR(O847/F847,"")</x:f>
        <x:v>-0.031215002748875</x:v>
      </x:c>
      <x:c r="W847" s="196" t="n">
        <x:f>IFERROR(I847/F847,"")</x:f>
        <x:v>-0.22169507170830705</x:v>
      </x:c>
    </x:row>
    <x:row r="848">
      <x:c r="A848" s="186" t="str">
        <x:v>Gold</x:v>
      </x:c>
      <x:c r="B848" s="187" t="n">
        <x:v>45335</x:v>
      </x:c>
      <x:c r="C848" s="187" t="n">
        <x:v>45338</x:v>
      </x:c>
      <x:c r="D848" s="186" t="str">
        <x:v>088691-GOLD</x:v>
      </x:c>
      <x:c r="E848" s="186" t="str">
        <x:v>GOLD - COMMODITY EXCHANGE INC.</x:v>
      </x:c>
      <x:c r="F848" s="186" t="n">
        <x:v>420812</x:v>
      </x:c>
      <x:c r="G848" s="186" t="n">
        <x:v>15888</x:v>
      </x:c>
      <x:c r="H848" s="186" t="n">
        <x:v>48131</x:v>
      </x:c>
      <x:c r="I848" s="186" t="n">
        <x:f>G848-H848</x:f>
        <x:v>-32243</x:v>
      </x:c>
      <x:c r="J848" s="186" t="n">
        <x:v>78854</x:v>
      </x:c>
      <x:c r="K848" s="186" t="n">
        <x:v>199591</x:v>
      </x:c>
      <x:c r="L848" s="186" t="n">
        <x:f>J848-K848</x:f>
        <x:v>-120737</x:v>
      </x:c>
      <x:c r="M848" s="186" t="n">
        <x:v>100642</x:v>
      </x:c>
      <x:c r="N848" s="186" t="n">
        <x:v>66466</x:v>
      </x:c>
      <x:c r="O848" s="186" t="n">
        <x:f>M848-N848</x:f>
        <x:v>34176</x:v>
      </x:c>
      <x:c r="P848" s="186" t="n">
        <x:v>116863</x:v>
      </x:c>
      <x:c r="Q848" s="186" t="n">
        <x:v>19871</x:v>
      </x:c>
      <x:c r="R848" s="186" t="n">
        <x:f>P848-Q848</x:f>
        <x:v>96992</x:v>
      </x:c>
      <x:c r="S848" s="186" t="n">
        <x:v>44228</x:v>
      </x:c>
      <x:c r="T848" s="186" t="n">
        <x:v>22416</x:v>
      </x:c>
      <x:c r="U848" s="186" t="n">
        <x:f>S848-T848</x:f>
        <x:v>21812</x:v>
      </x:c>
      <x:c r="V848" s="196" t="n">
        <x:f>IFERROR(O848/F848,"")</x:f>
        <x:v>0.0812144140376225</x:v>
      </x:c>
      <x:c r="W848" s="196" t="n">
        <x:f>IFERROR(I848/F848,"")</x:f>
        <x:v>-0.07662091385226658</x:v>
      </x:c>
    </x:row>
    <x:row r="849">
      <x:c r="A849" s="186" t="str">
        <x:v>Silver</x:v>
      </x:c>
      <x:c r="B849" s="187" t="n">
        <x:v>45335</x:v>
      </x:c>
      <x:c r="C849" s="187" t="n">
        <x:v>45338</x:v>
      </x:c>
      <x:c r="D849" s="186" t="str">
        <x:v>084691-SILVER</x:v>
      </x:c>
      <x:c r="E849" s="186" t="str">
        <x:v>SILVER - COMMODITY EXCHANGE INC.</x:v>
      </x:c>
      <x:c r="F849" s="186" t="n">
        <x:v>152544</x:v>
      </x:c>
      <x:c r="G849" s="186" t="n">
        <x:v>8067</x:v>
      </x:c>
      <x:c r="H849" s="186" t="n">
        <x:v>39577</x:v>
      </x:c>
      <x:c r="I849" s="186" t="n">
        <x:f>G849-H849</x:f>
        <x:v>-31510</x:v>
      </x:c>
      <x:c r="J849" s="186" t="n">
        <x:v>35052</x:v>
      </x:c>
      <x:c r="K849" s="186" t="n">
        <x:v>33230</x:v>
      </x:c>
      <x:c r="L849" s="186" t="n">
        <x:f>J849-K849</x:f>
        <x:v>1822</x:v>
      </x:c>
      <x:c r="M849" s="186" t="n">
        <x:v>33004</x:v>
      </x:c>
      <x:c r="N849" s="186" t="n">
        <x:v>41987</x:v>
      </x:c>
      <x:c r="O849" s="186" t="n">
        <x:f>M849-N849</x:f>
        <x:v>-8983</x:v>
      </x:c>
      <x:c r="P849" s="186" t="n">
        <x:v>23781</x:v>
      </x:c>
      <x:c r="Q849" s="186" t="n">
        <x:v>2373</x:v>
      </x:c>
      <x:c r="R849" s="186" t="n">
        <x:f>P849-Q849</x:f>
        <x:v>21408</x:v>
      </x:c>
      <x:c r="S849" s="186" t="n">
        <x:v>32154</x:v>
      </x:c>
      <x:c r="T849" s="186" t="n">
        <x:v>14891</x:v>
      </x:c>
      <x:c r="U849" s="186" t="n">
        <x:f>S849-T849</x:f>
        <x:v>17263</x:v>
      </x:c>
      <x:c r="V849" s="196" t="n">
        <x:f>IFERROR(O849/F849,"")</x:f>
        <x:v>-0.0588879274176631</x:v>
      </x:c>
      <x:c r="W849" s="196" t="n">
        <x:f>IFERROR(I849/F849,"")</x:f>
        <x:v>-0.20656335221313196</x:v>
      </x:c>
    </x:row>
    <x:row r="850">
      <x:c r="A850" s="186" t="str">
        <x:v>Gold</x:v>
      </x:c>
      <x:c r="B850" s="187" t="n">
        <x:v>45342</x:v>
      </x:c>
      <x:c r="C850" s="187" t="n">
        <x:v>45345</x:v>
      </x:c>
      <x:c r="D850" s="186" t="str">
        <x:v>088691-GOLD</x:v>
      </x:c>
      <x:c r="E850" s="186" t="str">
        <x:v>GOLD - COMMODITY EXCHANGE INC.</x:v>
      </x:c>
      <x:c r="F850" s="186" t="n">
        <x:v>407063</x:v>
      </x:c>
      <x:c r="G850" s="186" t="n">
        <x:v>10614</x:v>
      </x:c>
      <x:c r="H850" s="186" t="n">
        <x:v>49065</x:v>
      </x:c>
      <x:c r="I850" s="186" t="n">
        <x:f>G850-H850</x:f>
        <x:v>-38451</x:v>
      </x:c>
      <x:c r="J850" s="186" t="n">
        <x:v>77980</x:v>
      </x:c>
      <x:c r="K850" s="186" t="n">
        <x:v>198940</x:v>
      </x:c>
      <x:c r="L850" s="186" t="n">
        <x:f>J850-K850</x:f>
        <x:v>-120960</x:v>
      </x:c>
      <x:c r="M850" s="186" t="n">
        <x:v>98840</x:v>
      </x:c>
      <x:c r="N850" s="186" t="n">
        <x:v>48917</x:v>
      </x:c>
      <x:c r="O850" s="186" t="n">
        <x:f>M850-N850</x:f>
        <x:v>49923</x:v>
      </x:c>
      <x:c r="P850" s="186" t="n">
        <x:v>112194</x:v>
      </x:c>
      <x:c r="Q850" s="186" t="n">
        <x:v>21855</x:v>
      </x:c>
      <x:c r="R850" s="186" t="n">
        <x:f>P850-Q850</x:f>
        <x:v>90339</x:v>
      </x:c>
      <x:c r="S850" s="186" t="n">
        <x:v>41846</x:v>
      </x:c>
      <x:c r="T850" s="186" t="n">
        <x:v>22697</x:v>
      </x:c>
      <x:c r="U850" s="186" t="n">
        <x:f>S850-T850</x:f>
        <x:v>19149</x:v>
      </x:c>
      <x:c r="V850" s="196" t="n">
        <x:f>IFERROR(O850/F850,"")</x:f>
        <x:v>0.12264194977190263</x:v>
      </x:c>
      <x:c r="W850" s="196" t="n">
        <x:f>IFERROR(I850/F850,"")</x:f>
        <x:v>-0.09445957996673733</x:v>
      </x:c>
    </x:row>
    <x:row r="851">
      <x:c r="A851" s="186" t="str">
        <x:v>Silver</x:v>
      </x:c>
      <x:c r="B851" s="187" t="n">
        <x:v>45342</x:v>
      </x:c>
      <x:c r="C851" s="187" t="n">
        <x:v>45345</x:v>
      </x:c>
      <x:c r="D851" s="186" t="str">
        <x:v>084691-SILVER</x:v>
      </x:c>
      <x:c r="E851" s="186" t="str">
        <x:v>SILVER - COMMODITY EXCHANGE INC.</x:v>
      </x:c>
      <x:c r="F851" s="186" t="n">
        <x:v>146584</x:v>
      </x:c>
      <x:c r="G851" s="186" t="n">
        <x:v>6607</x:v>
      </x:c>
      <x:c r="H851" s="186" t="n">
        <x:v>42883</x:v>
      </x:c>
      <x:c r="I851" s="186" t="n">
        <x:f>G851-H851</x:f>
        <x:v>-36276</x:v>
      </x:c>
      <x:c r="J851" s="186" t="n">
        <x:v>33267</x:v>
      </x:c>
      <x:c r="K851" s="186" t="n">
        <x:v>34936</x:v>
      </x:c>
      <x:c r="L851" s="186" t="n">
        <x:f>J851-K851</x:f>
        <x:v>-1669</x:v>
      </x:c>
      <x:c r="M851" s="186" t="n">
        <x:v>36252</x:v>
      </x:c>
      <x:c r="N851" s="186" t="n">
        <x:v>31327</x:v>
      </x:c>
      <x:c r="O851" s="186" t="n">
        <x:f>M851-N851</x:f>
        <x:v>4925</x:v>
      </x:c>
      <x:c r="P851" s="186" t="n">
        <x:v>21330</x:v>
      </x:c>
      <x:c r="Q851" s="186" t="n">
        <x:v>3878</x:v>
      </x:c>
      <x:c r="R851" s="186" t="n">
        <x:f>P851-Q851</x:f>
        <x:v>17452</x:v>
      </x:c>
      <x:c r="S851" s="186" t="n">
        <x:v>30394</x:v>
      </x:c>
      <x:c r="T851" s="186" t="n">
        <x:v>14826</x:v>
      </x:c>
      <x:c r="U851" s="186" t="n">
        <x:f>S851-T851</x:f>
        <x:v>15568</x:v>
      </x:c>
      <x:c r="V851" s="196" t="n">
        <x:f>IFERROR(O851/F851,"")</x:f>
        <x:v>0.033598482781203955</x:v>
      </x:c>
      <x:c r="W851" s="196" t="n">
        <x:f>IFERROR(I851/F851,"")</x:f>
        <x:v>-0.2474758500245593</x:v>
      </x:c>
    </x:row>
    <x:row r="852">
      <x:c r="A852" s="186" t="str">
        <x:v>Gold</x:v>
      </x:c>
      <x:c r="B852" s="187" t="n">
        <x:v>45349</x:v>
      </x:c>
      <x:c r="C852" s="187" t="n">
        <x:v>45352</x:v>
      </x:c>
      <x:c r="D852" s="186" t="str">
        <x:v>088691-GOLD</x:v>
      </x:c>
      <x:c r="E852" s="186" t="str">
        <x:v>GOLD - COMMODITY EXCHANGE INC.</x:v>
      </x:c>
      <x:c r="F852" s="186" t="n">
        <x:v>411195</x:v>
      </x:c>
      <x:c r="G852" s="186" t="n">
        <x:v>11378</x:v>
      </x:c>
      <x:c r="H852" s="186" t="n">
        <x:v>51050</x:v>
      </x:c>
      <x:c r="I852" s="186" t="n">
        <x:f>G852-H852</x:f>
        <x:v>-39672</x:v>
      </x:c>
      <x:c r="J852" s="186" t="n">
        <x:v>78743</x:v>
      </x:c>
      <x:c r="K852" s="186" t="n">
        <x:v>197423</x:v>
      </x:c>
      <x:c r="L852" s="186" t="n">
        <x:f>J852-K852</x:f>
        <x:v>-118680</x:v>
      </x:c>
      <x:c r="M852" s="186" t="n">
        <x:v>103885</x:v>
      </x:c>
      <x:c r="N852" s="186" t="n">
        <x:v>47732</x:v>
      </x:c>
      <x:c r="O852" s="186" t="n">
        <x:f>M852-N852</x:f>
        <x:v>56153</x:v>
      </x:c>
      <x:c r="P852" s="186" t="n">
        <x:v>111063</x:v>
      </x:c>
      <x:c r="Q852" s="186" t="n">
        <x:v>25580</x:v>
      </x:c>
      <x:c r="R852" s="186" t="n">
        <x:f>P852-Q852</x:f>
        <x:v>85483</x:v>
      </x:c>
      <x:c r="S852" s="186" t="n">
        <x:v>38943</x:v>
      </x:c>
      <x:c r="T852" s="186" t="n">
        <x:v>22227</x:v>
      </x:c>
      <x:c r="U852" s="186" t="n">
        <x:f>S852-T852</x:f>
        <x:v>16716</x:v>
      </x:c>
      <x:c r="V852" s="196" t="n">
        <x:f>IFERROR(O852/F852,"")</x:f>
        <x:v>0.136560512652148</x:v>
      </x:c>
      <x:c r="W852" s="196" t="n">
        <x:f>IFERROR(I852/F852,"")</x:f>
        <x:v>-0.09647977237077299</x:v>
      </x:c>
    </x:row>
    <x:row r="853">
      <x:c r="A853" s="186" t="str">
        <x:v>Silver</x:v>
      </x:c>
      <x:c r="B853" s="187" t="n">
        <x:v>45349</x:v>
      </x:c>
      <x:c r="C853" s="187" t="n">
        <x:v>45352</x:v>
      </x:c>
      <x:c r="D853" s="186" t="str">
        <x:v>084691-SILVER</x:v>
      </x:c>
      <x:c r="E853" s="186" t="str">
        <x:v>SILVER - COMMODITY EXCHANGE INC.</x:v>
      </x:c>
      <x:c r="F853" s="186" t="n">
        <x:v>144382</x:v>
      </x:c>
      <x:c r="G853" s="186" t="n">
        <x:v>8336</x:v>
      </x:c>
      <x:c r="H853" s="186" t="n">
        <x:v>42541</x:v>
      </x:c>
      <x:c r="I853" s="186" t="n">
        <x:f>G853-H853</x:f>
        <x:v>-34205</x:v>
      </x:c>
      <x:c r="J853" s="186" t="n">
        <x:v>36186</x:v>
      </x:c>
      <x:c r="K853" s="186" t="n">
        <x:v>34429</x:v>
      </x:c>
      <x:c r="L853" s="186" t="n">
        <x:f>J853-K853</x:f>
        <x:v>1757</x:v>
      </x:c>
      <x:c r="M853" s="186" t="n">
        <x:v>33292</x:v>
      </x:c>
      <x:c r="N853" s="186" t="n">
        <x:v>37375</x:v>
      </x:c>
      <x:c r="O853" s="186" t="n">
        <x:f>M853-N853</x:f>
        <x:v>-4083</x:v>
      </x:c>
      <x:c r="P853" s="186" t="n">
        <x:v>21254</x:v>
      </x:c>
      <x:c r="Q853" s="186" t="n">
        <x:v>2672</x:v>
      </x:c>
      <x:c r="R853" s="186" t="n">
        <x:f>P853-Q853</x:f>
        <x:v>18582</x:v>
      </x:c>
      <x:c r="S853" s="186" t="n">
        <x:v>30987</x:v>
      </x:c>
      <x:c r="T853" s="186" t="n">
        <x:v>13038</x:v>
      </x:c>
      <x:c r="U853" s="186" t="n">
        <x:f>S853-T853</x:f>
        <x:v>17949</x:v>
      </x:c>
      <x:c r="V853" s="196" t="n">
        <x:f>IFERROR(O853/F853,"")</x:f>
        <x:v>-0.028279148370295465</x:v>
      </x:c>
      <x:c r="W853" s="196" t="n">
        <x:f>IFERROR(I853/F853,"")</x:f>
        <x:v>-0.2369062625535039</x:v>
      </x:c>
    </x:row>
    <x:row r="854">
      <x:c r="A854" s="186" t="str">
        <x:v>Gold</x:v>
      </x:c>
      <x:c r="B854" s="187" t="n">
        <x:v>45356</x:v>
      </x:c>
      <x:c r="C854" s="187" t="n">
        <x:v>45359</x:v>
      </x:c>
      <x:c r="D854" s="186" t="str">
        <x:v>088691-GOLD</x:v>
      </x:c>
      <x:c r="E854" s="186" t="str">
        <x:v>GOLD - COMMODITY EXCHANGE INC.</x:v>
      </x:c>
      <x:c r="F854" s="186" t="n">
        <x:v>471616</x:v>
      </x:c>
      <x:c r="G854" s="186" t="n">
        <x:v>11650</x:v>
      </x:c>
      <x:c r="H854" s="186" t="n">
        <x:v>60537</x:v>
      </x:c>
      <x:c r="I854" s="186" t="n">
        <x:f>G854-H854</x:f>
        <x:v>-48887</x:v>
      </x:c>
      <x:c r="J854" s="186" t="n">
        <x:v>77009</x:v>
      </x:c>
      <x:c r="K854" s="186" t="n">
        <x:v>234914</x:v>
      </x:c>
      <x:c r="L854" s="186" t="n">
        <x:f>J854-K854</x:f>
        <x:v>-157905</x:v>
      </x:c>
      <x:c r="M854" s="186" t="n">
        <x:v>145106</x:v>
      </x:c>
      <x:c r="N854" s="186" t="n">
        <x:v>35343</x:v>
      </x:c>
      <x:c r="O854" s="186" t="n">
        <x:f>M854-N854</x:f>
        <x:v>109763</x:v>
      </x:c>
      <x:c r="P854" s="186" t="n">
        <x:v>119042</x:v>
      </x:c>
      <x:c r="Q854" s="186" t="n">
        <x:v>37512</x:v>
      </x:c>
      <x:c r="R854" s="186" t="n">
        <x:f>P854-Q854</x:f>
        <x:v>81530</x:v>
      </x:c>
      <x:c r="S854" s="186" t="n">
        <x:v>44782</x:v>
      </x:c>
      <x:c r="T854" s="186" t="n">
        <x:v>29283</x:v>
      </x:c>
      <x:c r="U854" s="186" t="n">
        <x:f>S854-T854</x:f>
        <x:v>15499</x:v>
      </x:c>
      <x:c r="V854" s="196" t="n">
        <x:f>IFERROR(O854/F854,"")</x:f>
        <x:v>0.23273807504410368</x:v>
      </x:c>
      <x:c r="W854" s="196" t="n">
        <x:f>IFERROR(I854/F854,"")</x:f>
        <x:v>-0.103658484869046</x:v>
      </x:c>
    </x:row>
    <x:row r="855">
      <x:c r="A855" s="186" t="str">
        <x:v>Silver</x:v>
      </x:c>
      <x:c r="B855" s="187" t="n">
        <x:v>45356</x:v>
      </x:c>
      <x:c r="C855" s="187" t="n">
        <x:v>45359</x:v>
      </x:c>
      <x:c r="D855" s="186" t="str">
        <x:v>084691-SILVER</x:v>
      </x:c>
      <x:c r="E855" s="186" t="str">
        <x:v>SILVER - COMMODITY EXCHANGE INC.</x:v>
      </x:c>
      <x:c r="F855" s="186" t="n">
        <x:v>141026</x:v>
      </x:c>
      <x:c r="G855" s="186" t="n">
        <x:v>5570</x:v>
      </x:c>
      <x:c r="H855" s="186" t="n">
        <x:v>41326</x:v>
      </x:c>
      <x:c r="I855" s="186" t="n">
        <x:f>G855-H855</x:f>
        <x:v>-35756</x:v>
      </x:c>
      <x:c r="J855" s="186" t="n">
        <x:v>33308</x:v>
      </x:c>
      <x:c r="K855" s="186" t="n">
        <x:v>42577</x:v>
      </x:c>
      <x:c r="L855" s="186" t="n">
        <x:f>J855-K855</x:f>
        <x:v>-9269</x:v>
      </x:c>
      <x:c r="M855" s="186" t="n">
        <x:v>40556</x:v>
      </x:c>
      <x:c r="N855" s="186" t="n">
        <x:v>25744</x:v>
      </x:c>
      <x:c r="O855" s="186" t="n">
        <x:f>M855-N855</x:f>
        <x:v>14812</x:v>
      </x:c>
      <x:c r="P855" s="186" t="n">
        <x:v>18329</x:v>
      </x:c>
      <x:c r="Q855" s="186" t="n">
        <x:v>4826</x:v>
      </x:c>
      <x:c r="R855" s="186" t="n">
        <x:f>P855-Q855</x:f>
        <x:v>13503</x:v>
      </x:c>
      <x:c r="S855" s="186" t="n">
        <x:v>29092</x:v>
      </x:c>
      <x:c r="T855" s="186" t="n">
        <x:v>12382</x:v>
      </x:c>
      <x:c r="U855" s="186" t="n">
        <x:f>S855-T855</x:f>
        <x:v>16710</x:v>
      </x:c>
      <x:c r="V855" s="196" t="n">
        <x:f>IFERROR(O855/F855,"")</x:f>
        <x:v>0.10503027810474665</x:v>
      </x:c>
      <x:c r="W855" s="196" t="n">
        <x:f>IFERROR(I855/F855,"")</x:f>
        <x:v>-0.2535419000751634</x:v>
      </x:c>
    </x:row>
    <x:row r="856">
      <x:c r="A856" s="186" t="str">
        <x:v>Gold</x:v>
      </x:c>
      <x:c r="B856" s="187" t="n">
        <x:v>45363</x:v>
      </x:c>
      <x:c r="C856" s="187" t="n">
        <x:v>45366</x:v>
      </x:c>
      <x:c r="D856" s="186" t="str">
        <x:v>088691-GOLD</x:v>
      </x:c>
      <x:c r="E856" s="186" t="str">
        <x:v>GOLD - COMMODITY EXCHANGE INC.</x:v>
      </x:c>
      <x:c r="F856" s="186" t="n">
        <x:v>516057</x:v>
      </x:c>
      <x:c r="G856" s="186" t="n">
        <x:v>30471</x:v>
      </x:c>
      <x:c r="H856" s="186" t="n">
        <x:v>78911</x:v>
      </x:c>
      <x:c r="I856" s="186" t="n">
        <x:f>G856-H856</x:f>
        <x:v>-48440</x:v>
      </x:c>
      <x:c r="J856" s="186" t="n">
        <x:v>75076</x:v>
      </x:c>
      <x:c r="K856" s="186" t="n">
        <x:v>244909</x:v>
      </x:c>
      <x:c r="L856" s="186" t="n">
        <x:f>J856-K856</x:f>
        <x:v>-169833</x:v>
      </x:c>
      <x:c r="M856" s="186" t="n">
        <x:v>173994</x:v>
      </x:c>
      <x:c r="N856" s="186" t="n">
        <x:v>32911</x:v>
      </x:c>
      <x:c r="O856" s="186" t="n">
        <x:f>M856-N856</x:f>
        <x:v>141083</x:v>
      </x:c>
      <x:c r="P856" s="186" t="n">
        <x:v>109068</x:v>
      </x:c>
      <x:c r="Q856" s="186" t="n">
        <x:v>48549</x:v>
      </x:c>
      <x:c r="R856" s="186" t="n">
        <x:f>P856-Q856</x:f>
        <x:v>60519</x:v>
      </x:c>
      <x:c r="S856" s="186" t="n">
        <x:v>47992</x:v>
      </x:c>
      <x:c r="T856" s="186" t="n">
        <x:v>31321</x:v>
      </x:c>
      <x:c r="U856" s="186" t="n">
        <x:f>S856-T856</x:f>
        <x:v>16671</x:v>
      </x:c>
      <x:c r="V856" s="196" t="n">
        <x:f>IFERROR(O856/F856,"")</x:f>
        <x:v>0.27338646699880054</x:v>
      </x:c>
      <x:c r="W856" s="196" t="n">
        <x:f>IFERROR(I856/F856,"")</x:f>
        <x:v>-0.09386560011781644</x:v>
      </x:c>
    </x:row>
    <x:row r="857">
      <x:c r="A857" s="186" t="str">
        <x:v>Silver</x:v>
      </x:c>
      <x:c r="B857" s="187" t="n">
        <x:v>45363</x:v>
      </x:c>
      <x:c r="C857" s="187" t="n">
        <x:v>45366</x:v>
      </x:c>
      <x:c r="D857" s="186" t="str">
        <x:v>084691-SILVER</x:v>
      </x:c>
      <x:c r="E857" s="186" t="str">
        <x:v>SILVER - COMMODITY EXCHANGE INC.</x:v>
      </x:c>
      <x:c r="F857" s="186" t="n">
        <x:v>144534</x:v>
      </x:c>
      <x:c r="G857" s="186" t="n">
        <x:v>5455</x:v>
      </x:c>
      <x:c r="H857" s="186" t="n">
        <x:v>41310</x:v>
      </x:c>
      <x:c r="I857" s="186" t="n">
        <x:f>G857-H857</x:f>
        <x:v>-35855</x:v>
      </x:c>
      <x:c r="J857" s="186" t="n">
        <x:v>31260</x:v>
      </x:c>
      <x:c r="K857" s="186" t="n">
        <x:v>50535</x:v>
      </x:c>
      <x:c r="L857" s="186" t="n">
        <x:f>J857-K857</x:f>
        <x:v>-19275</x:v>
      </x:c>
      <x:c r="M857" s="186" t="n">
        <x:v>45521</x:v>
      </x:c>
      <x:c r="N857" s="186" t="n">
        <x:v>19727</x:v>
      </x:c>
      <x:c r="O857" s="186" t="n">
        <x:f>M857-N857</x:f>
        <x:v>25794</x:v>
      </x:c>
      <x:c r="P857" s="186" t="n">
        <x:v>21573</x:v>
      </x:c>
      <x:c r="Q857" s="186" t="n">
        <x:v>6389</x:v>
      </x:c>
      <x:c r="R857" s="186" t="n">
        <x:f>P857-Q857</x:f>
        <x:v>15184</x:v>
      </x:c>
      <x:c r="S857" s="186" t="n">
        <x:v>27826</x:v>
      </x:c>
      <x:c r="T857" s="186" t="n">
        <x:v>13674</x:v>
      </x:c>
      <x:c r="U857" s="186" t="n">
        <x:f>S857-T857</x:f>
        <x:v>14152</x:v>
      </x:c>
      <x:c r="V857" s="196" t="n">
        <x:f>IFERROR(O857/F857,"")</x:f>
        <x:v>0.17846319897048446</x:v>
      </x:c>
      <x:c r="W857" s="196" t="n">
        <x:f>IFERROR(I857/F857,"")</x:f>
        <x:v>-0.24807311774392185</x:v>
      </x:c>
    </x:row>
    <x:row r="858">
      <x:c r="A858" s="186" t="str">
        <x:v>Gold</x:v>
      </x:c>
      <x:c r="B858" s="187" t="n">
        <x:v>45370</x:v>
      </x:c>
      <x:c r="C858" s="187" t="n">
        <x:v>45373</x:v>
      </x:c>
      <x:c r="D858" s="186" t="str">
        <x:v>088691-GOLD</x:v>
      </x:c>
      <x:c r="E858" s="186" t="str">
        <x:v>GOLD - COMMODITY EXCHANGE INC.</x:v>
      </x:c>
      <x:c r="F858" s="186" t="n">
        <x:v>535047</x:v>
      </x:c>
      <x:c r="G858" s="186" t="n">
        <x:v>32136</x:v>
      </x:c>
      <x:c r="H858" s="186" t="n">
        <x:v>81346</x:v>
      </x:c>
      <x:c r="I858" s="186" t="n">
        <x:f>G858-H858</x:f>
        <x:v>-49210</x:v>
      </x:c>
      <x:c r="J858" s="186" t="n">
        <x:v>77067</x:v>
      </x:c>
      <x:c r="K858" s="186" t="n">
        <x:v>245387</x:v>
      </x:c>
      <x:c r="L858" s="186" t="n">
        <x:f>J858-K858</x:f>
        <x:v>-168320</x:v>
      </x:c>
      <x:c r="M858" s="186" t="n">
        <x:v>172588</x:v>
      </x:c>
      <x:c r="N858" s="186" t="n">
        <x:v>29692</x:v>
      </x:c>
      <x:c r="O858" s="186" t="n">
        <x:f>M858-N858</x:f>
        <x:v>142896</x:v>
      </x:c>
      <x:c r="P858" s="186" t="n">
        <x:v>106144</x:v>
      </x:c>
      <x:c r="Q858" s="186" t="n">
        <x:v>47438</x:v>
      </x:c>
      <x:c r="R858" s="186" t="n">
        <x:f>P858-Q858</x:f>
        <x:v>58706</x:v>
      </x:c>
      <x:c r="S858" s="186" t="n">
        <x:v>49131</x:v>
      </x:c>
      <x:c r="T858" s="186" t="n">
        <x:v>33203</x:v>
      </x:c>
      <x:c r="U858" s="186" t="n">
        <x:f>S858-T858</x:f>
        <x:v>15928</x:v>
      </x:c>
      <x:c r="V858" s="196" t="n">
        <x:f>IFERROR(O858/F858,"")</x:f>
        <x:v>0.26707186471468863</x:v>
      </x:c>
      <x:c r="W858" s="196" t="n">
        <x:f>IFERROR(I858/F858,"")</x:f>
        <x:v>-0.09197322852011132</x:v>
      </x:c>
    </x:row>
    <x:row r="859">
      <x:c r="A859" s="186" t="str">
        <x:v>Silver</x:v>
      </x:c>
      <x:c r="B859" s="187" t="n">
        <x:v>45370</x:v>
      </x:c>
      <x:c r="C859" s="187" t="n">
        <x:v>45373</x:v>
      </x:c>
      <x:c r="D859" s="186" t="str">
        <x:v>084691-SILVER</x:v>
      </x:c>
      <x:c r="E859" s="186" t="str">
        <x:v>SILVER - COMMODITY EXCHANGE INC.</x:v>
      </x:c>
      <x:c r="F859" s="186" t="n">
        <x:v>153154</x:v>
      </x:c>
      <x:c r="G859" s="186" t="n">
        <x:v>4680</x:v>
      </x:c>
      <x:c r="H859" s="186" t="n">
        <x:v>42748</x:v>
      </x:c>
      <x:c r="I859" s="186" t="n">
        <x:f>G859-H859</x:f>
        <x:v>-38068</x:v>
      </x:c>
      <x:c r="J859" s="186" t="n">
        <x:v>28483</x:v>
      </x:c>
      <x:c r="K859" s="186" t="n">
        <x:v>54432</x:v>
      </x:c>
      <x:c r="L859" s="186" t="n">
        <x:f>J859-K859</x:f>
        <x:v>-25949</x:v>
      </x:c>
      <x:c r="M859" s="186" t="n">
        <x:v>53484</x:v>
      </x:c>
      <x:c r="N859" s="186" t="n">
        <x:v>16362</x:v>
      </x:c>
      <x:c r="O859" s="186" t="n">
        <x:f>M859-N859</x:f>
        <x:v>37122</x:v>
      </x:c>
      <x:c r="P859" s="186" t="n">
        <x:v>24148</x:v>
      </x:c>
      <x:c r="Q859" s="186" t="n">
        <x:v>8835</x:v>
      </x:c>
      <x:c r="R859" s="186" t="n">
        <x:f>P859-Q859</x:f>
        <x:v>15313</x:v>
      </x:c>
      <x:c r="S859" s="186" t="n">
        <x:v>26859</x:v>
      </x:c>
      <x:c r="T859" s="186" t="n">
        <x:v>15277</x:v>
      </x:c>
      <x:c r="U859" s="186" t="n">
        <x:f>S859-T859</x:f>
        <x:v>11582</x:v>
      </x:c>
      <x:c r="V859" s="196" t="n">
        <x:f>IFERROR(O859/F859,"")</x:f>
        <x:v>0.2423834832913277</x:v>
      </x:c>
      <x:c r="W859" s="196" t="n">
        <x:f>IFERROR(I859/F859,"")</x:f>
        <x:v>-0.24856027266672762</x:v>
      </x:c>
    </x:row>
    <x:row r="860">
      <x:c r="A860" s="186" t="str">
        <x:v>Gold</x:v>
      </x:c>
      <x:c r="B860" s="187" t="n">
        <x:v>45377</x:v>
      </x:c>
      <x:c r="C860" s="187" t="n">
        <x:v>45380</x:v>
      </x:c>
      <x:c r="D860" s="186" t="str">
        <x:v>088691-GOLD</x:v>
      </x:c>
      <x:c r="E860" s="186" t="str">
        <x:v>GOLD - COMMODITY EXCHANGE INC.</x:v>
      </x:c>
      <x:c r="F860" s="186" t="n">
        <x:v>503642</x:v>
      </x:c>
      <x:c r="G860" s="186" t="n">
        <x:v>32765</x:v>
      </x:c>
      <x:c r="H860" s="186" t="n">
        <x:v>80270</x:v>
      </x:c>
      <x:c r="I860" s="186" t="n">
        <x:f>G860-H860</x:f>
        <x:v>-47505</x:v>
      </x:c>
      <x:c r="J860" s="186" t="n">
        <x:v>80421</x:v>
      </x:c>
      <x:c r="K860" s="186" t="n">
        <x:v>251256</x:v>
      </x:c>
      <x:c r="L860" s="186" t="n">
        <x:f>J860-K860</x:f>
        <x:v>-170835</x:v>
      </x:c>
      <x:c r="M860" s="186" t="n">
        <x:v>163006</x:v>
      </x:c>
      <x:c r="N860" s="186" t="n">
        <x:v>27211</x:v>
      </x:c>
      <x:c r="O860" s="186" t="n">
        <x:f>M860-N860</x:f>
        <x:v>135795</x:v>
      </x:c>
      <x:c r="P860" s="186" t="n">
        <x:v>102641</x:v>
      </x:c>
      <x:c r="Q860" s="186" t="n">
        <x:v>39142</x:v>
      </x:c>
      <x:c r="R860" s="186" t="n">
        <x:f>P860-Q860</x:f>
        <x:v>63499</x:v>
      </x:c>
      <x:c r="S860" s="186" t="n">
        <x:v>48004</x:v>
      </x:c>
      <x:c r="T860" s="186" t="n">
        <x:v>28958</x:v>
      </x:c>
      <x:c r="U860" s="186" t="n">
        <x:f>S860-T860</x:f>
        <x:v>19046</x:v>
      </x:c>
      <x:c r="V860" s="196" t="n">
        <x:f>IFERROR(O860/F860,"")</x:f>
        <x:v>0.26962604389625966</x:v>
      </x:c>
      <x:c r="W860" s="196" t="n">
        <x:f>IFERROR(I860/F860,"")</x:f>
        <x:v>-0.09432295162039703</x:v>
      </x:c>
    </x:row>
    <x:row r="861">
      <x:c r="A861" s="186" t="str">
        <x:v>Silver</x:v>
      </x:c>
      <x:c r="B861" s="187" t="n">
        <x:v>45377</x:v>
      </x:c>
      <x:c r="C861" s="187" t="n">
        <x:v>45380</x:v>
      </x:c>
      <x:c r="D861" s="186" t="str">
        <x:v>084691-SILVER</x:v>
      </x:c>
      <x:c r="E861" s="186" t="str">
        <x:v>SILVER - COMMODITY EXCHANGE INC.</x:v>
      </x:c>
      <x:c r="F861" s="186" t="n">
        <x:v>160327</x:v>
      </x:c>
      <x:c r="G861" s="186" t="n">
        <x:v>6632</x:v>
      </x:c>
      <x:c r="H861" s="186" t="n">
        <x:v>42972</x:v>
      </x:c>
      <x:c r="I861" s="186" t="n">
        <x:f>G861-H861</x:f>
        <x:v>-36340</x:v>
      </x:c>
      <x:c r="J861" s="186" t="n">
        <x:v>27733</x:v>
      </x:c>
      <x:c r="K861" s="186" t="n">
        <x:v>56470</x:v>
      </x:c>
      <x:c r="L861" s="186" t="n">
        <x:f>J861-K861</x:f>
        <x:v>-28737</x:v>
      </x:c>
      <x:c r="M861" s="186" t="n">
        <x:v>53871</x:v>
      </x:c>
      <x:c r="N861" s="186" t="n">
        <x:v>23932</x:v>
      </x:c>
      <x:c r="O861" s="186" t="n">
        <x:f>M861-N861</x:f>
        <x:v>29939</x:v>
      </x:c>
      <x:c r="P861" s="186" t="n">
        <x:v>26850</x:v>
      </x:c>
      <x:c r="Q861" s="186" t="n">
        <x:v>5953</x:v>
      </x:c>
      <x:c r="R861" s="186" t="n">
        <x:f>P861-Q861</x:f>
        <x:v>20897</x:v>
      </x:c>
      <x:c r="S861" s="186" t="n">
        <x:v>28362</x:v>
      </x:c>
      <x:c r="T861" s="186" t="n">
        <x:v>14121</x:v>
      </x:c>
      <x:c r="U861" s="186" t="n">
        <x:f>S861-T861</x:f>
        <x:v>14241</x:v>
      </x:c>
      <x:c r="V861" s="196" t="n">
        <x:f>IFERROR(O861/F861,"")</x:f>
        <x:v>0.1867371060395317</x:v>
      </x:c>
      <x:c r="W861" s="196" t="n">
        <x:f>IFERROR(I861/F861,"")</x:f>
        <x:v>-0.2266617600279429</x:v>
      </x:c>
    </x:row>
    <x:row r="862">
      <x:c r="A862" s="186" t="str">
        <x:v>Gold</x:v>
      </x:c>
      <x:c r="B862" s="187" t="n">
        <x:v>45384</x:v>
      </x:c>
      <x:c r="C862" s="187" t="n">
        <x:v>45387</x:v>
      </x:c>
      <x:c r="D862" s="186" t="str">
        <x:v>088691-GOLD</x:v>
      </x:c>
      <x:c r="E862" s="186" t="str">
        <x:v>GOLD - COMMODITY EXCHANGE INC.</x:v>
      </x:c>
      <x:c r="F862" s="186" t="n">
        <x:v>500045</x:v>
      </x:c>
      <x:c r="G862" s="186" t="n">
        <x:v>32235</x:v>
      </x:c>
      <x:c r="H862" s="186" t="n">
        <x:v>77122</x:v>
      </x:c>
      <x:c r="I862" s="186" t="n">
        <x:f>G862-H862</x:f>
        <x:v>-44887</x:v>
      </x:c>
      <x:c r="J862" s="186" t="n">
        <x:v>80217</x:v>
      </x:c>
      <x:c r="K862" s="186" t="n">
        <x:v>261044</x:v>
      </x:c>
      <x:c r="L862" s="186" t="n">
        <x:f>J862-K862</x:f>
        <x:v>-180827</x:v>
      </x:c>
      <x:c r="M862" s="186" t="n">
        <x:v>173073</x:v>
      </x:c>
      <x:c r="N862" s="186" t="n">
        <x:v>25993</x:v>
      </x:c>
      <x:c r="O862" s="186" t="n">
        <x:f>M862-N862</x:f>
        <x:v>147080</x:v>
      </x:c>
      <x:c r="P862" s="186" t="n">
        <x:v>108326</x:v>
      </x:c>
      <x:c r="Q862" s="186" t="n">
        <x:v>48156</x:v>
      </x:c>
      <x:c r="R862" s="186" t="n">
        <x:f>P862-Q862</x:f>
        <x:v>60170</x:v>
      </x:c>
      <x:c r="S862" s="186" t="n">
        <x:v>48931</x:v>
      </x:c>
      <x:c r="T862" s="186" t="n">
        <x:v>30467</x:v>
      </x:c>
      <x:c r="U862" s="186" t="n">
        <x:f>S862-T862</x:f>
        <x:v>18464</x:v>
      </x:c>
      <x:c r="V862" s="196" t="n">
        <x:f>IFERROR(O862/F862,"")</x:f>
        <x:v>0.2941335279824816</x:v>
      </x:c>
      <x:c r="W862" s="196" t="n">
        <x:f>IFERROR(I862/F862,"")</x:f>
        <x:v>-0.08976592106710396</x:v>
      </x:c>
    </x:row>
    <x:row r="863">
      <x:c r="A863" s="186" t="str">
        <x:v>Silver</x:v>
      </x:c>
      <x:c r="B863" s="187" t="n">
        <x:v>45384</x:v>
      </x:c>
      <x:c r="C863" s="187" t="n">
        <x:v>45387</x:v>
      </x:c>
      <x:c r="D863" s="186" t="str">
        <x:v>084691-SILVER</x:v>
      </x:c>
      <x:c r="E863" s="186" t="str">
        <x:v>SILVER - COMMODITY EXCHANGE INC.</x:v>
      </x:c>
      <x:c r="F863" s="186" t="n">
        <x:v>166823</x:v>
      </x:c>
      <x:c r="G863" s="186" t="n">
        <x:v>7606</x:v>
      </x:c>
      <x:c r="H863" s="186" t="n">
        <x:v>46306</x:v>
      </x:c>
      <x:c r="I863" s="186" t="n">
        <x:f>G863-H863</x:f>
        <x:v>-38700</x:v>
      </x:c>
      <x:c r="J863" s="186" t="n">
        <x:v>27431</x:v>
      </x:c>
      <x:c r="K863" s="186" t="n">
        <x:v>56437</x:v>
      </x:c>
      <x:c r="L863" s="186" t="n">
        <x:f>J863-K863</x:f>
        <x:v>-29006</x:v>
      </x:c>
      <x:c r="M863" s="186" t="n">
        <x:v>57863</x:v>
      </x:c>
      <x:c r="N863" s="186" t="n">
        <x:v>24562</x:v>
      </x:c>
      <x:c r="O863" s="186" t="n">
        <x:f>M863-N863</x:f>
        <x:v>33301</x:v>
      </x:c>
      <x:c r="P863" s="186" t="n">
        <x:v>25702</x:v>
      </x:c>
      <x:c r="Q863" s="186" t="n">
        <x:v>5856</x:v>
      </x:c>
      <x:c r="R863" s="186" t="n">
        <x:f>P863-Q863</x:f>
        <x:v>19846</x:v>
      </x:c>
      <x:c r="S863" s="186" t="n">
        <x:v>29775</x:v>
      </x:c>
      <x:c r="T863" s="186" t="n">
        <x:v>15216</x:v>
      </x:c>
      <x:c r="U863" s="186" t="n">
        <x:f>S863-T863</x:f>
        <x:v>14559</x:v>
      </x:c>
      <x:c r="V863" s="196" t="n">
        <x:f>IFERROR(O863/F863,"")</x:f>
        <x:v>0.19961875760536615</x:v>
      </x:c>
      <x:c r="W863" s="196" t="n">
        <x:f>IFERROR(I863/F863,"")</x:f>
        <x:v>-0.2319824005083232</x:v>
      </x:c>
    </x:row>
    <x:row r="864">
      <x:c r="A864" s="186" t="str">
        <x:v>Gold</x:v>
      </x:c>
      <x:c r="B864" s="187" t="n">
        <x:v>45391</x:v>
      </x:c>
      <x:c r="C864" s="187" t="n">
        <x:v>45394</x:v>
      </x:c>
      <x:c r="D864" s="186" t="str">
        <x:v>088691-GOLD</x:v>
      </x:c>
      <x:c r="E864" s="186" t="str">
        <x:v>GOLD - COMMODITY EXCHANGE INC.</x:v>
      </x:c>
      <x:c r="F864" s="186" t="n">
        <x:v>505214</x:v>
      </x:c>
      <x:c r="G864" s="186" t="n">
        <x:v>34191</x:v>
      </x:c>
      <x:c r="H864" s="186" t="n">
        <x:v>76217</x:v>
      </x:c>
      <x:c r="I864" s="186" t="n">
        <x:f>G864-H864</x:f>
        <x:v>-42026</x:v>
      </x:c>
      <x:c r="J864" s="186" t="n">
        <x:v>79228</x:v>
      </x:c>
      <x:c r="K864" s="186" t="n">
        <x:v>261784</x:v>
      </x:c>
      <x:c r="L864" s="186" t="n">
        <x:f>J864-K864</x:f>
        <x:v>-182556</x:v>
      </x:c>
      <x:c r="M864" s="186" t="n">
        <x:v>174617</x:v>
      </x:c>
      <x:c r="N864" s="186" t="n">
        <x:v>32885</x:v>
      </x:c>
      <x:c r="O864" s="186" t="n">
        <x:f>M864-N864</x:f>
        <x:v>141732</x:v>
      </x:c>
      <x:c r="P864" s="186" t="n">
        <x:v>105182</x:v>
      </x:c>
      <x:c r="Q864" s="186" t="n">
        <x:v>44495</x:v>
      </x:c>
      <x:c r="R864" s="186" t="n">
        <x:f>P864-Q864</x:f>
        <x:v>60687</x:v>
      </x:c>
      <x:c r="S864" s="186" t="n">
        <x:v>51559</x:v>
      </x:c>
      <x:c r="T864" s="186" t="n">
        <x:v>29396</x:v>
      </x:c>
      <x:c r="U864" s="186" t="n">
        <x:f>S864-T864</x:f>
        <x:v>22163</x:v>
      </x:c>
      <x:c r="V864" s="196" t="n">
        <x:f>IFERROR(O864/F864,"")</x:f>
        <x:v>0.2805385440625161</x:v>
      </x:c>
      <x:c r="W864" s="196" t="n">
        <x:f>IFERROR(I864/F864,"")</x:f>
        <x:v>-0.08318455149698939</x:v>
      </x:c>
    </x:row>
    <x:row r="865">
      <x:c r="A865" s="186" t="str">
        <x:v>Silver</x:v>
      </x:c>
      <x:c r="B865" s="187" t="n">
        <x:v>45391</x:v>
      </x:c>
      <x:c r="C865" s="187" t="n">
        <x:v>45394</x:v>
      </x:c>
      <x:c r="D865" s="186" t="str">
        <x:v>084691-SILVER</x:v>
      </x:c>
      <x:c r="E865" s="186" t="str">
        <x:v>SILVER - COMMODITY EXCHANGE INC.</x:v>
      </x:c>
      <x:c r="F865" s="186" t="n">
        <x:v>174397</x:v>
      </x:c>
      <x:c r="G865" s="186" t="n">
        <x:v>10051</x:v>
      </x:c>
      <x:c r="H865" s="186" t="n">
        <x:v>51154</x:v>
      </x:c>
      <x:c r="I865" s="186" t="n">
        <x:f>G865-H865</x:f>
        <x:v>-41103</x:v>
      </x:c>
      <x:c r="J865" s="186" t="n">
        <x:v>28325</x:v>
      </x:c>
      <x:c r="K865" s="186" t="n">
        <x:v>58497</x:v>
      </x:c>
      <x:c r="L865" s="186" t="n">
        <x:f>J865-K865</x:f>
        <x:v>-30172</x:v>
      </x:c>
      <x:c r="M865" s="186" t="n">
        <x:v>59605</x:v>
      </x:c>
      <x:c r="N865" s="186" t="n">
        <x:v>22974</x:v>
      </x:c>
      <x:c r="O865" s="186" t="n">
        <x:f>M865-N865</x:f>
        <x:v>36631</x:v>
      </x:c>
      <x:c r="P865" s="186" t="n">
        <x:v>25221</x:v>
      </x:c>
      <x:c r="Q865" s="186" t="n">
        <x:v>8640</x:v>
      </x:c>
      <x:c r="R865" s="186" t="n">
        <x:f>P865-Q865</x:f>
        <x:v>16581</x:v>
      </x:c>
      <x:c r="S865" s="186" t="n">
        <x:v>32322</x:v>
      </x:c>
      <x:c r="T865" s="186" t="n">
        <x:v>14259</x:v>
      </x:c>
      <x:c r="U865" s="186" t="n">
        <x:f>S865-T865</x:f>
        <x:v>18063</x:v>
      </x:c>
      <x:c r="V865" s="196" t="n">
        <x:f>IFERROR(O865/F865,"")</x:f>
        <x:v>0.2100437507525932</x:v>
      </x:c>
      <x:c r="W865" s="196" t="n">
        <x:f>IFERROR(I865/F865,"")</x:f>
        <x:v>-0.23568639368796482</x:v>
      </x:c>
    </x:row>
    <x:row r="866">
      <x:c r="A866" s="186" t="str">
        <x:v>Gold</x:v>
      </x:c>
      <x:c r="B866" s="187" t="n">
        <x:v>45398</x:v>
      </x:c>
      <x:c r="C866" s="187" t="n">
        <x:v>45401</x:v>
      </x:c>
      <x:c r="D866" s="186" t="str">
        <x:v>088691-GOLD</x:v>
      </x:c>
      <x:c r="E866" s="186" t="str">
        <x:v>GOLD - COMMODITY EXCHANGE INC.</x:v>
      </x:c>
      <x:c r="F866" s="186" t="n">
        <x:v>517193</x:v>
      </x:c>
      <x:c r="G866" s="186" t="n">
        <x:v>37797</x:v>
      </x:c>
      <x:c r="H866" s="186" t="n">
        <x:v>71700</x:v>
      </x:c>
      <x:c r="I866" s="186" t="n">
        <x:f>G866-H866</x:f>
        <x:v>-33903</x:v>
      </x:c>
      <x:c r="J866" s="186" t="n">
        <x:v>78012</x:v>
      </x:c>
      <x:c r="K866" s="186" t="n">
        <x:v>266867</x:v>
      </x:c>
      <x:c r="L866" s="186" t="n">
        <x:f>J866-K866</x:f>
        <x:v>-188855</x:v>
      </x:c>
      <x:c r="M866" s="186" t="n">
        <x:v>169910</x:v>
      </x:c>
      <x:c r="N866" s="186" t="n">
        <x:v>35174</x:v>
      </x:c>
      <x:c r="O866" s="186" t="n">
        <x:f>M866-N866</x:f>
        <x:v>134736</x:v>
      </x:c>
      <x:c r="P866" s="186" t="n">
        <x:v>108867</x:v>
      </x:c>
      <x:c r="Q866" s="186" t="n">
        <x:v>41680</x:v>
      </x:c>
      <x:c r="R866" s="186" t="n">
        <x:f>P866-Q866</x:f>
        <x:v>67187</x:v>
      </x:c>
      <x:c r="S866" s="186" t="n">
        <x:v>50245</x:v>
      </x:c>
      <x:c r="T866" s="186" t="n">
        <x:v>29410</x:v>
      </x:c>
      <x:c r="U866" s="186" t="n">
        <x:f>S866-T866</x:f>
        <x:v>20835</x:v>
      </x:c>
      <x:c r="V866" s="196" t="n">
        <x:f>IFERROR(O866/F866,"")</x:f>
        <x:v>0.2605139667396891</x:v>
      </x:c>
      <x:c r="W866" s="196" t="n">
        <x:f>IFERROR(I866/F866,"")</x:f>
        <x:v>-0.06555193129064005</x:v>
      </x:c>
    </x:row>
    <x:row r="867">
      <x:c r="A867" s="186" t="str">
        <x:v>Silver</x:v>
      </x:c>
      <x:c r="B867" s="187" t="n">
        <x:v>45398</x:v>
      </x:c>
      <x:c r="C867" s="187" t="n">
        <x:v>45401</x:v>
      </x:c>
      <x:c r="D867" s="186" t="str">
        <x:v>084691-SILVER</x:v>
      </x:c>
      <x:c r="E867" s="186" t="str">
        <x:v>SILVER - COMMODITY EXCHANGE INC.</x:v>
      </x:c>
      <x:c r="F867" s="186" t="n">
        <x:v>175784</x:v>
      </x:c>
      <x:c r="G867" s="186" t="n">
        <x:v>9862</x:v>
      </x:c>
      <x:c r="H867" s="186" t="n">
        <x:v>51018</x:v>
      </x:c>
      <x:c r="I867" s="186" t="n">
        <x:f>G867-H867</x:f>
        <x:v>-41156</x:v>
      </x:c>
      <x:c r="J867" s="186" t="n">
        <x:v>27853</x:v>
      </x:c>
      <x:c r="K867" s="186" t="n">
        <x:v>60725</x:v>
      </x:c>
      <x:c r="L867" s="186" t="n">
        <x:f>J867-K867</x:f>
        <x:v>-32872</x:v>
      </x:c>
      <x:c r="M867" s="186" t="n">
        <x:v>60445</x:v>
      </x:c>
      <x:c r="N867" s="186" t="n">
        <x:v>20255</x:v>
      </x:c>
      <x:c r="O867" s="186" t="n">
        <x:f>M867-N867</x:f>
        <x:v>40190</x:v>
      </x:c>
      <x:c r="P867" s="186" t="n">
        <x:v>21970</x:v>
      </x:c>
      <x:c r="Q867" s="186" t="n">
        <x:v>8801</x:v>
      </x:c>
      <x:c r="R867" s="186" t="n">
        <x:f>P867-Q867</x:f>
        <x:v>13169</x:v>
      </x:c>
      <x:c r="S867" s="186" t="n">
        <x:v>32658</x:v>
      </x:c>
      <x:c r="T867" s="186" t="n">
        <x:v>11989</x:v>
      </x:c>
      <x:c r="U867" s="186" t="n">
        <x:f>S867-T867</x:f>
        <x:v>20669</x:v>
      </x:c>
      <x:c r="V867" s="196" t="n">
        <x:f>IFERROR(O867/F867,"")</x:f>
        <x:v>0.22863286761024895</x:v>
      </x:c>
      <x:c r="W867" s="196" t="n">
        <x:f>IFERROR(I867/F867,"")</x:f>
        <x:v>-0.23412824830473764</x:v>
      </x:c>
    </x:row>
    <x:row r="868">
      <x:c r="A868" s="186" t="str">
        <x:v>Gold</x:v>
      </x:c>
      <x:c r="B868" s="187" t="n">
        <x:v>45405</x:v>
      </x:c>
      <x:c r="C868" s="187" t="n">
        <x:v>45408</x:v>
      </x:c>
      <x:c r="D868" s="186" t="str">
        <x:v>088691-GOLD</x:v>
      </x:c>
      <x:c r="E868" s="186" t="str">
        <x:v>GOLD - COMMODITY EXCHANGE INC.</x:v>
      </x:c>
      <x:c r="F868" s="186" t="n">
        <x:v>516249</x:v>
      </x:c>
      <x:c r="G868" s="186" t="n">
        <x:v>37917</x:v>
      </x:c>
      <x:c r="H868" s="186" t="n">
        <x:v>70510</x:v>
      </x:c>
      <x:c r="I868" s="186" t="n">
        <x:f>G868-H868</x:f>
        <x:v>-32593</x:v>
      </x:c>
      <x:c r="J868" s="186" t="n">
        <x:v>75873</x:v>
      </x:c>
      <x:c r="K868" s="186" t="n">
        <x:v>270152</x:v>
      </x:c>
      <x:c r="L868" s="186" t="n">
        <x:f>J868-K868</x:f>
        <x:v>-194279</x:v>
      </x:c>
      <x:c r="M868" s="186" t="n">
        <x:v>176400</x:v>
      </x:c>
      <x:c r="N868" s="186" t="n">
        <x:v>34261</x:v>
      </x:c>
      <x:c r="O868" s="186" t="n">
        <x:f>M868-N868</x:f>
        <x:v>142139</x:v>
      </x:c>
      <x:c r="P868" s="186" t="n">
        <x:v>103135</x:v>
      </x:c>
      <x:c r="Q868" s="186" t="n">
        <x:v>42383</x:v>
      </x:c>
      <x:c r="R868" s="186" t="n">
        <x:f>P868-Q868</x:f>
        <x:v>60752</x:v>
      </x:c>
      <x:c r="S868" s="186" t="n">
        <x:v>48914</x:v>
      </x:c>
      <x:c r="T868" s="186" t="n">
        <x:v>24933</x:v>
      </x:c>
      <x:c r="U868" s="186" t="n">
        <x:f>S868-T868</x:f>
        <x:v>23981</x:v>
      </x:c>
      <x:c r="V868" s="196" t="n">
        <x:f>IFERROR(O868/F868,"")</x:f>
        <x:v>0.27533031540981195</x:v>
      </x:c>
      <x:c r="W868" s="196" t="n">
        <x:f>IFERROR(I868/F868,"")</x:f>
        <x:v>-0.06313426272980674</x:v>
      </x:c>
    </x:row>
    <x:row r="869">
      <x:c r="A869" s="186" t="str">
        <x:v>Silver</x:v>
      </x:c>
      <x:c r="B869" s="187" t="n">
        <x:v>45405</x:v>
      </x:c>
      <x:c r="C869" s="187" t="n">
        <x:v>45408</x:v>
      </x:c>
      <x:c r="D869" s="186" t="str">
        <x:v>084691-SILVER</x:v>
      </x:c>
      <x:c r="E869" s="186" t="str">
        <x:v>SILVER - COMMODITY EXCHANGE INC.</x:v>
      </x:c>
      <x:c r="F869" s="186" t="n">
        <x:v>175740</x:v>
      </x:c>
      <x:c r="G869" s="186" t="n">
        <x:v>6575</x:v>
      </x:c>
      <x:c r="H869" s="186" t="n">
        <x:v>48756</x:v>
      </x:c>
      <x:c r="I869" s="186" t="n">
        <x:f>G869-H869</x:f>
        <x:v>-42181</x:v>
      </x:c>
      <x:c r="J869" s="186" t="n">
        <x:v>27482</x:v>
      </x:c>
      <x:c r="K869" s="186" t="n">
        <x:v>62710</x:v>
      </x:c>
      <x:c r="L869" s="186" t="n">
        <x:f>J869-K869</x:f>
        <x:v>-35228</x:v>
      </x:c>
      <x:c r="M869" s="186" t="n">
        <x:v>60060</x:v>
      </x:c>
      <x:c r="N869" s="186" t="n">
        <x:v>20667</x:v>
      </x:c>
      <x:c r="O869" s="186" t="n">
        <x:f>M869-N869</x:f>
        <x:v>39393</x:v>
      </x:c>
      <x:c r="P869" s="186" t="n">
        <x:v>26118</x:v>
      </x:c>
      <x:c r="Q869" s="186" t="n">
        <x:v>6171</x:v>
      </x:c>
      <x:c r="R869" s="186" t="n">
        <x:f>P869-Q869</x:f>
        <x:v>19947</x:v>
      </x:c>
      <x:c r="S869" s="186" t="n">
        <x:v>30447</x:v>
      </x:c>
      <x:c r="T869" s="186" t="n">
        <x:v>12378</x:v>
      </x:c>
      <x:c r="U869" s="186" t="n">
        <x:f>S869-T869</x:f>
        <x:v>18069</x:v>
      </x:c>
      <x:c r="V869" s="196" t="n">
        <x:f>IFERROR(O869/F869,"")</x:f>
        <x:v>0.22415500170706726</x:v>
      </x:c>
      <x:c r="W869" s="196" t="n">
        <x:f>IFERROR(I869/F869,"")</x:f>
        <x:v>-0.24001934676226244</x:v>
      </x:c>
    </x:row>
    <x:row r="870">
      <x:c r="A870" s="186" t="str">
        <x:v>Gold</x:v>
      </x:c>
      <x:c r="B870" s="187" t="n">
        <x:v>45412</x:v>
      </x:c>
      <x:c r="C870" s="187" t="n">
        <x:v>45415</x:v>
      </x:c>
      <x:c r="D870" s="186" t="str">
        <x:v>088691-GOLD</x:v>
      </x:c>
      <x:c r="E870" s="186" t="str">
        <x:v>GOLD - COMMODITY EXCHANGE INC.</x:v>
      </x:c>
      <x:c r="F870" s="186" t="n">
        <x:v>519791</x:v>
      </x:c>
      <x:c r="G870" s="186" t="n">
        <x:v>37917</x:v>
      </x:c>
      <x:c r="H870" s="186" t="n">
        <x:v>68644</x:v>
      </x:c>
      <x:c r="I870" s="186" t="n">
        <x:f>G870-H870</x:f>
        <x:v>-30727</x:v>
      </x:c>
      <x:c r="J870" s="186" t="n">
        <x:v>73085</x:v>
      </x:c>
      <x:c r="K870" s="186" t="n">
        <x:v>269856</x:v>
      </x:c>
      <x:c r="L870" s="186" t="n">
        <x:f>J870-K870</x:f>
        <x:v>-196771</x:v>
      </x:c>
      <x:c r="M870" s="186" t="n">
        <x:v>171853</x:v>
      </x:c>
      <x:c r="N870" s="186" t="n">
        <x:v>36826</x:v>
      </x:c>
      <x:c r="O870" s="186" t="n">
        <x:f>M870-N870</x:f>
        <x:v>135027</x:v>
      </x:c>
      <x:c r="P870" s="186" t="n">
        <x:v>106997</x:v>
      </x:c>
      <x:c r="Q870" s="186" t="n">
        <x:v>37814</x:v>
      </x:c>
      <x:c r="R870" s="186" t="n">
        <x:f>P870-Q870</x:f>
        <x:v>69183</x:v>
      </x:c>
      <x:c r="S870" s="186" t="n">
        <x:v>50274</x:v>
      </x:c>
      <x:c r="T870" s="186" t="n">
        <x:v>26986</x:v>
      </x:c>
      <x:c r="U870" s="186" t="n">
        <x:f>S870-T870</x:f>
        <x:v>23288</x:v>
      </x:c>
      <x:c r="V870" s="196" t="n">
        <x:f>IFERROR(O870/F870,"")</x:f>
        <x:v>0.25977171593967574</x:v>
      </x:c>
      <x:c r="W870" s="196" t="n">
        <x:f>IFERROR(I870/F870,"")</x:f>
        <x:v>-0.05911414395401229</x:v>
      </x:c>
    </x:row>
    <x:row r="871">
      <x:c r="A871" s="186" t="str">
        <x:v>Silver</x:v>
      </x:c>
      <x:c r="B871" s="187" t="n">
        <x:v>45412</x:v>
      </x:c>
      <x:c r="C871" s="187" t="n">
        <x:v>45415</x:v>
      </x:c>
      <x:c r="D871" s="186" t="str">
        <x:v>084691-SILVER</x:v>
      </x:c>
      <x:c r="E871" s="186" t="str">
        <x:v>SILVER - COMMODITY EXCHANGE INC.</x:v>
      </x:c>
      <x:c r="F871" s="186" t="n">
        <x:v>166315</x:v>
      </x:c>
      <x:c r="G871" s="186" t="n">
        <x:v>5011</x:v>
      </x:c>
      <x:c r="H871" s="186" t="n">
        <x:v>44677</x:v>
      </x:c>
      <x:c r="I871" s="186" t="n">
        <x:f>G871-H871</x:f>
        <x:v>-39666</x:v>
      </x:c>
      <x:c r="J871" s="186" t="n">
        <x:v>28939</x:v>
      </x:c>
      <x:c r="K871" s="186" t="n">
        <x:v>64469</x:v>
      </x:c>
      <x:c r="L871" s="186" t="n">
        <x:f>J871-K871</x:f>
        <x:v>-35530</x:v>
      </x:c>
      <x:c r="M871" s="186" t="n">
        <x:v>55842</x:v>
      </x:c>
      <x:c r="N871" s="186" t="n">
        <x:v>21956</x:v>
      </x:c>
      <x:c r="O871" s="186" t="n">
        <x:f>M871-N871</x:f>
        <x:v>33886</x:v>
      </x:c>
      <x:c r="P871" s="186" t="n">
        <x:v>27252</x:v>
      </x:c>
      <x:c r="Q871" s="186" t="n">
        <x:v>6644</x:v>
      </x:c>
      <x:c r="R871" s="186" t="n">
        <x:f>P871-Q871</x:f>
        <x:v>20608</x:v>
      </x:c>
      <x:c r="S871" s="186" t="n">
        <x:v>32309</x:v>
      </x:c>
      <x:c r="T871" s="186" t="n">
        <x:v>11607</x:v>
      </x:c>
      <x:c r="U871" s="186" t="n">
        <x:f>S871-T871</x:f>
        <x:v>20702</x:v>
      </x:c>
      <x:c r="V871" s="196" t="n">
        <x:f>IFERROR(O871/F871,"")</x:f>
        <x:v>0.20374590385713856</x:v>
      </x:c>
      <x:c r="W871" s="196" t="n">
        <x:f>IFERROR(I871/F871,"")</x:f>
        <x:v>-0.23849923338243695</x:v>
      </x:c>
    </x:row>
    <x:row r="872">
      <x:c r="A872" s="186" t="str">
        <x:v>Gold</x:v>
      </x:c>
      <x:c r="B872" s="187" t="n">
        <x:v>45419</x:v>
      </x:c>
      <x:c r="C872" s="187" t="n">
        <x:v>45422</x:v>
      </x:c>
      <x:c r="D872" s="186" t="str">
        <x:v>088691-GOLD</x:v>
      </x:c>
      <x:c r="E872" s="186" t="str">
        <x:v>GOLD - COMMODITY EXCHANGE INC.</x:v>
      </x:c>
      <x:c r="F872" s="186" t="n">
        <x:v>529835</x:v>
      </x:c>
      <x:c r="G872" s="186" t="n">
        <x:v>35488</x:v>
      </x:c>
      <x:c r="H872" s="186" t="n">
        <x:v>67658</x:v>
      </x:c>
      <x:c r="I872" s="186" t="n">
        <x:f>G872-H872</x:f>
        <x:v>-32170</x:v>
      </x:c>
      <x:c r="J872" s="186" t="n">
        <x:v>73131</x:v>
      </x:c>
      <x:c r="K872" s="186" t="n">
        <x:v>268227</x:v>
      </x:c>
      <x:c r="L872" s="186" t="n">
        <x:f>J872-K872</x:f>
        <x:v>-195096</x:v>
      </x:c>
      <x:c r="M872" s="186" t="n">
        <x:v>164780</x:v>
      </x:c>
      <x:c r="N872" s="186" t="n">
        <x:v>38681</x:v>
      </x:c>
      <x:c r="O872" s="186" t="n">
        <x:f>M872-N872</x:f>
        <x:v>126099</x:v>
      </x:c>
      <x:c r="P872" s="186" t="n">
        <x:v>107364</x:v>
      </x:c>
      <x:c r="Q872" s="186" t="n">
        <x:v>33896</x:v>
      </x:c>
      <x:c r="R872" s="186" t="n">
        <x:f>P872-Q872</x:f>
        <x:v>73468</x:v>
      </x:c>
      <x:c r="S872" s="186" t="n">
        <x:v>54701</x:v>
      </x:c>
      <x:c r="T872" s="186" t="n">
        <x:v>27002</x:v>
      </x:c>
      <x:c r="U872" s="186" t="n">
        <x:f>S872-T872</x:f>
        <x:v>27699</x:v>
      </x:c>
      <x:c r="V872" s="196" t="n">
        <x:f>IFERROR(O872/F872,"")</x:f>
        <x:v>0.23799673483254222</x:v>
      </x:c>
      <x:c r="W872" s="196" t="n">
        <x:f>IFERROR(I872/F872,"")</x:f>
        <x:v>-0.06071701567469118</x:v>
      </x:c>
    </x:row>
    <x:row r="873">
      <x:c r="A873" s="186" t="str">
        <x:v>Silver</x:v>
      </x:c>
      <x:c r="B873" s="187" t="n">
        <x:v>45419</x:v>
      </x:c>
      <x:c r="C873" s="187" t="n">
        <x:v>45422</x:v>
      </x:c>
      <x:c r="D873" s="186" t="str">
        <x:v>084691-SILVER</x:v>
      </x:c>
      <x:c r="E873" s="186" t="str">
        <x:v>SILVER - COMMODITY EXCHANGE INC.</x:v>
      </x:c>
      <x:c r="F873" s="186" t="n">
        <x:v>161868</x:v>
      </x:c>
      <x:c r="G873" s="186" t="n">
        <x:v>4238</x:v>
      </x:c>
      <x:c r="H873" s="186" t="n">
        <x:v>44521</x:v>
      </x:c>
      <x:c r="I873" s="186" t="n">
        <x:f>G873-H873</x:f>
        <x:v>-40283</x:v>
      </x:c>
      <x:c r="J873" s="186" t="n">
        <x:v>29300</x:v>
      </x:c>
      <x:c r="K873" s="186" t="n">
        <x:v>63432</x:v>
      </x:c>
      <x:c r="L873" s="186" t="n">
        <x:f>J873-K873</x:f>
        <x:v>-34132</x:v>
      </x:c>
      <x:c r="M873" s="186" t="n">
        <x:v>54892</x:v>
      </x:c>
      <x:c r="N873" s="186" t="n">
        <x:v>20698</x:v>
      </x:c>
      <x:c r="O873" s="186" t="n">
        <x:f>M873-N873</x:f>
        <x:v>34194</x:v>
      </x:c>
      <x:c r="P873" s="186" t="n">
        <x:v>26758</x:v>
      </x:c>
      <x:c r="Q873" s="186" t="n">
        <x:v>7300</x:v>
      </x:c>
      <x:c r="R873" s="186" t="n">
        <x:f>P873-Q873</x:f>
        <x:v>19458</x:v>
      </x:c>
      <x:c r="S873" s="186" t="n">
        <x:v>32441</x:v>
      </x:c>
      <x:c r="T873" s="186" t="n">
        <x:v>11678</x:v>
      </x:c>
      <x:c r="U873" s="186" t="n">
        <x:f>S873-T873</x:f>
        <x:v>20763</x:v>
      </x:c>
      <x:c r="V873" s="196" t="n">
        <x:f>IFERROR(O873/F873,"")</x:f>
        <x:v>0.21124620060790272</x:v>
      </x:c>
      <x:c r="W873" s="196" t="n">
        <x:f>IFERROR(I873/F873,"")</x:f>
        <x:v>-0.24886327130748512</x:v>
      </x:c>
    </x:row>
    <x:row r="874">
      <x:c r="A874" s="186" t="str">
        <x:v>Gold</x:v>
      </x:c>
      <x:c r="B874" s="187" t="n">
        <x:v>45426</x:v>
      </x:c>
      <x:c r="C874" s="187" t="n">
        <x:v>45429</x:v>
      </x:c>
      <x:c r="D874" s="186" t="str">
        <x:v>088691-GOLD</x:v>
      </x:c>
      <x:c r="E874" s="186" t="str">
        <x:v>GOLD - COMMODITY EXCHANGE INC.</x:v>
      </x:c>
      <x:c r="F874" s="186" t="n">
        <x:v>522952</x:v>
      </x:c>
      <x:c r="G874" s="186" t="n">
        <x:v>35446</x:v>
      </x:c>
      <x:c r="H874" s="186" t="n">
        <x:v>65005</x:v>
      </x:c>
      <x:c r="I874" s="186" t="n">
        <x:f>G874-H874</x:f>
        <x:v>-29559</x:v>
      </x:c>
      <x:c r="J874" s="186" t="n">
        <x:v>75210</x:v>
      </x:c>
      <x:c r="K874" s="186" t="n">
        <x:v>277761</x:v>
      </x:c>
      <x:c r="L874" s="186" t="n">
        <x:f>J874-K874</x:f>
        <x:v>-202551</x:v>
      </x:c>
      <x:c r="M874" s="186" t="n">
        <x:v>171868</x:v>
      </x:c>
      <x:c r="N874" s="186" t="n">
        <x:v>41433</x:v>
      </x:c>
      <x:c r="O874" s="186" t="n">
        <x:f>M874-N874</x:f>
        <x:v>130435</x:v>
      </x:c>
      <x:c r="P874" s="186" t="n">
        <x:v>105774</x:v>
      </x:c>
      <x:c r="Q874" s="186" t="n">
        <x:v>31713</x:v>
      </x:c>
      <x:c r="R874" s="186" t="n">
        <x:f>P874-Q874</x:f>
        <x:v>74061</x:v>
      </x:c>
      <x:c r="S874" s="186" t="n">
        <x:v>52633</x:v>
      </x:c>
      <x:c r="T874" s="186" t="n">
        <x:v>25019</x:v>
      </x:c>
      <x:c r="U874" s="186" t="n">
        <x:f>S874-T874</x:f>
        <x:v>27614</x:v>
      </x:c>
      <x:c r="V874" s="196" t="n">
        <x:f>IFERROR(O874/F874,"")</x:f>
        <x:v>0.2494205969190289</x:v>
      </x:c>
      <x:c r="W874" s="196" t="n">
        <x:f>IFERROR(I874/F874,"")</x:f>
        <x:v>-0.05652335204760666</x:v>
      </x:c>
    </x:row>
    <x:row r="875">
      <x:c r="A875" s="186" t="str">
        <x:v>Silver</x:v>
      </x:c>
      <x:c r="B875" s="187" t="n">
        <x:v>45426</x:v>
      </x:c>
      <x:c r="C875" s="187" t="n">
        <x:v>45429</x:v>
      </x:c>
      <x:c r="D875" s="186" t="str">
        <x:v>084691-SILVER</x:v>
      </x:c>
      <x:c r="E875" s="186" t="str">
        <x:v>SILVER - COMMODITY EXCHANGE INC.</x:v>
      </x:c>
      <x:c r="F875" s="186" t="n">
        <x:v>171371</x:v>
      </x:c>
      <x:c r="G875" s="186" t="n">
        <x:v>4024</x:v>
      </x:c>
      <x:c r="H875" s="186" t="n">
        <x:v>47924</x:v>
      </x:c>
      <x:c r="I875" s="186" t="n">
        <x:f>G875-H875</x:f>
        <x:v>-43900</x:v>
      </x:c>
      <x:c r="J875" s="186" t="n">
        <x:v>29320</x:v>
      </x:c>
      <x:c r="K875" s="186" t="n">
        <x:v>66842</x:v>
      </x:c>
      <x:c r="L875" s="186" t="n">
        <x:f>J875-K875</x:f>
        <x:v>-37522</x:v>
      </x:c>
      <x:c r="M875" s="186" t="n">
        <x:v>60206</x:v>
      </x:c>
      <x:c r="N875" s="186" t="n">
        <x:v>20510</x:v>
      </x:c>
      <x:c r="O875" s="186" t="n">
        <x:f>M875-N875</x:f>
        <x:v>39696</x:v>
      </x:c>
      <x:c r="P875" s="186" t="n">
        <x:v>27730</x:v>
      </x:c>
      <x:c r="Q875" s="186" t="n">
        <x:v>7965</x:v>
      </x:c>
      <x:c r="R875" s="186" t="n">
        <x:f>P875-Q875</x:f>
        <x:v>19765</x:v>
      </x:c>
      <x:c r="S875" s="186" t="n">
        <x:v>32735</x:v>
      </x:c>
      <x:c r="T875" s="186" t="n">
        <x:v>10774</x:v>
      </x:c>
      <x:c r="U875" s="186" t="n">
        <x:f>S875-T875</x:f>
        <x:v>21961</x:v>
      </x:c>
      <x:c r="V875" s="196" t="n">
        <x:f>IFERROR(O875/F875,"")</x:f>
        <x:v>0.2316377916917098</x:v>
      </x:c>
      <x:c r="W875" s="196" t="n">
        <x:f>IFERROR(I875/F875,"")</x:f>
        <x:v>-0.2561693635445904</x:v>
      </x:c>
    </x:row>
    <x:row r="876">
      <x:c r="A876" s="186" t="str">
        <x:v>Gold</x:v>
      </x:c>
      <x:c r="B876" s="187" t="n">
        <x:v>45433</x:v>
      </x:c>
      <x:c r="C876" s="187" t="n">
        <x:v>45436</x:v>
      </x:c>
      <x:c r="D876" s="186" t="str">
        <x:v>088691-GOLD</x:v>
      </x:c>
      <x:c r="E876" s="186" t="str">
        <x:v>GOLD - COMMODITY EXCHANGE INC.</x:v>
      </x:c>
      <x:c r="F876" s="186" t="n">
        <x:v>530591</x:v>
      </x:c>
      <x:c r="G876" s="186" t="n">
        <x:v>20490</x:v>
      </x:c>
      <x:c r="H876" s="186" t="n">
        <x:v>57460</x:v>
      </x:c>
      <x:c r="I876" s="186" t="n">
        <x:f>G876-H876</x:f>
        <x:v>-36970</x:v>
      </x:c>
      <x:c r="J876" s="186" t="n">
        <x:v>76171</x:v>
      </x:c>
      <x:c r="K876" s="186" t="n">
        <x:v>297864</x:v>
      </x:c>
      <x:c r="L876" s="186" t="n">
        <x:f>J876-K876</x:f>
        <x:v>-221693</x:v>
      </x:c>
      <x:c r="M876" s="186" t="n">
        <x:v>190605</x:v>
      </x:c>
      <x:c r="N876" s="186" t="n">
        <x:v>42082</x:v>
      </x:c>
      <x:c r="O876" s="186" t="n">
        <x:f>M876-N876</x:f>
        <x:v>148523</x:v>
      </x:c>
      <x:c r="P876" s="186" t="n">
        <x:v>110124</x:v>
      </x:c>
      <x:c r="Q876" s="186" t="n">
        <x:v>28841</x:v>
      </x:c>
      <x:c r="R876" s="186" t="n">
        <x:f>P876-Q876</x:f>
        <x:v>81283</x:v>
      </x:c>
      <x:c r="S876" s="186" t="n">
        <x:v>55264</x:v>
      </x:c>
      <x:c r="T876" s="186" t="n">
        <x:v>26407</x:v>
      </x:c>
      <x:c r="U876" s="186" t="n">
        <x:f>S876-T876</x:f>
        <x:v>28857</x:v>
      </x:c>
      <x:c r="V876" s="196" t="n">
        <x:f>IFERROR(O876/F876,"")</x:f>
        <x:v>0.27991993833291556</x:v>
      </x:c>
      <x:c r="W876" s="196" t="n">
        <x:f>IFERROR(I876/F876,"")</x:f>
        <x:v>-0.06967702052993738</x:v>
      </x:c>
    </x:row>
    <x:row r="877">
      <x:c r="A877" s="186" t="str">
        <x:v>Silver</x:v>
      </x:c>
      <x:c r="B877" s="187" t="n">
        <x:v>45433</x:v>
      </x:c>
      <x:c r="C877" s="187" t="n">
        <x:v>45436</x:v>
      </x:c>
      <x:c r="D877" s="186" t="str">
        <x:v>084691-SILVER</x:v>
      </x:c>
      <x:c r="E877" s="186" t="str">
        <x:v>SILVER - COMMODITY EXCHANGE INC.</x:v>
      </x:c>
      <x:c r="F877" s="186" t="n">
        <x:v>186945</x:v>
      </x:c>
      <x:c r="G877" s="186" t="n">
        <x:v>6354</x:v>
      </x:c>
      <x:c r="H877" s="186" t="n">
        <x:v>49053</x:v>
      </x:c>
      <x:c r="I877" s="186" t="n">
        <x:f>G877-H877</x:f>
        <x:v>-42699</x:v>
      </x:c>
      <x:c r="J877" s="186" t="n">
        <x:v>32086</x:v>
      </x:c>
      <x:c r="K877" s="186" t="n">
        <x:v>72481</x:v>
      </x:c>
      <x:c r="L877" s="186" t="n">
        <x:f>J877-K877</x:f>
        <x:v>-40395</x:v>
      </x:c>
      <x:c r="M877" s="186" t="n">
        <x:v>61627</x:v>
      </x:c>
      <x:c r="N877" s="186" t="n">
        <x:v>25457</x:v>
      </x:c>
      <x:c r="O877" s="186" t="n">
        <x:f>M877-N877</x:f>
        <x:v>36170</x:v>
      </x:c>
      <x:c r="P877" s="186" t="n">
        <x:v>32514</x:v>
      </x:c>
      <x:c r="Q877" s="186" t="n">
        <x:v>9040</x:v>
      </x:c>
      <x:c r="R877" s="186" t="n">
        <x:f>P877-Q877</x:f>
        <x:v>23474</x:v>
      </x:c>
      <x:c r="S877" s="186" t="n">
        <x:v>34911</x:v>
      </x:c>
      <x:c r="T877" s="186" t="n">
        <x:v>11461</x:v>
      </x:c>
      <x:c r="U877" s="186" t="n">
        <x:f>S877-T877</x:f>
        <x:v>23450</x:v>
      </x:c>
      <x:c r="V877" s="196" t="n">
        <x:f>IFERROR(O877/F877,"")</x:f>
        <x:v>0.19347936558880954</x:v>
      </x:c>
      <x:c r="W877" s="196" t="n">
        <x:f>IFERROR(I877/F877,"")</x:f>
        <x:v>-0.22840407606515284</x:v>
      </x:c>
    </x:row>
    <x:row r="878">
      <x:c r="A878" s="186" t="str">
        <x:v>Gold</x:v>
      </x:c>
      <x:c r="B878" s="187" t="n">
        <x:v>45440</x:v>
      </x:c>
      <x:c r="C878" s="187" t="n">
        <x:v>45443</x:v>
      </x:c>
      <x:c r="D878" s="186" t="str">
        <x:v>088691-GOLD</x:v>
      </x:c>
      <x:c r="E878" s="186" t="str">
        <x:v>GOLD - COMMODITY EXCHANGE INC.</x:v>
      </x:c>
      <x:c r="F878" s="186" t="n">
        <x:v>485430</x:v>
      </x:c>
      <x:c r="G878" s="186" t="n">
        <x:v>18542</x:v>
      </x:c>
      <x:c r="H878" s="186" t="n">
        <x:v>59186</x:v>
      </x:c>
      <x:c r="I878" s="186" t="n">
        <x:f>G878-H878</x:f>
        <x:v>-40644</x:v>
      </x:c>
      <x:c r="J878" s="186" t="n">
        <x:v>69148</x:v>
      </x:c>
      <x:c r="K878" s="186" t="n">
        <x:v>289454</x:v>
      </x:c>
      <x:c r="L878" s="186" t="n">
        <x:f>J878-K878</x:f>
        <x:v>-220306</x:v>
      </x:c>
      <x:c r="M878" s="186" t="n">
        <x:v>174444</x:v>
      </x:c>
      <x:c r="N878" s="186" t="n">
        <x:v>25616</x:v>
      </x:c>
      <x:c r="O878" s="186" t="n">
        <x:f>M878-N878</x:f>
        <x:v>148828</x:v>
      </x:c>
      <x:c r="P878" s="186" t="n">
        <x:v>112293</x:v>
      </x:c>
      <x:c r="Q878" s="186" t="n">
        <x:v>24536</x:v>
      </x:c>
      <x:c r="R878" s="186" t="n">
        <x:f>P878-Q878</x:f>
        <x:v>87757</x:v>
      </x:c>
      <x:c r="S878" s="186" t="n">
        <x:v>51528</x:v>
      </x:c>
      <x:c r="T878" s="186" t="n">
        <x:v>27163</x:v>
      </x:c>
      <x:c r="U878" s="186" t="n">
        <x:f>S878-T878</x:f>
        <x:v>24365</x:v>
      </x:c>
      <x:c r="V878" s="196" t="n">
        <x:f>IFERROR(O878/F878,"")</x:f>
        <x:v>0.3065900335784768</x:v>
      </x:c>
      <x:c r="W878" s="196" t="n">
        <x:f>IFERROR(I878/F878,"")</x:f>
        <x:v>-0.08372782893517088</x:v>
      </x:c>
    </x:row>
    <x:row r="879">
      <x:c r="A879" s="186" t="str">
        <x:v>Silver</x:v>
      </x:c>
      <x:c r="B879" s="187" t="n">
        <x:v>45440</x:v>
      </x:c>
      <x:c r="C879" s="187" t="n">
        <x:v>45443</x:v>
      </x:c>
      <x:c r="D879" s="186" t="str">
        <x:v>084691-SILVER</x:v>
      </x:c>
      <x:c r="E879" s="186" t="str">
        <x:v>SILVER - COMMODITY EXCHANGE INC.</x:v>
      </x:c>
      <x:c r="F879" s="186" t="n">
        <x:v>184846</x:v>
      </x:c>
      <x:c r="G879" s="186" t="n">
        <x:v>5736</x:v>
      </x:c>
      <x:c r="H879" s="186" t="n">
        <x:v>48979</x:v>
      </x:c>
      <x:c r="I879" s="186" t="n">
        <x:f>G879-H879</x:f>
        <x:v>-43243</x:v>
      </x:c>
      <x:c r="J879" s="186" t="n">
        <x:v>32867</x:v>
      </x:c>
      <x:c r="K879" s="186" t="n">
        <x:v>70696</x:v>
      </x:c>
      <x:c r="L879" s="186" t="n">
        <x:f>J879-K879</x:f>
        <x:v>-37829</x:v>
      </x:c>
      <x:c r="M879" s="186" t="n">
        <x:v>62242</x:v>
      </x:c>
      <x:c r="N879" s="186" t="n">
        <x:v>24487</x:v>
      </x:c>
      <x:c r="O879" s="186" t="n">
        <x:f>M879-N879</x:f>
        <x:v>37755</x:v>
      </x:c>
      <x:c r="P879" s="186" t="n">
        <x:v>29488</x:v>
      </x:c>
      <x:c r="Q879" s="186" t="n">
        <x:v>10060</x:v>
      </x:c>
      <x:c r="R879" s="186" t="n">
        <x:f>P879-Q879</x:f>
        <x:v>19428</x:v>
      </x:c>
      <x:c r="S879" s="186" t="n">
        <x:v>35705</x:v>
      </x:c>
      <x:c r="T879" s="186" t="n">
        <x:v>11816</x:v>
      </x:c>
      <x:c r="U879" s="186" t="n">
        <x:f>S879-T879</x:f>
        <x:v>23889</x:v>
      </x:c>
      <x:c r="V879" s="196" t="n">
        <x:f>IFERROR(O879/F879,"")</x:f>
        <x:v>0.20425110632634733</x:v>
      </x:c>
      <x:c r="W879" s="196" t="n">
        <x:f>IFERROR(I879/F879,"")</x:f>
        <x:v>-0.2339406857600381</x:v>
      </x:c>
    </x:row>
    <x:row r="880">
      <x:c r="A880" s="186" t="str">
        <x:v>Gold</x:v>
      </x:c>
      <x:c r="B880" s="187" t="n">
        <x:v>45447</x:v>
      </x:c>
      <x:c r="C880" s="187" t="n">
        <x:v>45450</x:v>
      </x:c>
      <x:c r="D880" s="186" t="str">
        <x:v>088691-GOLD</x:v>
      </x:c>
      <x:c r="E880" s="186" t="str">
        <x:v>GOLD - COMMODITY EXCHANGE INC.</x:v>
      </x:c>
      <x:c r="F880" s="186" t="n">
        <x:v>447488</x:v>
      </x:c>
      <x:c r="G880" s="186" t="n">
        <x:v>15962</x:v>
      </x:c>
      <x:c r="H880" s="186" t="n">
        <x:v>55848</x:v>
      </x:c>
      <x:c r="I880" s="186" t="n">
        <x:f>G880-H880</x:f>
        <x:v>-39886</x:v>
      </x:c>
      <x:c r="J880" s="186" t="n">
        <x:v>56738</x:v>
      </x:c>
      <x:c r="K880" s="186" t="n">
        <x:v>282783</x:v>
      </x:c>
      <x:c r="L880" s="186" t="n">
        <x:f>J880-K880</x:f>
        <x:v>-226045</x:v>
      </x:c>
      <x:c r="M880" s="186" t="n">
        <x:v>172560</x:v>
      </x:c>
      <x:c r="N880" s="186" t="n">
        <x:v>20261</x:v>
      </x:c>
      <x:c r="O880" s="186" t="n">
        <x:f>M880-N880</x:f>
        <x:v>152299</x:v>
      </x:c>
      <x:c r="P880" s="186" t="n">
        <x:v>112006</x:v>
      </x:c>
      <x:c r="Q880" s="186" t="n">
        <x:v>27003</x:v>
      </x:c>
      <x:c r="R880" s="186" t="n">
        <x:f>P880-Q880</x:f>
        <x:v>85003</x:v>
      </x:c>
      <x:c r="S880" s="186" t="n">
        <x:v>49807</x:v>
      </x:c>
      <x:c r="T880" s="186" t="n">
        <x:v>21178</x:v>
      </x:c>
      <x:c r="U880" s="186" t="n">
        <x:f>S880-T880</x:f>
        <x:v>28629</x:v>
      </x:c>
      <x:c r="V880" s="196" t="n">
        <x:f>IFERROR(O880/F880,"")</x:f>
        <x:v>0.3403420873855835</x:v>
      </x:c>
      <x:c r="W880" s="196" t="n">
        <x:f>IFERROR(I880/F880,"")</x:f>
        <x:v>-0.0891331164187643</x:v>
      </x:c>
    </x:row>
    <x:row r="881">
      <x:c r="A881" s="186" t="str">
        <x:v>Silver</x:v>
      </x:c>
      <x:c r="B881" s="187" t="n">
        <x:v>45447</x:v>
      </x:c>
      <x:c r="C881" s="187" t="n">
        <x:v>45450</x:v>
      </x:c>
      <x:c r="D881" s="186" t="str">
        <x:v>084691-SILVER</x:v>
      </x:c>
      <x:c r="E881" s="186" t="str">
        <x:v>SILVER - COMMODITY EXCHANGE INC.</x:v>
      </x:c>
      <x:c r="F881" s="186" t="n">
        <x:v>179854</x:v>
      </x:c>
      <x:c r="G881" s="186" t="n">
        <x:v>4057</x:v>
      </x:c>
      <x:c r="H881" s="186" t="n">
        <x:v>46902</x:v>
      </x:c>
      <x:c r="I881" s="186" t="n">
        <x:f>G881-H881</x:f>
        <x:v>-42845</x:v>
      </x:c>
      <x:c r="J881" s="186" t="n">
        <x:v>30822</x:v>
      </x:c>
      <x:c r="K881" s="186" t="n">
        <x:v>69497</x:v>
      </x:c>
      <x:c r="L881" s="186" t="n">
        <x:f>J881-K881</x:f>
        <x:v>-38675</x:v>
      </x:c>
      <x:c r="M881" s="186" t="n">
        <x:v>56908</x:v>
      </x:c>
      <x:c r="N881" s="186" t="n">
        <x:v>22577</x:v>
      </x:c>
      <x:c r="O881" s="186" t="n">
        <x:f>M881-N881</x:f>
        <x:v>34331</x:v>
      </x:c>
      <x:c r="P881" s="186" t="n">
        <x:v>31696</x:v>
      </x:c>
      <x:c r="Q881" s="186" t="n">
        <x:v>9624</x:v>
      </x:c>
      <x:c r="R881" s="186" t="n">
        <x:f>P881-Q881</x:f>
        <x:v>22072</x:v>
      </x:c>
      <x:c r="S881" s="186" t="n">
        <x:v>35798</x:v>
      </x:c>
      <x:c r="T881" s="186" t="n">
        <x:v>10681</x:v>
      </x:c>
      <x:c r="U881" s="186" t="n">
        <x:f>S881-T881</x:f>
        <x:v>25117</x:v>
      </x:c>
      <x:c r="V881" s="196" t="n">
        <x:f>IFERROR(O881/F881,"")</x:f>
        <x:v>0.1908826047794322</x:v>
      </x:c>
      <x:c r="W881" s="196" t="n">
        <x:f>IFERROR(I881/F881,"")</x:f>
        <x:v>-0.2382210014789774</x:v>
      </x:c>
    </x:row>
    <x:row r="882">
      <x:c r="A882" s="186" t="str">
        <x:v>Gold</x:v>
      </x:c>
      <x:c r="B882" s="187" t="n">
        <x:v>45454</x:v>
      </x:c>
      <x:c r="C882" s="187" t="n">
        <x:v>45457</x:v>
      </x:c>
      <x:c r="D882" s="186" t="str">
        <x:v>088691-GOLD</x:v>
      </x:c>
      <x:c r="E882" s="186" t="str">
        <x:v>GOLD - COMMODITY EXCHANGE INC.</x:v>
      </x:c>
      <x:c r="F882" s="186" t="n">
        <x:v>436857</x:v>
      </x:c>
      <x:c r="G882" s="186" t="n">
        <x:v>15922</x:v>
      </x:c>
      <x:c r="H882" s="186" t="n">
        <x:v>56729</x:v>
      </x:c>
      <x:c r="I882" s="186" t="n">
        <x:f>G882-H882</x:f>
        <x:v>-40807</x:v>
      </x:c>
      <x:c r="J882" s="186" t="n">
        <x:v>55474</x:v>
      </x:c>
      <x:c r="K882" s="186" t="n">
        <x:v>275178</x:v>
      </x:c>
      <x:c r="L882" s="186" t="n">
        <x:f>J882-K882</x:f>
        <x:v>-219704</x:v>
      </x:c>
      <x:c r="M882" s="186" t="n">
        <x:v>168424</x:v>
      </x:c>
      <x:c r="N882" s="186" t="n">
        <x:v>15459</x:v>
      </x:c>
      <x:c r="O882" s="186" t="n">
        <x:f>M882-N882</x:f>
        <x:v>152965</x:v>
      </x:c>
      <x:c r="P882" s="186" t="n">
        <x:v>108345</x:v>
      </x:c>
      <x:c r="Q882" s="186" t="n">
        <x:v>27384</x:v>
      </x:c>
      <x:c r="R882" s="186" t="n">
        <x:f>P882-Q882</x:f>
        <x:v>80961</x:v>
      </x:c>
      <x:c r="S882" s="186" t="n">
        <x:v>50311</x:v>
      </x:c>
      <x:c r="T882" s="186" t="n">
        <x:v>23726</x:v>
      </x:c>
      <x:c r="U882" s="186" t="n">
        <x:f>S882-T882</x:f>
        <x:v>26585</x:v>
      </x:c>
      <x:c r="V882" s="196" t="n">
        <x:f>IFERROR(O882/F882,"")</x:f>
        <x:v>0.35014890456144687</x:v>
      </x:c>
      <x:c r="W882" s="196" t="n">
        <x:f>IFERROR(I882/F882,"")</x:f>
        <x:v>-0.09341042949981344</x:v>
      </x:c>
    </x:row>
    <x:row r="883">
      <x:c r="A883" s="186" t="str">
        <x:v>Silver</x:v>
      </x:c>
      <x:c r="B883" s="187" t="n">
        <x:v>45454</x:v>
      </x:c>
      <x:c r="C883" s="187" t="n">
        <x:v>45457</x:v>
      </x:c>
      <x:c r="D883" s="186" t="str">
        <x:v>084691-SILVER</x:v>
      </x:c>
      <x:c r="E883" s="186" t="str">
        <x:v>SILVER - COMMODITY EXCHANGE INC.</x:v>
      </x:c>
      <x:c r="F883" s="186" t="n">
        <x:v>176036</x:v>
      </x:c>
      <x:c r="G883" s="186" t="n">
        <x:v>4734</x:v>
      </x:c>
      <x:c r="H883" s="186" t="n">
        <x:v>45574</x:v>
      </x:c>
      <x:c r="I883" s="186" t="n">
        <x:f>G883-H883</x:f>
        <x:v>-40840</x:v>
      </x:c>
      <x:c r="J883" s="186" t="n">
        <x:v>31055</x:v>
      </x:c>
      <x:c r="K883" s="186" t="n">
        <x:v>68552</x:v>
      </x:c>
      <x:c r="L883" s="186" t="n">
        <x:f>J883-K883</x:f>
        <x:v>-37497</x:v>
      </x:c>
      <x:c r="M883" s="186" t="n">
        <x:v>52207</x:v>
      </x:c>
      <x:c r="N883" s="186" t="n">
        <x:v>24147</x:v>
      </x:c>
      <x:c r="O883" s="186" t="n">
        <x:f>M883-N883</x:f>
        <x:v>28060</x:v>
      </x:c>
      <x:c r="P883" s="186" t="n">
        <x:v>31986</x:v>
      </x:c>
      <x:c r="Q883" s="186" t="n">
        <x:v>8354</x:v>
      </x:c>
      <x:c r="R883" s="186" t="n">
        <x:f>P883-Q883</x:f>
        <x:v>23632</x:v>
      </x:c>
      <x:c r="S883" s="186" t="n">
        <x:v>37462</x:v>
      </x:c>
      <x:c r="T883" s="186" t="n">
        <x:v>10817</x:v>
      </x:c>
      <x:c r="U883" s="186" t="n">
        <x:f>S883-T883</x:f>
        <x:v>26645</x:v>
      </x:c>
      <x:c r="V883" s="196" t="n">
        <x:f>IFERROR(O883/F883,"")</x:f>
        <x:v>0.15939921379717786</x:v>
      </x:c>
      <x:c r="W883" s="196" t="n">
        <x:f>IFERROR(I883/F883,"")</x:f>
        <x:v>-0.23199800040900725</x:v>
      </x:c>
    </x:row>
    <x:row r="884">
      <x:c r="A884" s="186" t="str">
        <x:v>Gold</x:v>
      </x:c>
      <x:c r="B884" s="187" t="n">
        <x:v>45461</x:v>
      </x:c>
      <x:c r="C884" s="187" t="n">
        <x:v>45464</x:v>
      </x:c>
      <x:c r="D884" s="186" t="str">
        <x:v>088691-GOLD</x:v>
      </x:c>
      <x:c r="E884" s="186" t="str">
        <x:v>GOLD - COMMODITY EXCHANGE INC.</x:v>
      </x:c>
      <x:c r="F884" s="186" t="n">
        <x:v>444345</x:v>
      </x:c>
      <x:c r="G884" s="186" t="n">
        <x:v>15030</x:v>
      </x:c>
      <x:c r="H884" s="186" t="n">
        <x:v>57588</x:v>
      </x:c>
      <x:c r="I884" s="186" t="n">
        <x:f>G884-H884</x:f>
        <x:v>-42558</x:v>
      </x:c>
      <x:c r="J884" s="186" t="n">
        <x:v>55910</x:v>
      </x:c>
      <x:c r="K884" s="186" t="n">
        <x:v>281082</x:v>
      </x:c>
      <x:c r="L884" s="186" t="n">
        <x:f>J884-K884</x:f>
        <x:v>-225172</x:v>
      </x:c>
      <x:c r="M884" s="186" t="n">
        <x:v>177639</x:v>
      </x:c>
      <x:c r="N884" s="186" t="n">
        <x:v>17018</x:v>
      </x:c>
      <x:c r="O884" s="186" t="n">
        <x:f>M884-N884</x:f>
        <x:v>160621</x:v>
      </x:c>
      <x:c r="P884" s="186" t="n">
        <x:v>109508</x:v>
      </x:c>
      <x:c r="Q884" s="186" t="n">
        <x:v>27045</x:v>
      </x:c>
      <x:c r="R884" s="186" t="n">
        <x:f>P884-Q884</x:f>
        <x:v>82463</x:v>
      </x:c>
      <x:c r="S884" s="186" t="n">
        <x:v>47659</x:v>
      </x:c>
      <x:c r="T884" s="186" t="n">
        <x:v>23013</x:v>
      </x:c>
      <x:c r="U884" s="186" t="n">
        <x:f>S884-T884</x:f>
        <x:v>24646</x:v>
      </x:c>
      <x:c r="V884" s="196" t="n">
        <x:f>IFERROR(O884/F884,"")</x:f>
        <x:v>0.3614781307317512</x:v>
      </x:c>
      <x:c r="W884" s="196" t="n">
        <x:f>IFERROR(I884/F884,"")</x:f>
        <x:v>-0.09577693008810721</x:v>
      </x:c>
    </x:row>
    <x:row r="885">
      <x:c r="A885" s="186" t="str">
        <x:v>Silver</x:v>
      </x:c>
      <x:c r="B885" s="187" t="n">
        <x:v>45461</x:v>
      </x:c>
      <x:c r="C885" s="187" t="n">
        <x:v>45464</x:v>
      </x:c>
      <x:c r="D885" s="186" t="str">
        <x:v>084691-SILVER</x:v>
      </x:c>
      <x:c r="E885" s="186" t="str">
        <x:v>SILVER - COMMODITY EXCHANGE INC.</x:v>
      </x:c>
      <x:c r="F885" s="186" t="n">
        <x:v>176605</x:v>
      </x:c>
      <x:c r="G885" s="186" t="n">
        <x:v>5588</x:v>
      </x:c>
      <x:c r="H885" s="186" t="n">
        <x:v>45842</x:v>
      </x:c>
      <x:c r="I885" s="186" t="n">
        <x:f>G885-H885</x:f>
        <x:v>-40254</x:v>
      </x:c>
      <x:c r="J885" s="186" t="n">
        <x:v>31727</x:v>
      </x:c>
      <x:c r="K885" s="186" t="n">
        <x:v>70075</x:v>
      </x:c>
      <x:c r="L885" s="186" t="n">
        <x:f>J885-K885</x:f>
        <x:v>-38348</x:v>
      </x:c>
      <x:c r="M885" s="186" t="n">
        <x:v>53057</x:v>
      </x:c>
      <x:c r="N885" s="186" t="n">
        <x:v>22008</x:v>
      </x:c>
      <x:c r="O885" s="186" t="n">
        <x:f>M885-N885</x:f>
        <x:v>31049</x:v>
      </x:c>
      <x:c r="P885" s="186" t="n">
        <x:v>28802</x:v>
      </x:c>
      <x:c r="Q885" s="186" t="n">
        <x:v>7950</x:v>
      </x:c>
      <x:c r="R885" s="186" t="n">
        <x:f>P885-Q885</x:f>
        <x:v>20852</x:v>
      </x:c>
      <x:c r="S885" s="186" t="n">
        <x:v>37060</x:v>
      </x:c>
      <x:c r="T885" s="186" t="n">
        <x:v>10359</x:v>
      </x:c>
      <x:c r="U885" s="186" t="n">
        <x:f>S885-T885</x:f>
        <x:v>26701</x:v>
      </x:c>
      <x:c r="V885" s="196" t="n">
        <x:f>IFERROR(O885/F885,"")</x:f>
        <x:v>0.17581042439342034</x:v>
      </x:c>
      <x:c r="W885" s="196" t="n">
        <x:f>IFERROR(I885/F885,"")</x:f>
        <x:v>-0.22793239149514452</x:v>
      </x:c>
    </x:row>
    <x:row r="886">
      <x:c r="A886" s="186" t="str">
        <x:v>Gold</x:v>
      </x:c>
      <x:c r="B886" s="187" t="n">
        <x:v>45468</x:v>
      </x:c>
      <x:c r="C886" s="187" t="n">
        <x:v>45471</x:v>
      </x:c>
      <x:c r="D886" s="186" t="str">
        <x:v>088691-GOLD</x:v>
      </x:c>
      <x:c r="E886" s="186" t="str">
        <x:v>GOLD - COMMODITY EXCHANGE INC.</x:v>
      </x:c>
      <x:c r="F886" s="186" t="n">
        <x:v>452190</x:v>
      </x:c>
      <x:c r="G886" s="186" t="n">
        <x:v>15601</x:v>
      </x:c>
      <x:c r="H886" s="186" t="n">
        <x:v>58204</x:v>
      </x:c>
      <x:c r="I886" s="186" t="n">
        <x:f>G886-H886</x:f>
        <x:v>-42603</x:v>
      </x:c>
      <x:c r="J886" s="186" t="n">
        <x:v>58751</x:v>
      </x:c>
      <x:c r="K886" s="186" t="n">
        <x:v>287636</x:v>
      </x:c>
      <x:c r="L886" s="186" t="n">
        <x:f>J886-K886</x:f>
        <x:v>-228885</x:v>
      </x:c>
      <x:c r="M886" s="186" t="n">
        <x:v>174756</x:v>
      </x:c>
      <x:c r="N886" s="186" t="n">
        <x:v>16554</x:v>
      </x:c>
      <x:c r="O886" s="186" t="n">
        <x:f>M886-N886</x:f>
        <x:v>158202</x:v>
      </x:c>
      <x:c r="P886" s="186" t="n">
        <x:v>110129</x:v>
      </x:c>
      <x:c r="Q886" s="186" t="n">
        <x:v>22102</x:v>
      </x:c>
      <x:c r="R886" s="186" t="n">
        <x:f>P886-Q886</x:f>
        <x:v>88027</x:v>
      </x:c>
      <x:c r="S886" s="186" t="n">
        <x:v>48436</x:v>
      </x:c>
      <x:c r="T886" s="186" t="n">
        <x:v>23177</x:v>
      </x:c>
      <x:c r="U886" s="186" t="n">
        <x:f>S886-T886</x:f>
        <x:v>25259</x:v>
      </x:c>
      <x:c r="V886" s="196" t="n">
        <x:f>IFERROR(O886/F886,"")</x:f>
        <x:v>0.3498573608438931</x:v>
      </x:c>
      <x:c r="W886" s="196" t="n">
        <x:f>IFERROR(I886/F886,"")</x:f>
        <x:v>-0.09421482120347642</x:v>
      </x:c>
    </x:row>
    <x:row r="887">
      <x:c r="A887" s="186" t="str">
        <x:v>Silver</x:v>
      </x:c>
      <x:c r="B887" s="187" t="n">
        <x:v>45468</x:v>
      </x:c>
      <x:c r="C887" s="187" t="n">
        <x:v>45471</x:v>
      </x:c>
      <x:c r="D887" s="186" t="str">
        <x:v>084691-SILVER</x:v>
      </x:c>
      <x:c r="E887" s="186" t="str">
        <x:v>SILVER - COMMODITY EXCHANGE INC.</x:v>
      </x:c>
      <x:c r="F887" s="186" t="n">
        <x:v>166470</x:v>
      </x:c>
      <x:c r="G887" s="186" t="n">
        <x:v>4330</x:v>
      </x:c>
      <x:c r="H887" s="186" t="n">
        <x:v>43682</x:v>
      </x:c>
      <x:c r="I887" s="186" t="n">
        <x:f>G887-H887</x:f>
        <x:v>-39352</x:v>
      </x:c>
      <x:c r="J887" s="186" t="n">
        <x:v>27929</x:v>
      </x:c>
      <x:c r="K887" s="186" t="n">
        <x:v>69295</x:v>
      </x:c>
      <x:c r="L887" s="186" t="n">
        <x:f>J887-K887</x:f>
        <x:v>-41366</x:v>
      </x:c>
      <x:c r="M887" s="186" t="n">
        <x:v>50941</x:v>
      </x:c>
      <x:c r="N887" s="186" t="n">
        <x:v>18595</x:v>
      </x:c>
      <x:c r="O887" s="186" t="n">
        <x:f>M887-N887</x:f>
        <x:v>32346</x:v>
      </x:c>
      <x:c r="P887" s="186" t="n">
        <x:v>30425</x:v>
      </x:c>
      <x:c r="Q887" s="186" t="n">
        <x:v>6793</x:v>
      </x:c>
      <x:c r="R887" s="186" t="n">
        <x:f>P887-Q887</x:f>
        <x:v>23632</x:v>
      </x:c>
      <x:c r="S887" s="186" t="n">
        <x:v>35689</x:v>
      </x:c>
      <x:c r="T887" s="186" t="n">
        <x:v>10949</x:v>
      </x:c>
      <x:c r="U887" s="186" t="n">
        <x:f>S887-T887</x:f>
        <x:v>24740</x:v>
      </x:c>
      <x:c r="V887" s="196" t="n">
        <x:f>IFERROR(O887/F887,"")</x:f>
        <x:v>0.1943052802306722</x:v>
      </x:c>
      <x:c r="W887" s="196" t="n">
        <x:f>IFERROR(I887/F887,"")</x:f>
        <x:v>-0.23639094131074667</x:v>
      </x:c>
    </x:row>
    <x:row r="888">
      <x:c r="A888" s="186" t="str">
        <x:v>Gold</x:v>
      </x:c>
      <x:c r="B888" s="187" t="n">
        <x:v>45475</x:v>
      </x:c>
      <x:c r="C888" s="187" t="n">
        <x:v>45478</x:v>
      </x:c>
      <x:c r="D888" s="186" t="str">
        <x:v>088691-GOLD</x:v>
      </x:c>
      <x:c r="E888" s="186" t="str">
        <x:v>GOLD - COMMODITY EXCHANGE INC.</x:v>
      </x:c>
      <x:c r="F888" s="186" t="n">
        <x:v>454730</x:v>
      </x:c>
      <x:c r="G888" s="186" t="n">
        <x:v>14424</x:v>
      </x:c>
      <x:c r="H888" s="186" t="n">
        <x:v>59169</x:v>
      </x:c>
      <x:c r="I888" s="186" t="n">
        <x:f>G888-H888</x:f>
        <x:v>-44745</x:v>
      </x:c>
      <x:c r="J888" s="186" t="n">
        <x:v>59925</x:v>
      </x:c>
      <x:c r="K888" s="186" t="n">
        <x:v>279979</x:v>
      </x:c>
      <x:c r="L888" s="186" t="n">
        <x:f>J888-K888</x:f>
        <x:v>-220054</x:v>
      </x:c>
      <x:c r="M888" s="186" t="n">
        <x:v>167688</x:v>
      </x:c>
      <x:c r="N888" s="186" t="n">
        <x:v>16873</x:v>
      </x:c>
      <x:c r="O888" s="186" t="n">
        <x:f>M888-N888</x:f>
        <x:v>150815</x:v>
      </x:c>
      <x:c r="P888" s="186" t="n">
        <x:v>112429</x:v>
      </x:c>
      <x:c r="Q888" s="186" t="n">
        <x:v>21701</x:v>
      </x:c>
      <x:c r="R888" s="186" t="n">
        <x:f>P888-Q888</x:f>
        <x:v>90728</x:v>
      </x:c>
      <x:c r="S888" s="186" t="n">
        <x:v>47694</x:v>
      </x:c>
      <x:c r="T888" s="186" t="n">
        <x:v>24438</x:v>
      </x:c>
      <x:c r="U888" s="186" t="n">
        <x:f>S888-T888</x:f>
        <x:v>23256</x:v>
      </x:c>
      <x:c r="V888" s="196" t="n">
        <x:f>IFERROR(O888/F888,"")</x:f>
        <x:v>0.33165834671123523</x:v>
      </x:c>
      <x:c r="W888" s="196" t="n">
        <x:f>IFERROR(I888/F888,"")</x:f>
        <x:v>-0.0983990499857058</x:v>
      </x:c>
    </x:row>
    <x:row r="889">
      <x:c r="A889" s="186" t="str">
        <x:v>Silver</x:v>
      </x:c>
      <x:c r="B889" s="187" t="n">
        <x:v>45475</x:v>
      </x:c>
      <x:c r="C889" s="187" t="n">
        <x:v>45478</x:v>
      </x:c>
      <x:c r="D889" s="186" t="str">
        <x:v>084691-SILVER</x:v>
      </x:c>
      <x:c r="E889" s="186" t="str">
        <x:v>SILVER - COMMODITY EXCHANGE INC.</x:v>
      </x:c>
      <x:c r="F889" s="186" t="n">
        <x:v>154724</x:v>
      </x:c>
      <x:c r="G889" s="186" t="n">
        <x:v>3604</x:v>
      </x:c>
      <x:c r="H889" s="186" t="n">
        <x:v>42259</x:v>
      </x:c>
      <x:c r="I889" s="186" t="n">
        <x:f>G889-H889</x:f>
        <x:v>-38655</x:v>
      </x:c>
      <x:c r="J889" s="186" t="n">
        <x:v>26254</x:v>
      </x:c>
      <x:c r="K889" s="186" t="n">
        <x:v>67554</x:v>
      </x:c>
      <x:c r="L889" s="186" t="n">
        <x:f>J889-K889</x:f>
        <x:v>-41300</x:v>
      </x:c>
      <x:c r="M889" s="186" t="n">
        <x:v>49570</x:v>
      </x:c>
      <x:c r="N889" s="186" t="n">
        <x:v>18013</x:v>
      </x:c>
      <x:c r="O889" s="186" t="n">
        <x:f>M889-N889</x:f>
        <x:v>31557</x:v>
      </x:c>
      <x:c r="P889" s="186" t="n">
        <x:v>30201</x:v>
      </x:c>
      <x:c r="Q889" s="186" t="n">
        <x:v>5924</x:v>
      </x:c>
      <x:c r="R889" s="186" t="n">
        <x:f>P889-Q889</x:f>
        <x:v>24277</x:v>
      </x:c>
      <x:c r="S889" s="186" t="n">
        <x:v>33247</x:v>
      </x:c>
      <x:c r="T889" s="186" t="n">
        <x:v>9126</x:v>
      </x:c>
      <x:c r="U889" s="186" t="n">
        <x:f>S889-T889</x:f>
        <x:v>24121</x:v>
      </x:c>
      <x:c r="V889" s="196" t="n">
        <x:f>IFERROR(O889/F889,"")</x:f>
        <x:v>0.20395672293891057</x:v>
      </x:c>
      <x:c r="W889" s="196" t="n">
        <x:f>IFERROR(I889/F889,"")</x:f>
        <x:v>-0.24983195884284273</x:v>
      </x:c>
    </x:row>
    <x:row r="890">
      <x:c r="A890" s="186" t="str">
        <x:v>Gold</x:v>
      </x:c>
      <x:c r="B890" s="187" t="n">
        <x:v>45482</x:v>
      </x:c>
      <x:c r="C890" s="187" t="n">
        <x:v>45485</x:v>
      </x:c>
      <x:c r="D890" s="186" t="str">
        <x:v>088691-GOLD</x:v>
      </x:c>
      <x:c r="E890" s="186" t="str">
        <x:v>GOLD - COMMODITY EXCHANGE INC.</x:v>
      </x:c>
      <x:c r="F890" s="186" t="n">
        <x:v>516324</x:v>
      </x:c>
      <x:c r="G890" s="186" t="n">
        <x:v>14031</x:v>
      </x:c>
      <x:c r="H890" s="186" t="n">
        <x:v>66422</x:v>
      </x:c>
      <x:c r="I890" s="186" t="n">
        <x:f>G890-H890</x:f>
        <x:v>-52391</x:v>
      </x:c>
      <x:c r="J890" s="186" t="n">
        <x:v>62183</x:v>
      </x:c>
      <x:c r="K890" s="186" t="n">
        <x:v>290421</x:v>
      </x:c>
      <x:c r="L890" s="186" t="n">
        <x:f>J890-K890</x:f>
        <x:v>-228238</x:v>
      </x:c>
      <x:c r="M890" s="186" t="n">
        <x:v>181982</x:v>
      </x:c>
      <x:c r="N890" s="186" t="n">
        <x:v>24515</x:v>
      </x:c>
      <x:c r="O890" s="186" t="n">
        <x:f>M890-N890</x:f>
        <x:v>157467</x:v>
      </x:c>
      <x:c r="P890" s="186" t="n">
        <x:v>121061</x:v>
      </x:c>
      <x:c r="Q890" s="186" t="n">
        <x:v>23753</x:v>
      </x:c>
      <x:c r="R890" s="186" t="n">
        <x:f>P890-Q890</x:f>
        <x:v>97308</x:v>
      </x:c>
      <x:c r="S890" s="186" t="n">
        <x:v>50623</x:v>
      </x:c>
      <x:c r="T890" s="186" t="n">
        <x:v>24769</x:v>
      </x:c>
      <x:c r="U890" s="186" t="n">
        <x:f>S890-T890</x:f>
        <x:v>25854</x:v>
      </x:c>
      <x:c r="V890" s="196" t="n">
        <x:f>IFERROR(O890/F890,"")</x:f>
        <x:v>0.3049771073976805</x:v>
      </x:c>
      <x:c r="W890" s="196" t="n">
        <x:f>IFERROR(I890/F890,"")</x:f>
        <x:v>-0.1014692324974241</x:v>
      </x:c>
    </x:row>
    <x:row r="891">
      <x:c r="A891" s="186" t="str">
        <x:v>Silver</x:v>
      </x:c>
      <x:c r="B891" s="187" t="n">
        <x:v>45482</x:v>
      </x:c>
      <x:c r="C891" s="187" t="n">
        <x:v>45485</x:v>
      </x:c>
      <x:c r="D891" s="186" t="str">
        <x:v>084691-SILVER</x:v>
      </x:c>
      <x:c r="E891" s="186" t="str">
        <x:v>SILVER - COMMODITY EXCHANGE INC.</x:v>
      </x:c>
      <x:c r="F891" s="186" t="n">
        <x:v>163245</x:v>
      </x:c>
      <x:c r="G891" s="186" t="n">
        <x:v>3281</x:v>
      </x:c>
      <x:c r="H891" s="186" t="n">
        <x:v>44645</x:v>
      </x:c>
      <x:c r="I891" s="186" t="n">
        <x:f>G891-H891</x:f>
        <x:v>-41364</x:v>
      </x:c>
      <x:c r="J891" s="186" t="n">
        <x:v>25579</x:v>
      </x:c>
      <x:c r="K891" s="186" t="n">
        <x:v>69005</x:v>
      </x:c>
      <x:c r="L891" s="186" t="n">
        <x:f>J891-K891</x:f>
        <x:v>-43426</x:v>
      </x:c>
      <x:c r="M891" s="186" t="n">
        <x:v>55172</x:v>
      </x:c>
      <x:c r="N891" s="186" t="n">
        <x:v>17270</x:v>
      </x:c>
      <x:c r="O891" s="186" t="n">
        <x:f>M891-N891</x:f>
        <x:v>37902</x:v>
      </x:c>
      <x:c r="P891" s="186" t="n">
        <x:v>29179</x:v>
      </x:c>
      <x:c r="Q891" s="186" t="n">
        <x:v>6025</x:v>
      </x:c>
      <x:c r="R891" s="186" t="n">
        <x:f>P891-Q891</x:f>
        <x:v>23154</x:v>
      </x:c>
      <x:c r="S891" s="186" t="n">
        <x:v>32735</x:v>
      </x:c>
      <x:c r="T891" s="186" t="n">
        <x:v>9001</x:v>
      </x:c>
      <x:c r="U891" s="186" t="n">
        <x:f>S891-T891</x:f>
        <x:v>23734</x:v>
      </x:c>
      <x:c r="V891" s="196" t="n">
        <x:f>IFERROR(O891/F891,"")</x:f>
        <x:v>0.23217862721676008</x:v>
      </x:c>
      <x:c r="W891" s="196" t="n">
        <x:f>IFERROR(I891/F891,"")</x:f>
        <x:v>-0.2533860148856014</x:v>
      </x:c>
    </x:row>
    <x:row r="892">
      <x:c r="A892" s="186" t="str">
        <x:v>Gold</x:v>
      </x:c>
      <x:c r="B892" s="187" t="n">
        <x:v>45489</x:v>
      </x:c>
      <x:c r="C892" s="187" t="n">
        <x:v>45492</x:v>
      </x:c>
      <x:c r="D892" s="186" t="str">
        <x:v>088691-GOLD</x:v>
      </x:c>
      <x:c r="E892" s="186" t="str">
        <x:v>GOLD - COMMODITY EXCHANGE INC.</x:v>
      </x:c>
      <x:c r="F892" s="186" t="n">
        <x:v>579862</x:v>
      </x:c>
      <x:c r="G892" s="186" t="n">
        <x:v>23789</x:v>
      </x:c>
      <x:c r="H892" s="186" t="n">
        <x:v>84107</x:v>
      </x:c>
      <x:c r="I892" s="186" t="n">
        <x:f>G892-H892</x:f>
        <x:v>-60318</x:v>
      </x:c>
      <x:c r="J892" s="186" t="n">
        <x:v>62675</x:v>
      </x:c>
      <x:c r="K892" s="186" t="n">
        <x:v>311661</x:v>
      </x:c>
      <x:c r="L892" s="186" t="n">
        <x:f>J892-K892</x:f>
        <x:v>-248986</x:v>
      </x:c>
      <x:c r="M892" s="186" t="n">
        <x:v>216502</x:v>
      </x:c>
      <x:c r="N892" s="186" t="n">
        <x:v>31970</x:v>
      </x:c>
      <x:c r="O892" s="186" t="n">
        <x:f>M892-N892</x:f>
        <x:v>184532</x:v>
      </x:c>
      <x:c r="P892" s="186" t="n">
        <x:v>133325</x:v>
      </x:c>
      <x:c r="Q892" s="186" t="n">
        <x:v>32833</x:v>
      </x:c>
      <x:c r="R892" s="186" t="n">
        <x:f>P892-Q892</x:f>
        <x:v>100492</x:v>
      </x:c>
      <x:c r="S892" s="186" t="n">
        <x:v>53814</x:v>
      </x:c>
      <x:c r="T892" s="186" t="n">
        <x:v>29534</x:v>
      </x:c>
      <x:c r="U892" s="186" t="n">
        <x:f>S892-T892</x:f>
        <x:v>24280</x:v>
      </x:c>
      <x:c r="V892" s="196" t="n">
        <x:f>IFERROR(O892/F892,"")</x:f>
        <x:v>0.31823433851502597</x:v>
      </x:c>
      <x:c r="W892" s="196" t="n">
        <x:f>IFERROR(I892/F892,"")</x:f>
        <x:v>-0.10402130162004063</x:v>
      </x:c>
    </x:row>
    <x:row r="893">
      <x:c r="A893" s="186" t="str">
        <x:v>Silver</x:v>
      </x:c>
      <x:c r="B893" s="187" t="n">
        <x:v>45489</x:v>
      </x:c>
      <x:c r="C893" s="187" t="n">
        <x:v>45492</x:v>
      </x:c>
      <x:c r="D893" s="186" t="str">
        <x:v>084691-SILVER</x:v>
      </x:c>
      <x:c r="E893" s="186" t="str">
        <x:v>SILVER - COMMODITY EXCHANGE INC.</x:v>
      </x:c>
      <x:c r="F893" s="186" t="n">
        <x:v>166641</x:v>
      </x:c>
      <x:c r="G893" s="186" t="n">
        <x:v>2794</x:v>
      </x:c>
      <x:c r="H893" s="186" t="n">
        <x:v>43342</x:v>
      </x:c>
      <x:c r="I893" s="186" t="n">
        <x:f>G893-H893</x:f>
        <x:v>-40548</x:v>
      </x:c>
      <x:c r="J893" s="186" t="n">
        <x:v>25017</x:v>
      </x:c>
      <x:c r="K893" s="186" t="n">
        <x:v>68204</x:v>
      </x:c>
      <x:c r="L893" s="186" t="n">
        <x:f>J893-K893</x:f>
        <x:v>-43187</x:v>
      </x:c>
      <x:c r="M893" s="186" t="n">
        <x:v>55858</x:v>
      </x:c>
      <x:c r="N893" s="186" t="n">
        <x:v>19183</x:v>
      </x:c>
      <x:c r="O893" s="186" t="n">
        <x:f>M893-N893</x:f>
        <x:v>36675</x:v>
      </x:c>
      <x:c r="P893" s="186" t="n">
        <x:v>29147</x:v>
      </x:c>
      <x:c r="Q893" s="186" t="n">
        <x:v>5657</x:v>
      </x:c>
      <x:c r="R893" s="186" t="n">
        <x:f>P893-Q893</x:f>
        <x:v>23490</x:v>
      </x:c>
      <x:c r="S893" s="186" t="n">
        <x:v>33426</x:v>
      </x:c>
      <x:c r="T893" s="186" t="n">
        <x:v>9856</x:v>
      </x:c>
      <x:c r="U893" s="186" t="n">
        <x:f>S893-T893</x:f>
        <x:v>23570</x:v>
      </x:c>
      <x:c r="V893" s="196" t="n">
        <x:f>IFERROR(O893/F893,"")</x:f>
        <x:v>0.2200838929195096</x:v>
      </x:c>
      <x:c r="W893" s="196" t="n">
        <x:f>IFERROR(I893/F893,"")</x:f>
        <x:v>-0.2433254721227069</x:v>
      </x:c>
    </x:row>
    <x:row r="894">
      <x:c r="A894" s="186" t="str">
        <x:v>Gold</x:v>
      </x:c>
      <x:c r="B894" s="187" t="n">
        <x:v>45496</x:v>
      </x:c>
      <x:c r="C894" s="187" t="n">
        <x:v>45499</x:v>
      </x:c>
      <x:c r="D894" s="186" t="str">
        <x:v>088691-GOLD</x:v>
      </x:c>
      <x:c r="E894" s="186" t="str">
        <x:v>GOLD - COMMODITY EXCHANGE INC.</x:v>
      </x:c>
      <x:c r="F894" s="186" t="n">
        <x:v>572306</x:v>
      </x:c>
      <x:c r="G894" s="186" t="n">
        <x:v>15685</x:v>
      </x:c>
      <x:c r="H894" s="186" t="n">
        <x:v>69900</x:v>
      </x:c>
      <x:c r="I894" s="186" t="n">
        <x:f>G894-H894</x:f>
        <x:v>-54215</x:v>
      </x:c>
      <x:c r="J894" s="186" t="n">
        <x:v>58598</x:v>
      </x:c>
      <x:c r="K894" s="186" t="n">
        <x:v>305308</x:v>
      </x:c>
      <x:c r="L894" s="186" t="n">
        <x:f>J894-K894</x:f>
        <x:v>-246710</x:v>
      </x:c>
      <x:c r="M894" s="186" t="n">
        <x:v>197802</x:v>
      </x:c>
      <x:c r="N894" s="186" t="n">
        <x:v>34942</x:v>
      </x:c>
      <x:c r="O894" s="186" t="n">
        <x:f>M894-N894</x:f>
        <x:v>162860</x:v>
      </x:c>
      <x:c r="P894" s="186" t="n">
        <x:v>143798</x:v>
      </x:c>
      <x:c r="Q894" s="186" t="n">
        <x:v>33584</x:v>
      </x:c>
      <x:c r="R894" s="186" t="n">
        <x:f>P894-Q894</x:f>
        <x:v>110214</x:v>
      </x:c>
      <x:c r="S894" s="186" t="n">
        <x:v>53705</x:v>
      </x:c>
      <x:c r="T894" s="186" t="n">
        <x:v>25854</x:v>
      </x:c>
      <x:c r="U894" s="186" t="n">
        <x:f>S894-T894</x:f>
        <x:v>27851</x:v>
      </x:c>
      <x:c r="V894" s="196" t="n">
        <x:f>IFERROR(O894/F894,"")</x:f>
        <x:v>0.28456804576572675</x:v>
      </x:c>
      <x:c r="W894" s="196" t="n">
        <x:f>IFERROR(I894/F894,"")</x:f>
        <x:v>-0.09473079087061817</x:v>
      </x:c>
    </x:row>
    <x:row r="895">
      <x:c r="A895" s="186" t="str">
        <x:v>Silver</x:v>
      </x:c>
      <x:c r="B895" s="187" t="n">
        <x:v>45496</x:v>
      </x:c>
      <x:c r="C895" s="187" t="n">
        <x:v>45499</x:v>
      </x:c>
      <x:c r="D895" s="186" t="str">
        <x:v>084691-SILVER</x:v>
      </x:c>
      <x:c r="E895" s="186" t="str">
        <x:v>SILVER - COMMODITY EXCHANGE INC.</x:v>
      </x:c>
      <x:c r="F895" s="186" t="n">
        <x:v>157106</x:v>
      </x:c>
      <x:c r="G895" s="186" t="n">
        <x:v>3501</x:v>
      </x:c>
      <x:c r="H895" s="186" t="n">
        <x:v>40508</x:v>
      </x:c>
      <x:c r="I895" s="186" t="n">
        <x:f>G895-H895</x:f>
        <x:v>-37007</x:v>
      </x:c>
      <x:c r="J895" s="186" t="n">
        <x:v>25263</x:v>
      </x:c>
      <x:c r="K895" s="186" t="n">
        <x:v>62072</x:v>
      </x:c>
      <x:c r="L895" s="186" t="n">
        <x:f>J895-K895</x:f>
        <x:v>-36809</x:v>
      </x:c>
      <x:c r="M895" s="186" t="n">
        <x:v>43877</x:v>
      </x:c>
      <x:c r="N895" s="186" t="n">
        <x:v>18523</x:v>
      </x:c>
      <x:c r="O895" s="186" t="n">
        <x:f>M895-N895</x:f>
        <x:v>25354</x:v>
      </x:c>
      <x:c r="P895" s="186" t="n">
        <x:v>31596</x:v>
      </x:c>
      <x:c r="Q895" s="186" t="n">
        <x:v>5570</x:v>
      </x:c>
      <x:c r="R895" s="186" t="n">
        <x:f>P895-Q895</x:f>
        <x:v>26026</x:v>
      </x:c>
      <x:c r="S895" s="186" t="n">
        <x:v>32419</x:v>
      </x:c>
      <x:c r="T895" s="186" t="n">
        <x:v>9983</x:v>
      </x:c>
      <x:c r="U895" s="186" t="n">
        <x:f>S895-T895</x:f>
        <x:v>22436</x:v>
      </x:c>
      <x:c r="V895" s="196" t="n">
        <x:f>IFERROR(O895/F895,"")</x:f>
        <x:v>0.16138148765801433</x:v>
      </x:c>
      <x:c r="W895" s="196" t="n">
        <x:f>IFERROR(I895/F895,"")</x:f>
        <x:v>-0.2355543391086273</x:v>
      </x:c>
    </x:row>
    <x:row r="896">
      <x:c r="A896" s="186" t="str">
        <x:v>Gold</x:v>
      </x:c>
      <x:c r="B896" s="187" t="n">
        <x:v>45503</x:v>
      </x:c>
      <x:c r="C896" s="187" t="n">
        <x:v>45506</x:v>
      </x:c>
      <x:c r="D896" s="186" t="str">
        <x:v>088691-GOLD</x:v>
      </x:c>
      <x:c r="E896" s="186" t="str">
        <x:v>GOLD - COMMODITY EXCHANGE INC.</x:v>
      </x:c>
      <x:c r="F896" s="186" t="n">
        <x:v>510914</x:v>
      </x:c>
      <x:c r="G896" s="186" t="n">
        <x:v>19913</x:v>
      </x:c>
      <x:c r="H896" s="186" t="n">
        <x:v>64678</x:v>
      </x:c>
      <x:c r="I896" s="186" t="n">
        <x:f>G896-H896</x:f>
        <x:v>-44765</x:v>
      </x:c>
      <x:c r="J896" s="186" t="n">
        <x:v>55083</x:v>
      </x:c>
      <x:c r="K896" s="186" t="n">
        <x:v>283175</x:v>
      </x:c>
      <x:c r="L896" s="186" t="n">
        <x:f>J896-K896</x:f>
        <x:v>-228092</x:v>
      </x:c>
      <x:c r="M896" s="186" t="n">
        <x:v>185586</x:v>
      </x:c>
      <x:c r="N896" s="186" t="n">
        <x:v>33222</x:v>
      </x:c>
      <x:c r="O896" s="186" t="n">
        <x:f>M896-N896</x:f>
        <x:v>152364</x:v>
      </x:c>
      <x:c r="P896" s="186" t="n">
        <x:v>127778</x:v>
      </x:c>
      <x:c r="Q896" s="186" t="n">
        <x:v>33541</x:v>
      </x:c>
      <x:c r="R896" s="186" t="n">
        <x:f>P896-Q896</x:f>
        <x:v>94237</x:v>
      </x:c>
      <x:c r="S896" s="186" t="n">
        <x:v>49931</x:v>
      </x:c>
      <x:c r="T896" s="186" t="n">
        <x:v>23675</x:v>
      </x:c>
      <x:c r="U896" s="186" t="n">
        <x:f>S896-T896</x:f>
        <x:v>26256</x:v>
      </x:c>
      <x:c r="V896" s="196" t="n">
        <x:f>IFERROR(O896/F896,"")</x:f>
        <x:v>0.2982184868686315</x:v>
      </x:c>
      <x:c r="W896" s="196" t="n">
        <x:f>IFERROR(I896/F896,"")</x:f>
        <x:v>-0.08761748552593979</x:v>
      </x:c>
    </x:row>
    <x:row r="897">
      <x:c r="A897" s="186" t="str">
        <x:v>Silver</x:v>
      </x:c>
      <x:c r="B897" s="187" t="n">
        <x:v>45503</x:v>
      </x:c>
      <x:c r="C897" s="187" t="n">
        <x:v>45506</x:v>
      </x:c>
      <x:c r="D897" s="186" t="str">
        <x:v>084691-SILVER</x:v>
      </x:c>
      <x:c r="E897" s="186" t="str">
        <x:v>SILVER - COMMODITY EXCHANGE INC.</x:v>
      </x:c>
      <x:c r="F897" s="186" t="n">
        <x:v>151437</x:v>
      </x:c>
      <x:c r="G897" s="186" t="n">
        <x:v>4063</x:v>
      </x:c>
      <x:c r="H897" s="186" t="n">
        <x:v>38528</x:v>
      </x:c>
      <x:c r="I897" s="186" t="n">
        <x:f>G897-H897</x:f>
        <x:v>-34465</x:v>
      </x:c>
      <x:c r="J897" s="186" t="n">
        <x:v>24227</x:v>
      </x:c>
      <x:c r="K897" s="186" t="n">
        <x:v>60132</x:v>
      </x:c>
      <x:c r="L897" s="186" t="n">
        <x:f>J897-K897</x:f>
        <x:v>-35905</x:v>
      </x:c>
      <x:c r="M897" s="186" t="n">
        <x:v>37898</x:v>
      </x:c>
      <x:c r="N897" s="186" t="n">
        <x:v>13683</x:v>
      </x:c>
      <x:c r="O897" s="186" t="n">
        <x:f>M897-N897</x:f>
        <x:v>24215</x:v>
      </x:c>
      <x:c r="P897" s="186" t="n">
        <x:v>29518</x:v>
      </x:c>
      <x:c r="Q897" s="186" t="n">
        <x:v>4672</x:v>
      </x:c>
      <x:c r="R897" s="186" t="n">
        <x:f>P897-Q897</x:f>
        <x:v>24846</x:v>
      </x:c>
      <x:c r="S897" s="186" t="n">
        <x:v>31840</x:v>
      </x:c>
      <x:c r="T897" s="186" t="n">
        <x:v>10531</x:v>
      </x:c>
      <x:c r="U897" s="186" t="n">
        <x:f>S897-T897</x:f>
        <x:v>21309</x:v>
      </x:c>
      <x:c r="V897" s="196" t="n">
        <x:f>IFERROR(O897/F897,"")</x:f>
        <x:v>0.15990147718193043</x:v>
      </x:c>
      <x:c r="W897" s="196" t="n">
        <x:f>IFERROR(I897/F897,"")</x:f>
        <x:v>-0.22758638905947687</x:v>
      </x:c>
    </x:row>
    <x:row r="898">
      <x:c r="A898" s="186" t="str">
        <x:v>Gold</x:v>
      </x:c>
      <x:c r="B898" s="187" t="n">
        <x:v>45510</x:v>
      </x:c>
      <x:c r="C898" s="187" t="n">
        <x:v>45513</x:v>
      </x:c>
      <x:c r="D898" s="186" t="str">
        <x:v>088691-GOLD</x:v>
      </x:c>
      <x:c r="E898" s="186" t="str">
        <x:v>GOLD - COMMODITY EXCHANGE INC.</x:v>
      </x:c>
      <x:c r="F898" s="186" t="n">
        <x:v>480645</x:v>
      </x:c>
      <x:c r="G898" s="186" t="n">
        <x:v>16637</x:v>
      </x:c>
      <x:c r="H898" s="186" t="n">
        <x:v>63782</x:v>
      </x:c>
      <x:c r="I898" s="186" t="n">
        <x:f>G898-H898</x:f>
        <x:v>-47145</x:v>
      </x:c>
      <x:c r="J898" s="186" t="n">
        <x:v>56985</x:v>
      </x:c>
      <x:c r="K898" s="186" t="n">
        <x:v>278874</x:v>
      </x:c>
      <x:c r="L898" s="186" t="n">
        <x:f>J898-K898</x:f>
        <x:v>-221889</x:v>
      </x:c>
      <x:c r="M898" s="186" t="n">
        <x:v>180303</x:v>
      </x:c>
      <x:c r="N898" s="186" t="n">
        <x:v>29517</x:v>
      </x:c>
      <x:c r="O898" s="186" t="n">
        <x:f>M898-N898</x:f>
        <x:v>150786</x:v>
      </x:c>
      <x:c r="P898" s="186" t="n">
        <x:v>117816</x:v>
      </x:c>
      <x:c r="Q898" s="186" t="n">
        <x:v>29853</x:v>
      </x:c>
      <x:c r="R898" s="186" t="n">
        <x:f>P898-Q898</x:f>
        <x:v>87963</x:v>
      </x:c>
      <x:c r="S898" s="186" t="n">
        <x:v>51205</x:v>
      </x:c>
      <x:c r="T898" s="186" t="n">
        <x:v>20920</x:v>
      </x:c>
      <x:c r="U898" s="186" t="n">
        <x:f>S898-T898</x:f>
        <x:v>30285</x:v>
      </x:c>
      <x:c r="V898" s="196" t="n">
        <x:f>IFERROR(O898/F898,"")</x:f>
        <x:v>0.3137159441999813</x:v>
      </x:c>
      <x:c r="W898" s="196" t="n">
        <x:f>IFERROR(I898/F898,"")</x:f>
        <x:v>-0.0980869456667603</x:v>
      </x:c>
    </x:row>
    <x:row r="899">
      <x:c r="A899" s="186" t="str">
        <x:v>Silver</x:v>
      </x:c>
      <x:c r="B899" s="187" t="n">
        <x:v>45510</x:v>
      </x:c>
      <x:c r="C899" s="187" t="n">
        <x:v>45513</x:v>
      </x:c>
      <x:c r="D899" s="186" t="str">
        <x:v>084691-SILVER</x:v>
      </x:c>
      <x:c r="E899" s="186" t="str">
        <x:v>SILVER - COMMODITY EXCHANGE INC.</x:v>
      </x:c>
      <x:c r="F899" s="186" t="n">
        <x:v>147537</x:v>
      </x:c>
      <x:c r="G899" s="186" t="n">
        <x:v>4405</x:v>
      </x:c>
      <x:c r="H899" s="186" t="n">
        <x:v>37415</x:v>
      </x:c>
      <x:c r="I899" s="186" t="n">
        <x:f>G899-H899</x:f>
        <x:v>-33010</x:v>
      </x:c>
      <x:c r="J899" s="186" t="n">
        <x:v>24214</x:v>
      </x:c>
      <x:c r="K899" s="186" t="n">
        <x:v>60835</x:v>
      </x:c>
      <x:c r="L899" s="186" t="n">
        <x:f>J899-K899</x:f>
        <x:v>-36621</x:v>
      </x:c>
      <x:c r="M899" s="186" t="n">
        <x:v>36537</x:v>
      </x:c>
      <x:c r="N899" s="186" t="n">
        <x:v>12153</x:v>
      </x:c>
      <x:c r="O899" s="186" t="n">
        <x:f>M899-N899</x:f>
        <x:v>24384</x:v>
      </x:c>
      <x:c r="P899" s="186" t="n">
        <x:v>28037</x:v>
      </x:c>
      <x:c r="Q899" s="186" t="n">
        <x:v>3340</x:v>
      </x:c>
      <x:c r="R899" s="186" t="n">
        <x:f>P899-Q899</x:f>
        <x:v>24697</x:v>
      </x:c>
      <x:c r="S899" s="186" t="n">
        <x:v>30694</x:v>
      </x:c>
      <x:c r="T899" s="186" t="n">
        <x:v>10144</x:v>
      </x:c>
      <x:c r="U899" s="186" t="n">
        <x:f>S899-T899</x:f>
        <x:v>20550</x:v>
      </x:c>
      <x:c r="V899" s="196" t="n">
        <x:f>IFERROR(O899/F899,"")</x:f>
        <x:v>0.16527379572581793</x:v>
      </x:c>
      <x:c r="W899" s="196" t="n">
        <x:f>IFERROR(I899/F899,"")</x:f>
        <x:v>-0.22374048543755126</x:v>
      </x:c>
    </x:row>
    <x:row r="900">
      <x:c r="A900" s="186" t="str">
        <x:v>Gold</x:v>
      </x:c>
      <x:c r="B900" s="187" t="n">
        <x:v>45517</x:v>
      </x:c>
      <x:c r="C900" s="187" t="n">
        <x:v>45520</x:v>
      </x:c>
      <x:c r="D900" s="186" t="str">
        <x:v>088691-GOLD</x:v>
      </x:c>
      <x:c r="E900" s="186" t="str">
        <x:v>GOLD - COMMODITY EXCHANGE INC.</x:v>
      </x:c>
      <x:c r="F900" s="186" t="n">
        <x:v>505872</x:v>
      </x:c>
      <x:c r="G900" s="186" t="n">
        <x:v>16717</x:v>
      </x:c>
      <x:c r="H900" s="186" t="n">
        <x:v>69652</x:v>
      </x:c>
      <x:c r="I900" s="186" t="n">
        <x:f>G900-H900</x:f>
        <x:v>-52935</x:v>
      </x:c>
      <x:c r="J900" s="186" t="n">
        <x:v>54827</x:v>
      </x:c>
      <x:c r="K900" s="186" t="n">
        <x:v>294394</x:v>
      </x:c>
      <x:c r="L900" s="186" t="n">
        <x:f>J900-K900</x:f>
        <x:v>-239567</x:v>
      </x:c>
      <x:c r="M900" s="186" t="n">
        <x:v>203844</x:v>
      </x:c>
      <x:c r="N900" s="186" t="n">
        <x:v>25929</x:v>
      </x:c>
      <x:c r="O900" s="186" t="n">
        <x:f>M900-N900</x:f>
        <x:v>177915</x:v>
      </x:c>
      <x:c r="P900" s="186" t="n">
        <x:v>124925</x:v>
      </x:c>
      <x:c r="Q900" s="186" t="n">
        <x:v>35576</x:v>
      </x:c>
      <x:c r="R900" s="186" t="n">
        <x:f>P900-Q900</x:f>
        <x:v>89349</x:v>
      </x:c>
      <x:c r="S900" s="186" t="n">
        <x:v>50388</x:v>
      </x:c>
      <x:c r="T900" s="186" t="n">
        <x:v>25150</x:v>
      </x:c>
      <x:c r="U900" s="186" t="n">
        <x:f>S900-T900</x:f>
        <x:v>25238</x:v>
      </x:c>
      <x:c r="V900" s="196" t="n">
        <x:f>IFERROR(O900/F900,"")</x:f>
        <x:v>0.35169963943448146</x:v>
      </x:c>
      <x:c r="W900" s="196" t="n">
        <x:f>IFERROR(I900/F900,"")</x:f>
        <x:v>-0.10464109498054844</x:v>
      </x:c>
    </x:row>
    <x:row r="901">
      <x:c r="A901" s="186" t="str">
        <x:v>Silver</x:v>
      </x:c>
      <x:c r="B901" s="187" t="n">
        <x:v>45517</x:v>
      </x:c>
      <x:c r="C901" s="187" t="n">
        <x:v>45520</x:v>
      </x:c>
      <x:c r="D901" s="186" t="str">
        <x:v>084691-SILVER</x:v>
      </x:c>
      <x:c r="E901" s="186" t="str">
        <x:v>SILVER - COMMODITY EXCHANGE INC.</x:v>
      </x:c>
      <x:c r="F901" s="186" t="n">
        <x:v>147859</x:v>
      </x:c>
      <x:c r="G901" s="186" t="n">
        <x:v>4603</x:v>
      </x:c>
      <x:c r="H901" s="186" t="n">
        <x:v>37404</x:v>
      </x:c>
      <x:c r="I901" s="186" t="n">
        <x:f>G901-H901</x:f>
        <x:v>-32801</x:v>
      </x:c>
      <x:c r="J901" s="186" t="n">
        <x:v>24231</x:v>
      </x:c>
      <x:c r="K901" s="186" t="n">
        <x:v>58206</x:v>
      </x:c>
      <x:c r="L901" s="186" t="n">
        <x:f>J901-K901</x:f>
        <x:v>-33975</x:v>
      </x:c>
      <x:c r="M901" s="186" t="n">
        <x:v>35805</x:v>
      </x:c>
      <x:c r="N901" s="186" t="n">
        <x:v>12471</x:v>
      </x:c>
      <x:c r="O901" s="186" t="n">
        <x:f>M901-N901</x:f>
        <x:v>23334</x:v>
      </x:c>
      <x:c r="P901" s="186" t="n">
        <x:v>25653</x:v>
      </x:c>
      <x:c r="Q901" s="186" t="n">
        <x:v>3698</x:v>
      </x:c>
      <x:c r="R901" s="186" t="n">
        <x:f>P901-Q901</x:f>
        <x:v>21955</x:v>
      </x:c>
      <x:c r="S901" s="186" t="n">
        <x:v>31934</x:v>
      </x:c>
      <x:c r="T901" s="186" t="n">
        <x:v>10447</x:v>
      </x:c>
      <x:c r="U901" s="186" t="n">
        <x:f>S901-T901</x:f>
        <x:v>21487</x:v>
      </x:c>
      <x:c r="V901" s="196" t="n">
        <x:f>IFERROR(O901/F901,"")</x:f>
        <x:v>0.15781251056750012</x:v>
      </x:c>
      <x:c r="W901" s="196" t="n">
        <x:f>IFERROR(I901/F901,"")</x:f>
        <x:v>-0.22183972568460492</x:v>
      </x:c>
    </x:row>
    <x:row r="902">
      <x:c r="A902" s="186" t="str">
        <x:v>Gold</x:v>
      </x:c>
      <x:c r="B902" s="187" t="n">
        <x:v>45524</x:v>
      </x:c>
      <x:c r="C902" s="187" t="n">
        <x:v>45527</x:v>
      </x:c>
      <x:c r="D902" s="186" t="str">
        <x:v>088691-GOLD</x:v>
      </x:c>
      <x:c r="E902" s="186" t="str">
        <x:v>GOLD - COMMODITY EXCHANGE INC.</x:v>
      </x:c>
      <x:c r="F902" s="186" t="n">
        <x:v>532867</x:v>
      </x:c>
      <x:c r="G902" s="186" t="n">
        <x:v>15569</x:v>
      </x:c>
      <x:c r="H902" s="186" t="n">
        <x:v>79564</x:v>
      </x:c>
      <x:c r="I902" s="186" t="n">
        <x:f>G902-H902</x:f>
        <x:v>-63995</x:v>
      </x:c>
      <x:c r="J902" s="186" t="n">
        <x:v>53461</x:v>
      </x:c>
      <x:c r="K902" s="186" t="n">
        <x:v>305972</x:v>
      </x:c>
      <x:c r="L902" s="186" t="n">
        <x:f>J902-K902</x:f>
        <x:v>-252511</x:v>
      </x:c>
      <x:c r="M902" s="186" t="n">
        <x:v>222142</x:v>
      </x:c>
      <x:c r="N902" s="186" t="n">
        <x:v>28837</x:v>
      </x:c>
      <x:c r="O902" s="186" t="n">
        <x:f>M902-N902</x:f>
        <x:v>193305</x:v>
      </x:c>
      <x:c r="P902" s="186" t="n">
        <x:v>133409</x:v>
      </x:c>
      <x:c r="Q902" s="186" t="n">
        <x:v>35461</x:v>
      </x:c>
      <x:c r="R902" s="186" t="n">
        <x:f>P902-Q902</x:f>
        <x:v>97948</x:v>
      </x:c>
      <x:c r="S902" s="186" t="n">
        <x:v>52918</x:v>
      </x:c>
      <x:c r="T902" s="186" t="n">
        <x:v>27665</x:v>
      </x:c>
      <x:c r="U902" s="186" t="n">
        <x:f>S902-T902</x:f>
        <x:v>25253</x:v>
      </x:c>
      <x:c r="V902" s="196" t="n">
        <x:f>IFERROR(O902/F902,"")</x:f>
        <x:v>0.3627640668309353</x:v>
      </x:c>
      <x:c r="W902" s="196" t="n">
        <x:f>IFERROR(I902/F902,"")</x:f>
        <x:v>-0.12009563361964617</x:v>
      </x:c>
    </x:row>
    <x:row r="903">
      <x:c r="A903" s="186" t="str">
        <x:v>Silver</x:v>
      </x:c>
      <x:c r="B903" s="187" t="n">
        <x:v>45524</x:v>
      </x:c>
      <x:c r="C903" s="187" t="n">
        <x:v>45527</x:v>
      </x:c>
      <x:c r="D903" s="186" t="str">
        <x:v>084691-SILVER</x:v>
      </x:c>
      <x:c r="E903" s="186" t="str">
        <x:v>SILVER - COMMODITY EXCHANGE INC.</x:v>
      </x:c>
      <x:c r="F903" s="186" t="n">
        <x:v>146986</x:v>
      </x:c>
      <x:c r="G903" s="186" t="n">
        <x:v>3652</x:v>
      </x:c>
      <x:c r="H903" s="186" t="n">
        <x:v>38298</x:v>
      </x:c>
      <x:c r="I903" s="186" t="n">
        <x:f>G903-H903</x:f>
        <x:v>-34646</x:v>
      </x:c>
      <x:c r="J903" s="186" t="n">
        <x:v>24307</x:v>
      </x:c>
      <x:c r="K903" s="186" t="n">
        <x:v>60889</x:v>
      </x:c>
      <x:c r="L903" s="186" t="n">
        <x:f>J903-K903</x:f>
        <x:v>-36582</x:v>
      </x:c>
      <x:c r="M903" s="186" t="n">
        <x:v>39517</x:v>
      </x:c>
      <x:c r="N903" s="186" t="n">
        <x:v>9678</x:v>
      </x:c>
      <x:c r="O903" s="186" t="n">
        <x:f>M903-N903</x:f>
        <x:v>29839</x:v>
      </x:c>
      <x:c r="P903" s="186" t="n">
        <x:v>24413</x:v>
      </x:c>
      <x:c r="Q903" s="186" t="n">
        <x:v>4928</x:v>
      </x:c>
      <x:c r="R903" s="186" t="n">
        <x:f>P903-Q903</x:f>
        <x:v>19485</x:v>
      </x:c>
      <x:c r="S903" s="186" t="n">
        <x:v>32230</x:v>
      </x:c>
      <x:c r="T903" s="186" t="n">
        <x:v>10326</x:v>
      </x:c>
      <x:c r="U903" s="186" t="n">
        <x:f>S903-T903</x:f>
        <x:v>21904</x:v>
      </x:c>
      <x:c r="V903" s="196" t="n">
        <x:f>IFERROR(O903/F903,"")</x:f>
        <x:v>0.20300572843672188</x:v>
      </x:c>
      <x:c r="W903" s="196" t="n">
        <x:f>IFERROR(I903/F903,"")</x:f>
        <x:v>-0.23570952335596587</x:v>
      </x:c>
    </x:row>
    <x:row r="904">
      <x:c r="A904" s="186" t="str">
        <x:v>Gold</x:v>
      </x:c>
      <x:c r="B904" s="187" t="n">
        <x:v>45531</x:v>
      </x:c>
      <x:c r="C904" s="187" t="n">
        <x:v>45534</x:v>
      </x:c>
      <x:c r="D904" s="186" t="str">
        <x:v>088691-GOLD</x:v>
      </x:c>
      <x:c r="E904" s="186" t="str">
        <x:v>GOLD - COMMODITY EXCHANGE INC.</x:v>
      </x:c>
      <x:c r="F904" s="186" t="n">
        <x:v>521759</x:v>
      </x:c>
      <x:c r="G904" s="186" t="n">
        <x:v>10714</x:v>
      </x:c>
      <x:c r="H904" s="186" t="n">
        <x:v>79098</x:v>
      </x:c>
      <x:c r="I904" s="186" t="n">
        <x:f>G904-H904</x:f>
        <x:v>-68384</x:v>
      </x:c>
      <x:c r="J904" s="186" t="n">
        <x:v>52822</x:v>
      </x:c>
      <x:c r="K904" s="186" t="n">
        <x:v>306757</x:v>
      </x:c>
      <x:c r="L904" s="186" t="n">
        <x:f>J904-K904</x:f>
        <x:v>-253935</x:v>
      </x:c>
      <x:c r="M904" s="186" t="n">
        <x:v>217976</x:v>
      </x:c>
      <x:c r="N904" s="186" t="n">
        <x:v>17685</x:v>
      </x:c>
      <x:c r="O904" s="186" t="n">
        <x:f>M904-N904</x:f>
        <x:v>200291</x:v>
      </x:c>
      <x:c r="P904" s="186" t="n">
        <x:v>125354</x:v>
      </x:c>
      <x:c r="Q904" s="186" t="n">
        <x:v>31200</x:v>
      </x:c>
      <x:c r="R904" s="186" t="n">
        <x:f>P904-Q904</x:f>
        <x:v>94154</x:v>
      </x:c>
      <x:c r="S904" s="186" t="n">
        <x:v>54689</x:v>
      </x:c>
      <x:c r="T904" s="186" t="n">
        <x:v>26815</x:v>
      </x:c>
      <x:c r="U904" s="186" t="n">
        <x:f>S904-T904</x:f>
        <x:v>27874</x:v>
      </x:c>
      <x:c r="V904" s="196" t="n">
        <x:f>IFERROR(O904/F904,"")</x:f>
        <x:v>0.3838764640379946</x:v>
      </x:c>
      <x:c r="W904" s="196" t="n">
        <x:f>IFERROR(I904/F904,"")</x:f>
        <x:v>-0.13106434196631012</x:v>
      </x:c>
    </x:row>
    <x:row r="905">
      <x:c r="A905" s="186" t="str">
        <x:v>Silver</x:v>
      </x:c>
      <x:c r="B905" s="187" t="n">
        <x:v>45531</x:v>
      </x:c>
      <x:c r="C905" s="187" t="n">
        <x:v>45534</x:v>
      </x:c>
      <x:c r="D905" s="186" t="str">
        <x:v>084691-SILVER</x:v>
      </x:c>
      <x:c r="E905" s="186" t="str">
        <x:v>SILVER - COMMODITY EXCHANGE INC.</x:v>
      </x:c>
      <x:c r="F905" s="186" t="n">
        <x:v>141613</x:v>
      </x:c>
      <x:c r="G905" s="186" t="n">
        <x:v>3544</x:v>
      </x:c>
      <x:c r="H905" s="186" t="n">
        <x:v>38696</x:v>
      </x:c>
      <x:c r="I905" s="186" t="n">
        <x:f>G905-H905</x:f>
        <x:v>-35152</x:v>
      </x:c>
      <x:c r="J905" s="186" t="n">
        <x:v>25221</x:v>
      </x:c>
      <x:c r="K905" s="186" t="n">
        <x:v>62209</x:v>
      </x:c>
      <x:c r="L905" s="186" t="n">
        <x:f>J905-K905</x:f>
        <x:v>-36988</x:v>
      </x:c>
      <x:c r="M905" s="186" t="n">
        <x:v>42916</x:v>
      </x:c>
      <x:c r="N905" s="186" t="n">
        <x:v>9729</x:v>
      </x:c>
      <x:c r="O905" s="186" t="n">
        <x:f>M905-N905</x:f>
        <x:v>33187</x:v>
      </x:c>
      <x:c r="P905" s="186" t="n">
        <x:v>22799</x:v>
      </x:c>
      <x:c r="Q905" s="186" t="n">
        <x:v>3800</x:v>
      </x:c>
      <x:c r="R905" s="186" t="n">
        <x:f>P905-Q905</x:f>
        <x:v>18999</x:v>
      </x:c>
      <x:c r="S905" s="186" t="n">
        <x:v>30674</x:v>
      </x:c>
      <x:c r="T905" s="186" t="n">
        <x:v>10720</x:v>
      </x:c>
      <x:c r="U905" s="186" t="n">
        <x:f>S905-T905</x:f>
        <x:v>19954</x:v>
      </x:c>
      <x:c r="V905" s="196" t="n">
        <x:f>IFERROR(O905/F905,"")</x:f>
        <x:v>0.23434995374718423</x:v>
      </x:c>
      <x:c r="W905" s="196" t="n">
        <x:f>IFERROR(I905/F905,"")</x:f>
        <x:v>-0.2482257984789532</x:v>
      </x:c>
    </x:row>
    <x:row r="906">
      <x:c r="A906" s="186" t="str">
        <x:v>Gold</x:v>
      </x:c>
      <x:c r="B906" s="187" t="n">
        <x:v>45538</x:v>
      </x:c>
      <x:c r="C906" s="187" t="n">
        <x:v>45541</x:v>
      </x:c>
      <x:c r="D906" s="186" t="str">
        <x:v>088691-GOLD</x:v>
      </x:c>
      <x:c r="E906" s="186" t="str">
        <x:v>GOLD - COMMODITY EXCHANGE INC.</x:v>
      </x:c>
      <x:c r="F906" s="186" t="n">
        <x:v>511136</x:v>
      </x:c>
      <x:c r="G906" s="186" t="n">
        <x:v>11841</x:v>
      </x:c>
      <x:c r="H906" s="186" t="n">
        <x:v>81470</x:v>
      </x:c>
      <x:c r="I906" s="186" t="n">
        <x:f>G906-H906</x:f>
        <x:v>-69629</x:v>
      </x:c>
      <x:c r="J906" s="186" t="n">
        <x:v>55089</x:v>
      </x:c>
      <x:c r="K906" s="186" t="n">
        <x:v>297347</x:v>
      </x:c>
      <x:c r="L906" s="186" t="n">
        <x:f>J906-K906</x:f>
        <x:v>-242258</x:v>
      </x:c>
      <x:c r="M906" s="186" t="n">
        <x:v>212086</x:v>
      </x:c>
      <x:c r="N906" s="186" t="n">
        <x:v>19996</x:v>
      </x:c>
      <x:c r="O906" s="186" t="n">
        <x:f>M906-N906</x:f>
        <x:v>192090</x:v>
      </x:c>
      <x:c r="P906" s="186" t="n">
        <x:v>127071</x:v>
      </x:c>
      <x:c r="Q906" s="186" t="n">
        <x:v>31603</x:v>
      </x:c>
      <x:c r="R906" s="186" t="n">
        <x:f>P906-Q906</x:f>
        <x:v>95468</x:v>
      </x:c>
      <x:c r="S906" s="186" t="n">
        <x:v>51198</x:v>
      </x:c>
      <x:c r="T906" s="186" t="n">
        <x:v>26869</x:v>
      </x:c>
      <x:c r="U906" s="186" t="n">
        <x:f>S906-T906</x:f>
        <x:v>24329</x:v>
      </x:c>
      <x:c r="V906" s="196" t="n">
        <x:f>IFERROR(O906/F906,"")</x:f>
        <x:v>0.37580996055844235</x:v>
      </x:c>
      <x:c r="W906" s="196" t="n">
        <x:f>IFERROR(I906/F906,"")</x:f>
        <x:v>-0.13622401865648281</x:v>
      </x:c>
    </x:row>
    <x:row r="907">
      <x:c r="A907" s="186" t="str">
        <x:v>Silver</x:v>
      </x:c>
      <x:c r="B907" s="187" t="n">
        <x:v>45538</x:v>
      </x:c>
      <x:c r="C907" s="187" t="n">
        <x:v>45541</x:v>
      </x:c>
      <x:c r="D907" s="186" t="str">
        <x:v>084691-SILVER</x:v>
      </x:c>
      <x:c r="E907" s="186" t="str">
        <x:v>SILVER - COMMODITY EXCHANGE INC.</x:v>
      </x:c>
      <x:c r="F907" s="186" t="n">
        <x:v>130928</x:v>
      </x:c>
      <x:c r="G907" s="186" t="n">
        <x:v>4035</x:v>
      </x:c>
      <x:c r="H907" s="186" t="n">
        <x:v>33899</x:v>
      </x:c>
      <x:c r="I907" s="186" t="n">
        <x:f>G907-H907</x:f>
        <x:v>-29864</x:v>
      </x:c>
      <x:c r="J907" s="186" t="n">
        <x:v>25317</x:v>
      </x:c>
      <x:c r="K907" s="186" t="n">
        <x:v>59982</x:v>
      </x:c>
      <x:c r="L907" s="186" t="n">
        <x:f>J907-K907</x:f>
        <x:v>-34665</x:v>
      </x:c>
      <x:c r="M907" s="186" t="n">
        <x:v>40281</x:v>
      </x:c>
      <x:c r="N907" s="186" t="n">
        <x:v>14982</x:v>
      </x:c>
      <x:c r="O907" s="186" t="n">
        <x:f>M907-N907</x:f>
        <x:v>25299</x:v>
      </x:c>
      <x:c r="P907" s="186" t="n">
        <x:v>23818</x:v>
      </x:c>
      <x:c r="Q907" s="186" t="n">
        <x:v>3058</x:v>
      </x:c>
      <x:c r="R907" s="186" t="n">
        <x:f>P907-Q907</x:f>
        <x:v>20760</x:v>
      </x:c>
      <x:c r="S907" s="186" t="n">
        <x:v>29148</x:v>
      </x:c>
      <x:c r="T907" s="186" t="n">
        <x:v>10678</x:v>
      </x:c>
      <x:c r="U907" s="186" t="n">
        <x:f>S907-T907</x:f>
        <x:v>18470</x:v>
      </x:c>
      <x:c r="V907" s="196" t="n">
        <x:f>IFERROR(O907/F907,"")</x:f>
        <x:v>0.19322833923988758</x:v>
      </x:c>
      <x:c r="W907" s="196" t="n">
        <x:f>IFERROR(I907/F907,"")</x:f>
        <x:v>-0.22809483074666992</x:v>
      </x:c>
    </x:row>
    <x:row r="908">
      <x:c r="A908" s="186" t="str">
        <x:v>Gold</x:v>
      </x:c>
      <x:c r="B908" s="187" t="n">
        <x:v>45545</x:v>
      </x:c>
      <x:c r="C908" s="187" t="n">
        <x:v>45548</x:v>
      </x:c>
      <x:c r="D908" s="186" t="str">
        <x:v>088691-GOLD</x:v>
      </x:c>
      <x:c r="E908" s="186" t="str">
        <x:v>GOLD - COMMODITY EXCHANGE INC.</x:v>
      </x:c>
      <x:c r="F908" s="186" t="n">
        <x:v>511501</x:v>
      </x:c>
      <x:c r="G908" s="186" t="n">
        <x:v>12568</x:v>
      </x:c>
      <x:c r="H908" s="186" t="n">
        <x:v>87942</x:v>
      </x:c>
      <x:c r="I908" s="186" t="n">
        <x:f>G908-H908</x:f>
        <x:v>-75374</x:v>
      </x:c>
      <x:c r="J908" s="186" t="n">
        <x:v>52865</x:v>
      </x:c>
      <x:c r="K908" s="186" t="n">
        <x:v>284390</x:v>
      </x:c>
      <x:c r="L908" s="186" t="n">
        <x:f>J908-K908</x:f>
        <x:v>-231525</x:v>
      </x:c>
      <x:c r="M908" s="186" t="n">
        <x:v>213645</x:v>
      </x:c>
      <x:c r="N908" s="186" t="n">
        <x:v>23190</x:v>
      </x:c>
      <x:c r="O908" s="186" t="n">
        <x:f>M908-N908</x:f>
        <x:v>190455</x:v>
      </x:c>
      <x:c r="P908" s="186" t="n">
        <x:v>126361</x:v>
      </x:c>
      <x:c r="Q908" s="186" t="n">
        <x:v>34315</x:v>
      </x:c>
      <x:c r="R908" s="186" t="n">
        <x:f>P908-Q908</x:f>
        <x:v>92046</x:v>
      </x:c>
      <x:c r="S908" s="186" t="n">
        <x:v>50937</x:v>
      </x:c>
      <x:c r="T908" s="186" t="n">
        <x:v>26539</x:v>
      </x:c>
      <x:c r="U908" s="186" t="n">
        <x:f>S908-T908</x:f>
        <x:v>24398</x:v>
      </x:c>
      <x:c r="V908" s="196" t="n">
        <x:f>IFERROR(O908/F908,"")</x:f>
        <x:v>0.37234531310789226</x:v>
      </x:c>
      <x:c r="W908" s="196" t="n">
        <x:f>IFERROR(I908/F908,"")</x:f>
        <x:v>-0.14735846068727138</x:v>
      </x:c>
    </x:row>
    <x:row r="909">
      <x:c r="A909" s="186" t="str">
        <x:v>Silver</x:v>
      </x:c>
      <x:c r="B909" s="187" t="n">
        <x:v>45545</x:v>
      </x:c>
      <x:c r="C909" s="187" t="n">
        <x:v>45548</x:v>
      </x:c>
      <x:c r="D909" s="186" t="str">
        <x:v>084691-SILVER</x:v>
      </x:c>
      <x:c r="E909" s="186" t="str">
        <x:v>SILVER - COMMODITY EXCHANGE INC.</x:v>
      </x:c>
      <x:c r="F909" s="186" t="n">
        <x:v>128959</x:v>
      </x:c>
      <x:c r="G909" s="186" t="n">
        <x:v>3052</x:v>
      </x:c>
      <x:c r="H909" s="186" t="n">
        <x:v>33496</x:v>
      </x:c>
      <x:c r="I909" s="186" t="n">
        <x:f>G909-H909</x:f>
        <x:v>-30444</x:v>
      </x:c>
      <x:c r="J909" s="186" t="n">
        <x:v>25676</x:v>
      </x:c>
      <x:c r="K909" s="186" t="n">
        <x:v>57318</x:v>
      </x:c>
      <x:c r="L909" s="186" t="n">
        <x:f>J909-K909</x:f>
        <x:v>-31642</x:v>
      </x:c>
      <x:c r="M909" s="186" t="n">
        <x:v>39466</x:v>
      </x:c>
      <x:c r="N909" s="186" t="n">
        <x:v>13645</x:v>
      </x:c>
      <x:c r="O909" s="186" t="n">
        <x:f>M909-N909</x:f>
        <x:v>25821</x:v>
      </x:c>
      <x:c r="P909" s="186" t="n">
        <x:v>22183</x:v>
      </x:c>
      <x:c r="Q909" s="186" t="n">
        <x:v>3262</x:v>
      </x:c>
      <x:c r="R909" s="186" t="n">
        <x:f>P909-Q909</x:f>
        <x:v>18921</x:v>
      </x:c>
      <x:c r="S909" s="186" t="n">
        <x:v>28230</x:v>
      </x:c>
      <x:c r="T909" s="186" t="n">
        <x:v>10886</x:v>
      </x:c>
      <x:c r="U909" s="186" t="n">
        <x:f>S909-T909</x:f>
        <x:v>17344</x:v>
      </x:c>
      <x:c r="V909" s="196" t="n">
        <x:f>IFERROR(O909/F909,"")</x:f>
        <x:v>0.20022642855481199</x:v>
      </x:c>
      <x:c r="W909" s="196" t="n">
        <x:f>IFERROR(I909/F909,"")</x:f>
        <x:v>-0.23607503159919044</x:v>
      </x:c>
    </x:row>
    <x:row r="910">
      <x:c r="A910" s="186" t="str">
        <x:v>Gold</x:v>
      </x:c>
      <x:c r="B910" s="187" t="n">
        <x:v>45552</x:v>
      </x:c>
      <x:c r="C910" s="187" t="n">
        <x:v>45555</x:v>
      </x:c>
      <x:c r="D910" s="186" t="str">
        <x:v>088691-GOLD</x:v>
      </x:c>
      <x:c r="E910" s="186" t="str">
        <x:v>GOLD - COMMODITY EXCHANGE INC.</x:v>
      </x:c>
      <x:c r="F910" s="186" t="n">
        <x:v>537627</x:v>
      </x:c>
      <x:c r="G910" s="186" t="n">
        <x:v>12663</x:v>
      </x:c>
      <x:c r="H910" s="186" t="n">
        <x:v>90250</x:v>
      </x:c>
      <x:c r="I910" s="186" t="n">
        <x:f>G910-H910</x:f>
        <x:v>-77587</x:v>
      </x:c>
      <x:c r="J910" s="186" t="n">
        <x:v>45549</x:v>
      </x:c>
      <x:c r="K910" s="186" t="n">
        <x:v>303089</x:v>
      </x:c>
      <x:c r="L910" s="186" t="n">
        <x:f>J910-K910</x:f>
        <x:v>-257540</x:v>
      </x:c>
      <x:c r="M910" s="186" t="n">
        <x:v>241844</x:v>
      </x:c>
      <x:c r="N910" s="186" t="n">
        <x:v>25489</x:v>
      </x:c>
      <x:c r="O910" s="186" t="n">
        <x:f>M910-N910</x:f>
        <x:v>216355</x:v>
      </x:c>
      <x:c r="P910" s="186" t="n">
        <x:v>127890</x:v>
      </x:c>
      <x:c r="Q910" s="186" t="n">
        <x:v>34179</x:v>
      </x:c>
      <x:c r="R910" s="186" t="n">
        <x:f>P910-Q910</x:f>
        <x:v>93711</x:v>
      </x:c>
      <x:c r="S910" s="186" t="n">
        <x:v>52976</x:v>
      </x:c>
      <x:c r="T910" s="186" t="n">
        <x:v>27915</x:v>
      </x:c>
      <x:c r="U910" s="186" t="n">
        <x:f>S910-T910</x:f>
        <x:v>25061</x:v>
      </x:c>
      <x:c r="V910" s="196" t="n">
        <x:f>IFERROR(O910/F910,"")</x:f>
        <x:v>0.40242584542815</x:v>
      </x:c>
      <x:c r="W910" s="196" t="n">
        <x:f>IFERROR(I910/F910,"")</x:f>
        <x:v>-0.14431380864428311</x:v>
      </x:c>
    </x:row>
    <x:row r="911">
      <x:c r="A911" s="186" t="str">
        <x:v>Silver</x:v>
      </x:c>
      <x:c r="B911" s="187" t="n">
        <x:v>45552</x:v>
      </x:c>
      <x:c r="C911" s="187" t="n">
        <x:v>45555</x:v>
      </x:c>
      <x:c r="D911" s="186" t="str">
        <x:v>084691-SILVER</x:v>
      </x:c>
      <x:c r="E911" s="186" t="str">
        <x:v>SILVER - COMMODITY EXCHANGE INC.</x:v>
      </x:c>
      <x:c r="F911" s="186" t="n">
        <x:v>140605</x:v>
      </x:c>
      <x:c r="G911" s="186" t="n">
        <x:v>1821</x:v>
      </x:c>
      <x:c r="H911" s="186" t="n">
        <x:v>38830</x:v>
      </x:c>
      <x:c r="I911" s="186" t="n">
        <x:f>G911-H911</x:f>
        <x:v>-37009</x:v>
      </x:c>
      <x:c r="J911" s="186" t="n">
        <x:v>23338</x:v>
      </x:c>
      <x:c r="K911" s="186" t="n">
        <x:v>63635</x:v>
      </x:c>
      <x:c r="L911" s="186" t="n">
        <x:f>J911-K911</x:f>
        <x:v>-40297</x:v>
      </x:c>
      <x:c r="M911" s="186" t="n">
        <x:v>51074</x:v>
      </x:c>
      <x:c r="N911" s="186" t="n">
        <x:v>11455</x:v>
      </x:c>
      <x:c r="O911" s="186" t="n">
        <x:f>M911-N911</x:f>
        <x:v>39619</x:v>
      </x:c>
      <x:c r="P911" s="186" t="n">
        <x:v>23904</x:v>
      </x:c>
      <x:c r="Q911" s="186" t="n">
        <x:v>5225</x:v>
      </x:c>
      <x:c r="R911" s="186" t="n">
        <x:f>P911-Q911</x:f>
        <x:v>18679</x:v>
      </x:c>
      <x:c r="S911" s="186" t="n">
        <x:v>29005</x:v>
      </x:c>
      <x:c r="T911" s="186" t="n">
        <x:v>9997</x:v>
      </x:c>
      <x:c r="U911" s="186" t="n">
        <x:f>S911-T911</x:f>
        <x:v>19008</x:v>
      </x:c>
      <x:c r="V911" s="196" t="n">
        <x:f>IFERROR(O911/F911,"")</x:f>
        <x:v>0.28177518580420324</x:v>
      </x:c>
      <x:c r="W911" s="196" t="n">
        <x:f>IFERROR(I911/F911,"")</x:f>
        <x:v>-0.2632125457842893</x:v>
      </x:c>
    </x:row>
    <x:row r="912">
      <x:c r="A912" s="186" t="str">
        <x:v>Gold</x:v>
      </x:c>
      <x:c r="B912" s="187" t="n">
        <x:v>45559</x:v>
      </x:c>
      <x:c r="C912" s="187" t="n">
        <x:v>45562</x:v>
      </x:c>
      <x:c r="D912" s="186" t="str">
        <x:v>088691-GOLD</x:v>
      </x:c>
      <x:c r="E912" s="186" t="str">
        <x:v>GOLD - COMMODITY EXCHANGE INC.</x:v>
      </x:c>
      <x:c r="F912" s="186" t="n">
        <x:v>564640</x:v>
      </x:c>
      <x:c r="G912" s="186" t="n">
        <x:v>13517</x:v>
      </x:c>
      <x:c r="H912" s="186" t="n">
        <x:v>93547</x:v>
      </x:c>
      <x:c r="I912" s="186" t="n">
        <x:f>G912-H912</x:f>
        <x:v>-80030</x:v>
      </x:c>
      <x:c r="J912" s="186" t="n">
        <x:v>45705</x:v>
      </x:c>
      <x:c r="K912" s="186" t="n">
        <x:v>305381</x:v>
      </x:c>
      <x:c r="L912" s="186" t="n">
        <x:f>J912-K912</x:f>
        <x:v>-259676</x:v>
      </x:c>
      <x:c r="M912" s="186" t="n">
        <x:v>256435</x:v>
      </x:c>
      <x:c r="N912" s="186" t="n">
        <x:v>37406</x:v>
      </x:c>
      <x:c r="O912" s="186" t="n">
        <x:f>M912-N912</x:f>
        <x:v>219029</x:v>
      </x:c>
      <x:c r="P912" s="186" t="n">
        <x:v>131137</x:v>
      </x:c>
      <x:c r="Q912" s="186" t="n">
        <x:v>34776</x:v>
      </x:c>
      <x:c r="R912" s="186" t="n">
        <x:f>P912-Q912</x:f>
        <x:v>96361</x:v>
      </x:c>
      <x:c r="S912" s="186" t="n">
        <x:v>53444</x:v>
      </x:c>
      <x:c r="T912" s="186" t="n">
        <x:v>29128</x:v>
      </x:c>
      <x:c r="U912" s="186" t="n">
        <x:f>S912-T912</x:f>
        <x:v>24316</x:v>
      </x:c>
      <x:c r="V912" s="196" t="n">
        <x:f>IFERROR(O912/F912,"")</x:f>
        <x:v>0.3879091102295268</x:v>
      </x:c>
      <x:c r="W912" s="196" t="n">
        <x:f>IFERROR(I912/F912,"")</x:f>
        <x:v>-0.14173632757155002</x:v>
      </x:c>
    </x:row>
    <x:row r="913">
      <x:c r="A913" s="186" t="str">
        <x:v>Silver</x:v>
      </x:c>
      <x:c r="B913" s="187" t="n">
        <x:v>45559</x:v>
      </x:c>
      <x:c r="C913" s="187" t="n">
        <x:v>45562</x:v>
      </x:c>
      <x:c r="D913" s="186" t="str">
        <x:v>084691-SILVER</x:v>
      </x:c>
      <x:c r="E913" s="186" t="str">
        <x:v>SILVER - COMMODITY EXCHANGE INC.</x:v>
      </x:c>
      <x:c r="F913" s="186" t="n">
        <x:v>150071</x:v>
      </x:c>
      <x:c r="G913" s="186" t="n">
        <x:v>2149</x:v>
      </x:c>
      <x:c r="H913" s="186" t="n">
        <x:v>40839</x:v>
      </x:c>
      <x:c r="I913" s="186" t="n">
        <x:f>G913-H913</x:f>
        <x:v>-38690</x:v>
      </x:c>
      <x:c r="J913" s="186" t="n">
        <x:v>24161</x:v>
      </x:c>
      <x:c r="K913" s="186" t="n">
        <x:v>67303</x:v>
      </x:c>
      <x:c r="L913" s="186" t="n">
        <x:f>J913-K913</x:f>
        <x:v>-43142</x:v>
      </x:c>
      <x:c r="M913" s="186" t="n">
        <x:v>56196</x:v>
      </x:c>
      <x:c r="N913" s="186" t="n">
        <x:v>13021</x:v>
      </x:c>
      <x:c r="O913" s="186" t="n">
        <x:f>M913-N913</x:f>
        <x:v>43175</x:v>
      </x:c>
      <x:c r="P913" s="186" t="n">
        <x:v>24833</x:v>
      </x:c>
      <x:c r="Q913" s="186" t="n">
        <x:v>5810</x:v>
      </x:c>
      <x:c r="R913" s="186" t="n">
        <x:f>P913-Q913</x:f>
        <x:v>19023</x:v>
      </x:c>
      <x:c r="S913" s="186" t="n">
        <x:v>30059</x:v>
      </x:c>
      <x:c r="T913" s="186" t="n">
        <x:v>10425</x:v>
      </x:c>
      <x:c r="U913" s="186" t="n">
        <x:f>S913-T913</x:f>
        <x:v>19634</x:v>
      </x:c>
      <x:c r="V913" s="196" t="n">
        <x:f>IFERROR(O913/F913,"")</x:f>
        <x:v>0.28769715667917184</x:v>
      </x:c>
      <x:c r="W913" s="196" t="n">
        <x:f>IFERROR(I913/F913,"")</x:f>
        <x:v>-0.25781130265007896</x:v>
      </x:c>
    </x:row>
    <x:row r="914">
      <x:c r="A914" s="186" t="str">
        <x:v>Gold</x:v>
      </x:c>
      <x:c r="B914" s="187" t="n">
        <x:v>45566</x:v>
      </x:c>
      <x:c r="C914" s="187" t="n">
        <x:v>45569</x:v>
      </x:c>
      <x:c r="D914" s="186" t="str">
        <x:v>088691-GOLD</x:v>
      </x:c>
      <x:c r="E914" s="186" t="str">
        <x:v>GOLD - COMMODITY EXCHANGE INC.</x:v>
      </x:c>
      <x:c r="F914" s="186" t="n">
        <x:v>533107</x:v>
      </x:c>
      <x:c r="G914" s="186" t="n">
        <x:v>12220</x:v>
      </x:c>
      <x:c r="H914" s="186" t="n">
        <x:v>87446</x:v>
      </x:c>
      <x:c r="I914" s="186" t="n">
        <x:f>G914-H914</x:f>
        <x:v>-75226</x:v>
      </x:c>
      <x:c r="J914" s="186" t="n">
        <x:v>42840</x:v>
      </x:c>
      <x:c r="K914" s="186" t="n">
        <x:v>295138</x:v>
      </x:c>
      <x:c r="L914" s="186" t="n">
        <x:f>J914-K914</x:f>
        <x:v>-252298</x:v>
      </x:c>
      <x:c r="M914" s="186" t="n">
        <x:v>247867</x:v>
      </x:c>
      <x:c r="N914" s="186" t="n">
        <x:v>33405</x:v>
      </x:c>
      <x:c r="O914" s="186" t="n">
        <x:f>M914-N914</x:f>
        <x:v>214462</x:v>
      </x:c>
      <x:c r="P914" s="186" t="n">
        <x:v>122184</x:v>
      </x:c>
      <x:c r="Q914" s="186" t="n">
        <x:v>36715</x:v>
      </x:c>
      <x:c r="R914" s="186" t="n">
        <x:f>P914-Q914</x:f>
        <x:v>85469</x:v>
      </x:c>
      <x:c r="S914" s="186" t="n">
        <x:v>53191</x:v>
      </x:c>
      <x:c r="T914" s="186" t="n">
        <x:v>25598</x:v>
      </x:c>
      <x:c r="U914" s="186" t="n">
        <x:f>S914-T914</x:f>
        <x:v>27593</x:v>
      </x:c>
      <x:c r="V914" s="196" t="n">
        <x:f>IFERROR(O914/F914,"")</x:f>
        <x:v>0.40228697053312</x:v>
      </x:c>
      <x:c r="W914" s="196" t="n">
        <x:f>IFERROR(I914/F914,"")</x:f>
        <x:v>-0.14110863297611925</x:v>
      </x:c>
    </x:row>
    <x:row r="915">
      <x:c r="A915" s="186" t="str">
        <x:v>Silver</x:v>
      </x:c>
      <x:c r="B915" s="187" t="n">
        <x:v>45566</x:v>
      </x:c>
      <x:c r="C915" s="187" t="n">
        <x:v>45569</x:v>
      </x:c>
      <x:c r="D915" s="186" t="str">
        <x:v>084691-SILVER</x:v>
      </x:c>
      <x:c r="E915" s="186" t="str">
        <x:v>SILVER - COMMODITY EXCHANGE INC.</x:v>
      </x:c>
      <x:c r="F915" s="186" t="n">
        <x:v>144757</x:v>
      </x:c>
      <x:c r="G915" s="186" t="n">
        <x:v>2961</x:v>
      </x:c>
      <x:c r="H915" s="186" t="n">
        <x:v>40085</x:v>
      </x:c>
      <x:c r="I915" s="186" t="n">
        <x:f>G915-H915</x:f>
        <x:v>-37124</x:v>
      </x:c>
      <x:c r="J915" s="186" t="n">
        <x:v>23738</x:v>
      </x:c>
      <x:c r="K915" s="186" t="n">
        <x:v>65834</x:v>
      </x:c>
      <x:c r="L915" s="186" t="n">
        <x:f>J915-K915</x:f>
        <x:v>-42096</x:v>
      </x:c>
      <x:c r="M915" s="186" t="n">
        <x:v>52610</x:v>
      </x:c>
      <x:c r="N915" s="186" t="n">
        <x:v>15272</x:v>
      </x:c>
      <x:c r="O915" s="186" t="n">
        <x:f>M915-N915</x:f>
        <x:v>37338</x:v>
      </x:c>
      <x:c r="P915" s="186" t="n">
        <x:v>22978</x:v>
      </x:c>
      <x:c r="Q915" s="186" t="n">
        <x:v>3392</x:v>
      </x:c>
      <x:c r="R915" s="186" t="n">
        <x:f>P915-Q915</x:f>
        <x:v>19586</x:v>
      </x:c>
      <x:c r="S915" s="186" t="n">
        <x:v>31962</x:v>
      </x:c>
      <x:c r="T915" s="186" t="n">
        <x:v>9666</x:v>
      </x:c>
      <x:c r="U915" s="186" t="n">
        <x:f>S915-T915</x:f>
        <x:v>22296</x:v>
      </x:c>
      <x:c r="V915" s="196" t="n">
        <x:f>IFERROR(O915/F915,"")</x:f>
        <x:v>0.2579357129534323</x:v>
      </x:c>
      <x:c r="W915" s="196" t="n">
        <x:f>IFERROR(I915/F915,"")</x:f>
        <x:v>-0.2564573733912695</x:v>
      </x:c>
    </x:row>
    <x:row r="916">
      <x:c r="A916" s="186" t="str">
        <x:v>Gold</x:v>
      </x:c>
      <x:c r="B916" s="187" t="n">
        <x:v>45573</x:v>
      </x:c>
      <x:c r="C916" s="187" t="n">
        <x:v>45576</x:v>
      </x:c>
      <x:c r="D916" s="186" t="str">
        <x:v>088691-GOLD</x:v>
      </x:c>
      <x:c r="E916" s="186" t="str">
        <x:v>GOLD - COMMODITY EXCHANGE INC.</x:v>
      </x:c>
      <x:c r="F916" s="186" t="n">
        <x:v>520316</x:v>
      </x:c>
      <x:c r="G916" s="186" t="n">
        <x:v>12830</x:v>
      </x:c>
      <x:c r="H916" s="186" t="n">
        <x:v>83981</x:v>
      </x:c>
      <x:c r="I916" s="186" t="n">
        <x:f>G916-H916</x:f>
        <x:v>-71151</x:v>
      </x:c>
      <x:c r="J916" s="186" t="n">
        <x:v>44853</x:v>
      </x:c>
      <x:c r="K916" s="186" t="n">
        <x:v>277678</x:v>
      </x:c>
      <x:c r="L916" s="186" t="n">
        <x:f>J916-K916</x:f>
        <x:v>-232825</x:v>
      </x:c>
      <x:c r="M916" s="186" t="n">
        <x:v>227596</x:v>
      </x:c>
      <x:c r="N916" s="186" t="n">
        <x:v>33537</x:v>
      </x:c>
      <x:c r="O916" s="186" t="n">
        <x:f>M916-N916</x:f>
        <x:v>194059</x:v>
      </x:c>
      <x:c r="P916" s="186" t="n">
        <x:v>121295</x:v>
      </x:c>
      <x:c r="Q916" s="186" t="n">
        <x:v>37174</x:v>
      </x:c>
      <x:c r="R916" s="186" t="n">
        <x:f>P916-Q916</x:f>
        <x:v>84121</x:v>
      </x:c>
      <x:c r="S916" s="186" t="n">
        <x:v>51440</x:v>
      </x:c>
      <x:c r="T916" s="186" t="n">
        <x:v>25644</x:v>
      </x:c>
      <x:c r="U916" s="186" t="n">
        <x:f>S916-T916</x:f>
        <x:v>25796</x:v>
      </x:c>
      <x:c r="V916" s="196" t="n">
        <x:f>IFERROR(O916/F916,"")</x:f>
        <x:v>0.3729637374211056</x:v>
      </x:c>
      <x:c r="W916" s="196" t="n">
        <x:f>IFERROR(I916/F916,"")</x:f>
        <x:v>-0.1367457468153968</x:v>
      </x:c>
    </x:row>
    <x:row r="917">
      <x:c r="A917" s="186" t="str">
        <x:v>Silver</x:v>
      </x:c>
      <x:c r="B917" s="187" t="n">
        <x:v>45573</x:v>
      </x:c>
      <x:c r="C917" s="187" t="n">
        <x:v>45576</x:v>
      </x:c>
      <x:c r="D917" s="186" t="str">
        <x:v>084691-SILVER</x:v>
      </x:c>
      <x:c r="E917" s="186" t="str">
        <x:v>SILVER - COMMODITY EXCHANGE INC.</x:v>
      </x:c>
      <x:c r="F917" s="186" t="n">
        <x:v>142839</x:v>
      </x:c>
      <x:c r="G917" s="186" t="n">
        <x:v>3552</x:v>
      </x:c>
      <x:c r="H917" s="186" t="n">
        <x:v>39311</x:v>
      </x:c>
      <x:c r="I917" s="186" t="n">
        <x:f>G917-H917</x:f>
        <x:v>-35759</x:v>
      </x:c>
      <x:c r="J917" s="186" t="n">
        <x:v>24103</x:v>
      </x:c>
      <x:c r="K917" s="186" t="n">
        <x:v>65059</x:v>
      </x:c>
      <x:c r="L917" s="186" t="n">
        <x:f>J917-K917</x:f>
        <x:v>-40956</x:v>
      </x:c>
      <x:c r="M917" s="186" t="n">
        <x:v>47876</x:v>
      </x:c>
      <x:c r="N917" s="186" t="n">
        <x:v>13240</x:v>
      </x:c>
      <x:c r="O917" s="186" t="n">
        <x:f>M917-N917</x:f>
        <x:v>34636</x:v>
      </x:c>
      <x:c r="P917" s="186" t="n">
        <x:v>24237</x:v>
      </x:c>
      <x:c r="Q917" s="186" t="n">
        <x:v>4158</x:v>
      </x:c>
      <x:c r="R917" s="186" t="n">
        <x:f>P917-Q917</x:f>
        <x:v>20079</x:v>
      </x:c>
      <x:c r="S917" s="186" t="n">
        <x:v>31279</x:v>
      </x:c>
      <x:c r="T917" s="186" t="n">
        <x:v>9279</x:v>
      </x:c>
      <x:c r="U917" s="186" t="n">
        <x:f>S917-T917</x:f>
        <x:v>22000</x:v>
      </x:c>
      <x:c r="V917" s="196" t="n">
        <x:f>IFERROR(O917/F917,"")</x:f>
        <x:v>0.242482795315005</x:v>
      </x:c>
      <x:c r="W917" s="196" t="n">
        <x:f>IFERROR(I917/F917,"")</x:f>
        <x:v>-0.2503447937888112</x:v>
      </x:c>
    </x:row>
    <x:row r="918">
      <x:c r="A918" s="186" t="str">
        <x:v>Gold</x:v>
      </x:c>
      <x:c r="B918" s="187" t="n">
        <x:v>45580</x:v>
      </x:c>
      <x:c r="C918" s="187" t="n">
        <x:v>45583</x:v>
      </x:c>
      <x:c r="D918" s="186" t="str">
        <x:v>088691-GOLD</x:v>
      </x:c>
      <x:c r="E918" s="186" t="str">
        <x:v>GOLD - COMMODITY EXCHANGE INC.</x:v>
      </x:c>
      <x:c r="F918" s="186" t="n">
        <x:v>541232</x:v>
      </x:c>
      <x:c r="G918" s="186" t="n">
        <x:v>13088</x:v>
      </x:c>
      <x:c r="H918" s="186" t="n">
        <x:v>87786</x:v>
      </x:c>
      <x:c r="I918" s="186" t="n">
        <x:f>G918-H918</x:f>
        <x:v>-74698</x:v>
      </x:c>
      <x:c r="J918" s="186" t="n">
        <x:v>43311</x:v>
      </x:c>
      <x:c r="K918" s="186" t="n">
        <x:v>281271</x:v>
      </x:c>
      <x:c r="L918" s="186" t="n">
        <x:f>J918-K918</x:f>
        <x:v>-237960</x:v>
      </x:c>
      <x:c r="M918" s="186" t="n">
        <x:v>233871</x:v>
      </x:c>
      <x:c r="N918" s="186" t="n">
        <x:v>34450</x:v>
      </x:c>
      <x:c r="O918" s="186" t="n">
        <x:f>M918-N918</x:f>
        <x:v>199421</x:v>
      </x:c>
      <x:c r="P918" s="186" t="n">
        <x:v>123623</x:v>
      </x:c>
      <x:c r="Q918" s="186" t="n">
        <x:v>36610</x:v>
      </x:c>
      <x:c r="R918" s="186" t="n">
        <x:f>P918-Q918</x:f>
        <x:v>87013</x:v>
      </x:c>
      <x:c r="S918" s="186" t="n">
        <x:v>50490</x:v>
      </x:c>
      <x:c r="T918" s="186" t="n">
        <x:v>24266</x:v>
      </x:c>
      <x:c r="U918" s="186" t="n">
        <x:f>S918-T918</x:f>
        <x:v>26224</x:v>
      </x:c>
      <x:c r="V918" s="196" t="n">
        <x:f>IFERROR(O918/F918,"")</x:f>
        <x:v>0.3684575191415142</x:v>
      </x:c>
      <x:c r="W918" s="196" t="n">
        <x:f>IFERROR(I918/F918,"")</x:f>
        <x:v>-0.13801475152984302</x:v>
      </x:c>
    </x:row>
    <x:row r="919">
      <x:c r="A919" s="186" t="str">
        <x:v>Silver</x:v>
      </x:c>
      <x:c r="B919" s="187" t="n">
        <x:v>45580</x:v>
      </x:c>
      <x:c r="C919" s="187" t="n">
        <x:v>45583</x:v>
      </x:c>
      <x:c r="D919" s="186" t="str">
        <x:v>084691-SILVER</x:v>
      </x:c>
      <x:c r="E919" s="186" t="str">
        <x:v>SILVER - COMMODITY EXCHANGE INC.</x:v>
      </x:c>
      <x:c r="F919" s="186" t="n">
        <x:v>141898</x:v>
      </x:c>
      <x:c r="G919" s="186" t="n">
        <x:v>3281</x:v>
      </x:c>
      <x:c r="H919" s="186" t="n">
        <x:v>40173</x:v>
      </x:c>
      <x:c r="I919" s="186" t="n">
        <x:f>G919-H919</x:f>
        <x:v>-36892</x:v>
      </x:c>
      <x:c r="J919" s="186" t="n">
        <x:v>24743</x:v>
      </x:c>
      <x:c r="K919" s="186" t="n">
        <x:v>63609</x:v>
      </x:c>
      <x:c r="L919" s="186" t="n">
        <x:f>J919-K919</x:f>
        <x:v>-38866</x:v>
      </x:c>
      <x:c r="M919" s="186" t="n">
        <x:v>47760</x:v>
      </x:c>
      <x:c r="N919" s="186" t="n">
        <x:v>13059</x:v>
      </x:c>
      <x:c r="O919" s="186" t="n">
        <x:f>M919-N919</x:f>
        <x:v>34701</x:v>
      </x:c>
      <x:c r="P919" s="186" t="n">
        <x:v>22264</x:v>
      </x:c>
      <x:c r="Q919" s="186" t="n">
        <x:v>2933</x:v>
      </x:c>
      <x:c r="R919" s="186" t="n">
        <x:f>P919-Q919</x:f>
        <x:v>19331</x:v>
      </x:c>
      <x:c r="S919" s="186" t="n">
        <x:v>31621</x:v>
      </x:c>
      <x:c r="T919" s="186" t="n">
        <x:v>9895</x:v>
      </x:c>
      <x:c r="U919" s="186" t="n">
        <x:f>S919-T919</x:f>
        <x:v>21726</x:v>
      </x:c>
      <x:c r="V919" s="196" t="n">
        <x:f>IFERROR(O919/F919,"")</x:f>
        <x:v>0.2445489013234859</x:v>
      </x:c>
      <x:c r="W919" s="196" t="n">
        <x:f>IFERROR(I919/F919,"")</x:f>
        <x:v>-0.2599895699727974</x:v>
      </x:c>
    </x:row>
    <x:row r="920">
      <x:c r="A920" s="186" t="str">
        <x:v>Gold</x:v>
      </x:c>
      <x:c r="B920" s="187" t="n">
        <x:v>45587</x:v>
      </x:c>
      <x:c r="C920" s="187" t="n">
        <x:v>45590</x:v>
      </x:c>
      <x:c r="D920" s="186" t="str">
        <x:v>088691-GOLD</x:v>
      </x:c>
      <x:c r="E920" s="186" t="str">
        <x:v>GOLD - COMMODITY EXCHANGE INC.</x:v>
      </x:c>
      <x:c r="F920" s="186" t="n">
        <x:v>573760</x:v>
      </x:c>
      <x:c r="G920" s="186" t="n">
        <x:v>12942</x:v>
      </x:c>
      <x:c r="H920" s="186" t="n">
        <x:v>95037</x:v>
      </x:c>
      <x:c r="I920" s="186" t="n">
        <x:f>G920-H920</x:f>
        <x:v>-82095</x:v>
      </x:c>
      <x:c r="J920" s="186" t="n">
        <x:v>39452</x:v>
      </x:c>
      <x:c r="K920" s="186" t="n">
        <x:v>282058</x:v>
      </x:c>
      <x:c r="L920" s="186" t="n">
        <x:f>J920-K920</x:f>
        <x:v>-242606</x:v>
      </x:c>
      <x:c r="M920" s="186" t="n">
        <x:v>242427</x:v>
      </x:c>
      <x:c r="N920" s="186" t="n">
        <x:v>37267</x:v>
      </x:c>
      <x:c r="O920" s="186" t="n">
        <x:f>M920-N920</x:f>
        <x:v>205160</x:v>
      </x:c>
      <x:c r="P920" s="186" t="n">
        <x:v>129386</x:v>
      </x:c>
      <x:c r="Q920" s="186" t="n">
        <x:v>38342</x:v>
      </x:c>
      <x:c r="R920" s="186" t="n">
        <x:f>P920-Q920</x:f>
        <x:v>91044</x:v>
      </x:c>
      <x:c r="S920" s="186" t="n">
        <x:v>54214</x:v>
      </x:c>
      <x:c r="T920" s="186" t="n">
        <x:v>25717</x:v>
      </x:c>
      <x:c r="U920" s="186" t="n">
        <x:f>S920-T920</x:f>
        <x:v>28497</x:v>
      </x:c>
      <x:c r="V920" s="196" t="n">
        <x:f>IFERROR(O920/F920,"")</x:f>
        <x:v>0.35757110987172336</x:v>
      </x:c>
      <x:c r="W920" s="196" t="n">
        <x:f>IFERROR(I920/F920,"")</x:f>
        <x:v>-0.143082473508087</x:v>
      </x:c>
    </x:row>
    <x:row r="921">
      <x:c r="A921" s="186" t="str">
        <x:v>Silver</x:v>
      </x:c>
      <x:c r="B921" s="187" t="n">
        <x:v>45587</x:v>
      </x:c>
      <x:c r="C921" s="187" t="n">
        <x:v>45590</x:v>
      </x:c>
      <x:c r="D921" s="186" t="str">
        <x:v>084691-SILVER</x:v>
      </x:c>
      <x:c r="E921" s="186" t="str">
        <x:v>SILVER - COMMODITY EXCHANGE INC.</x:v>
      </x:c>
      <x:c r="F921" s="186" t="n">
        <x:v>157264</x:v>
      </x:c>
      <x:c r="G921" s="186" t="n">
        <x:v>3233</x:v>
      </x:c>
      <x:c r="H921" s="186" t="n">
        <x:v>44497</x:v>
      </x:c>
      <x:c r="I921" s="186" t="n">
        <x:f>G921-H921</x:f>
        <x:v>-41264</x:v>
      </x:c>
      <x:c r="J921" s="186" t="n">
        <x:v>23273</x:v>
      </x:c>
      <x:c r="K921" s="186" t="n">
        <x:v>67367</x:v>
      </x:c>
      <x:c r="L921" s="186" t="n">
        <x:f>J921-K921</x:f>
        <x:v>-44094</x:v>
      </x:c>
      <x:c r="M921" s="186" t="n">
        <x:v>56281</x:v>
      </x:c>
      <x:c r="N921" s="186" t="n">
        <x:v>10646</x:v>
      </x:c>
      <x:c r="O921" s="186" t="n">
        <x:f>M921-N921</x:f>
        <x:v>45635</x:v>
      </x:c>
      <x:c r="P921" s="186" t="n">
        <x:v>25858</x:v>
      </x:c>
      <x:c r="Q921" s="186" t="n">
        <x:v>5138</x:v>
      </x:c>
      <x:c r="R921" s="186" t="n">
        <x:f>P921-Q921</x:f>
        <x:v>20720</x:v>
      </x:c>
      <x:c r="S921" s="186" t="n">
        <x:v>32217</x:v>
      </x:c>
      <x:c r="T921" s="186" t="n">
        <x:v>13214</x:v>
      </x:c>
      <x:c r="U921" s="186" t="n">
        <x:f>S921-T921</x:f>
        <x:v>19003</x:v>
      </x:c>
      <x:c r="V921" s="196" t="n">
        <x:f>IFERROR(O921/F921,"")</x:f>
        <x:v>0.2901808424051277</x:v>
      </x:c>
      <x:c r="W921" s="196" t="n">
        <x:f>IFERROR(I921/F921,"")</x:f>
        <x:v>-0.26238681452843626</x:v>
      </x:c>
    </x:row>
    <x:row r="922">
      <x:c r="A922" s="186" t="str">
        <x:v>Gold</x:v>
      </x:c>
      <x:c r="B922" s="187" t="n">
        <x:v>45594</x:v>
      </x:c>
      <x:c r="C922" s="187" t="n">
        <x:v>45597</x:v>
      </x:c>
      <x:c r="D922" s="186" t="str">
        <x:v>088691-GOLD</x:v>
      </x:c>
      <x:c r="E922" s="186" t="str">
        <x:v>GOLD - COMMODITY EXCHANGE INC.</x:v>
      </x:c>
      <x:c r="F922" s="186" t="n">
        <x:v>579468</x:v>
      </x:c>
      <x:c r="G922" s="186" t="n">
        <x:v>12379</x:v>
      </x:c>
      <x:c r="H922" s="186" t="n">
        <x:v>86999</x:v>
      </x:c>
      <x:c r="I922" s="186" t="n">
        <x:f>G922-H922</x:f>
        <x:v>-74620</x:v>
      </x:c>
      <x:c r="J922" s="186" t="n">
        <x:v>40174</x:v>
      </x:c>
      <x:c r="K922" s="186" t="n">
        <x:v>269225</x:v>
      </x:c>
      <x:c r="L922" s="186" t="n">
        <x:f>J922-K922</x:f>
        <x:v>-229051</x:v>
      </x:c>
      <x:c r="M922" s="186" t="n">
        <x:v>234856</x:v>
      </x:c>
      <x:c r="N922" s="186" t="n">
        <x:v>39683</x:v>
      </x:c>
      <x:c r="O922" s="186" t="n">
        <x:f>M922-N922</x:f>
        <x:v>195173</x:v>
      </x:c>
      <x:c r="P922" s="186" t="n">
        <x:v>131780</x:v>
      </x:c>
      <x:c r="Q922" s="186" t="n">
        <x:v>48300</x:v>
      </x:c>
      <x:c r="R922" s="186" t="n">
        <x:f>P922-Q922</x:f>
        <x:v>83480</x:v>
      </x:c>
      <x:c r="S922" s="186" t="n">
        <x:v>53432</x:v>
      </x:c>
      <x:c r="T922" s="186" t="n">
        <x:v>28414</x:v>
      </x:c>
      <x:c r="U922" s="186" t="n">
        <x:f>S922-T922</x:f>
        <x:v>25018</x:v>
      </x:c>
      <x:c r="V922" s="196" t="n">
        <x:f>IFERROR(O922/F922,"")</x:f>
        <x:v>0.33681411225468877</x:v>
      </x:c>
      <x:c r="W922" s="196" t="n">
        <x:f>IFERROR(I922/F922,"")</x:f>
        <x:v>-0.12877328860264933</x:v>
      </x:c>
    </x:row>
    <x:row r="923">
      <x:c r="A923" s="186" t="str">
        <x:v>Silver</x:v>
      </x:c>
      <x:c r="B923" s="187" t="n">
        <x:v>45594</x:v>
      </x:c>
      <x:c r="C923" s="187" t="n">
        <x:v>45597</x:v>
      </x:c>
      <x:c r="D923" s="186" t="str">
        <x:v>084691-SILVER</x:v>
      </x:c>
      <x:c r="E923" s="186" t="str">
        <x:v>SILVER - COMMODITY EXCHANGE INC.</x:v>
      </x:c>
      <x:c r="F923" s="186" t="n">
        <x:v>156320</x:v>
      </x:c>
      <x:c r="G923" s="186" t="n">
        <x:v>3813</x:v>
      </x:c>
      <x:c r="H923" s="186" t="n">
        <x:v>43492</x:v>
      </x:c>
      <x:c r="I923" s="186" t="n">
        <x:f>G923-H923</x:f>
        <x:v>-39679</x:v>
      </x:c>
      <x:c r="J923" s="186" t="n">
        <x:v>24073</x:v>
      </x:c>
      <x:c r="K923" s="186" t="n">
        <x:v>66606</x:v>
      </x:c>
      <x:c r="L923" s="186" t="n">
        <x:f>J923-K923</x:f>
        <x:v>-42533</x:v>
      </x:c>
      <x:c r="M923" s="186" t="n">
        <x:v>54185</x:v>
      </x:c>
      <x:c r="N923" s="186" t="n">
        <x:v>14432</x:v>
      </x:c>
      <x:c r="O923" s="186" t="n">
        <x:f>M923-N923</x:f>
        <x:v>39753</x:v>
      </x:c>
      <x:c r="P923" s="186" t="n">
        <x:v>25464</x:v>
      </x:c>
      <x:c r="Q923" s="186" t="n">
        <x:v>4786</x:v>
      </x:c>
      <x:c r="R923" s="186" t="n">
        <x:f>P923-Q923</x:f>
        <x:v>20678</x:v>
      </x:c>
      <x:c r="S923" s="186" t="n">
        <x:v>32166</x:v>
      </x:c>
      <x:c r="T923" s="186" t="n">
        <x:v>10385</x:v>
      </x:c>
      <x:c r="U923" s="186" t="n">
        <x:f>S923-T923</x:f>
        <x:v>21781</x:v>
      </x:c>
      <x:c r="V923" s="196" t="n">
        <x:f>IFERROR(O923/F923,"")</x:f>
        <x:v>0.2543052712384852</x:v>
      </x:c>
      <x:c r="W923" s="196" t="n">
        <x:f>IFERROR(I923/F923,"")</x:f>
        <x:v>-0.2538318833162743</x:v>
      </x:c>
    </x:row>
    <x:row r="924">
      <x:c r="A924" s="186" t="str">
        <x:v>Gold</x:v>
      </x:c>
      <x:c r="B924" s="187" t="n">
        <x:v>45601</x:v>
      </x:c>
      <x:c r="C924" s="187" t="n">
        <x:v>45604</x:v>
      </x:c>
      <x:c r="D924" s="186" t="str">
        <x:v>088691-GOLD</x:v>
      </x:c>
      <x:c r="E924" s="186" t="str">
        <x:v>GOLD - COMMODITY EXCHANGE INC.</x:v>
      </x:c>
      <x:c r="F924" s="186" t="n">
        <x:v>558034</x:v>
      </x:c>
      <x:c r="G924" s="186" t="n">
        <x:v>13066</x:v>
      </x:c>
      <x:c r="H924" s="186" t="n">
        <x:v>82429</x:v>
      </x:c>
      <x:c r="I924" s="186" t="n">
        <x:f>G924-H924</x:f>
        <x:v>-69363</x:v>
      </x:c>
      <x:c r="J924" s="186" t="n">
        <x:v>39763</x:v>
      </x:c>
      <x:c r="K924" s="186" t="n">
        <x:v>253459</x:v>
      </x:c>
      <x:c r="L924" s="186" t="n">
        <x:f>J924-K924</x:f>
        <x:v>-213696</x:v>
      </x:c>
      <x:c r="M924" s="186" t="n">
        <x:v>219687</x:v>
      </x:c>
      <x:c r="N924" s="186" t="n">
        <x:v>36684</x:v>
      </x:c>
      <x:c r="O924" s="186" t="n">
        <x:f>M924-N924</x:f>
        <x:v>183003</x:v>
      </x:c>
      <x:c r="P924" s="186" t="n">
        <x:v>117129</x:v>
      </x:c>
      <x:c r="Q924" s="186" t="n">
        <x:v>44803</x:v>
      </x:c>
      <x:c r="R924" s="186" t="n">
        <x:f>P924-Q924</x:f>
        <x:v>72326</x:v>
      </x:c>
      <x:c r="S924" s="186" t="n">
        <x:v>52637</x:v>
      </x:c>
      <x:c r="T924" s="186" t="n">
        <x:v>24907</x:v>
      </x:c>
      <x:c r="U924" s="186" t="n">
        <x:f>S924-T924</x:f>
        <x:v>27730</x:v>
      </x:c>
      <x:c r="V924" s="196" t="n">
        <x:f>IFERROR(O924/F924,"")</x:f>
        <x:v>0.32794238343900195</x:v>
      </x:c>
      <x:c r="W924" s="196" t="n">
        <x:f>IFERROR(I924/F924,"")</x:f>
        <x:v>-0.12429887784615275</x:v>
      </x:c>
    </x:row>
    <x:row r="925">
      <x:c r="A925" s="186" t="str">
        <x:v>Silver</x:v>
      </x:c>
      <x:c r="B925" s="187" t="n">
        <x:v>45601</x:v>
      </x:c>
      <x:c r="C925" s="187" t="n">
        <x:v>45604</x:v>
      </x:c>
      <x:c r="D925" s="186" t="str">
        <x:v>084691-SILVER</x:v>
      </x:c>
      <x:c r="E925" s="186" t="str">
        <x:v>SILVER - COMMODITY EXCHANGE INC.</x:v>
      </x:c>
      <x:c r="F925" s="186" t="n">
        <x:v>151126</x:v>
      </x:c>
      <x:c r="G925" s="186" t="n">
        <x:v>4390</x:v>
      </x:c>
      <x:c r="H925" s="186" t="n">
        <x:v>39648</x:v>
      </x:c>
      <x:c r="I925" s="186" t="n">
        <x:f>G925-H925</x:f>
        <x:v>-35258</x:v>
      </x:c>
      <x:c r="J925" s="186" t="n">
        <x:v>23191</x:v>
      </x:c>
      <x:c r="K925" s="186" t="n">
        <x:v>62176</x:v>
      </x:c>
      <x:c r="L925" s="186" t="n">
        <x:f>J925-K925</x:f>
        <x:v>-38985</x:v>
      </x:c>
      <x:c r="M925" s="186" t="n">
        <x:v>48546</x:v>
      </x:c>
      <x:c r="N925" s="186" t="n">
        <x:v>16249</x:v>
      </x:c>
      <x:c r="O925" s="186" t="n">
        <x:f>M925-N925</x:f>
        <x:v>32297</x:v>
      </x:c>
      <x:c r="P925" s="186" t="n">
        <x:v>25434</x:v>
      </x:c>
      <x:c r="Q925" s="186" t="n">
        <x:v>4385</x:v>
      </x:c>
      <x:c r="R925" s="186" t="n">
        <x:f>P925-Q925</x:f>
        <x:v>21049</x:v>
      </x:c>
      <x:c r="S925" s="186" t="n">
        <x:v>30527</x:v>
      </x:c>
      <x:c r="T925" s="186" t="n">
        <x:v>9630</x:v>
      </x:c>
      <x:c r="U925" s="186" t="n">
        <x:f>S925-T925</x:f>
        <x:v>20897</x:v>
      </x:c>
      <x:c r="V925" s="196" t="n">
        <x:f>IFERROR(O925/F925,"")</x:f>
        <x:v>0.2137090904278549</x:v>
      </x:c>
      <x:c r="W925" s="196" t="n">
        <x:f>IFERROR(I925/F925,"")</x:f>
        <x:v>-0.23330201288990643</x:v>
      </x:c>
    </x:row>
    <x:row r="926">
      <x:c r="A926" s="186" t="str">
        <x:v>Gold</x:v>
      </x:c>
      <x:c r="B926" s="187" t="n">
        <x:v>45608</x:v>
      </x:c>
      <x:c r="C926" s="187" t="n">
        <x:v>45611</x:v>
      </x:c>
      <x:c r="D926" s="186" t="str">
        <x:v>088691-GOLD</x:v>
      </x:c>
      <x:c r="E926" s="186" t="str">
        <x:v>GOLD - COMMODITY EXCHANGE INC.</x:v>
      </x:c>
      <x:c r="F926" s="186" t="n">
        <x:v>535981</x:v>
      </x:c>
      <x:c r="G926" s="186" t="n">
        <x:v>13211</x:v>
      </x:c>
      <x:c r="H926" s="186" t="n">
        <x:v>80667</x:v>
      </x:c>
      <x:c r="I926" s="186" t="n">
        <x:f>G926-H926</x:f>
        <x:v>-67456</x:v>
      </x:c>
      <x:c r="J926" s="186" t="n">
        <x:v>36733</x:v>
      </x:c>
      <x:c r="K926" s="186" t="n">
        <x:v>234859</x:v>
      </x:c>
      <x:c r="L926" s="186" t="n">
        <x:f>J926-K926</x:f>
        <x:v>-198126</x:v>
      </x:c>
      <x:c r="M926" s="186" t="n">
        <x:v>203661</x:v>
      </x:c>
      <x:c r="N926" s="186" t="n">
        <x:v>38365</x:v>
      </x:c>
      <x:c r="O926" s="186" t="n">
        <x:f>M926-N926</x:f>
        <x:v>165296</x:v>
      </x:c>
      <x:c r="P926" s="186" t="n">
        <x:v>112564</x:v>
      </x:c>
      <x:c r="Q926" s="186" t="n">
        <x:v>41409</x:v>
      </x:c>
      <x:c r="R926" s="186" t="n">
        <x:f>P926-Q926</x:f>
        <x:v>71155</x:v>
      </x:c>
      <x:c r="S926" s="186" t="n">
        <x:v>56838</x:v>
      </x:c>
      <x:c r="T926" s="186" t="n">
        <x:v>27707</x:v>
      </x:c>
      <x:c r="U926" s="186" t="n">
        <x:f>S926-T926</x:f>
        <x:v>29131</x:v>
      </x:c>
      <x:c r="V926" s="196" t="n">
        <x:f>IFERROR(O926/F926,"")</x:f>
        <x:v>0.3083989917553048</x:v>
      </x:c>
      <x:c r="W926" s="196" t="n">
        <x:f>IFERROR(I926/F926,"")</x:f>
        <x:v>-0.12585520755399912</x:v>
      </x:c>
    </x:row>
    <x:row r="927">
      <x:c r="A927" s="186" t="str">
        <x:v>Silver</x:v>
      </x:c>
      <x:c r="B927" s="187" t="n">
        <x:v>45608</x:v>
      </x:c>
      <x:c r="C927" s="187" t="n">
        <x:v>45611</x:v>
      </x:c>
      <x:c r="D927" s="186" t="str">
        <x:v>084691-SILVER</x:v>
      </x:c>
      <x:c r="E927" s="186" t="str">
        <x:v>SILVER - COMMODITY EXCHANGE INC.</x:v>
      </x:c>
      <x:c r="F927" s="186" t="n">
        <x:v>147526</x:v>
      </x:c>
      <x:c r="G927" s="186" t="n">
        <x:v>4554</x:v>
      </x:c>
      <x:c r="H927" s="186" t="n">
        <x:v>38682</x:v>
      </x:c>
      <x:c r="I927" s="186" t="n">
        <x:f>G927-H927</x:f>
        <x:v>-34128</x:v>
      </x:c>
      <x:c r="J927" s="186" t="n">
        <x:v>22313</x:v>
      </x:c>
      <x:c r="K927" s="186" t="n">
        <x:v>55592</x:v>
      </x:c>
      <x:c r="L927" s="186" t="n">
        <x:f>J927-K927</x:f>
        <x:v>-33279</x:v>
      </x:c>
      <x:c r="M927" s="186" t="n">
        <x:v>41125</x:v>
      </x:c>
      <x:c r="N927" s="186" t="n">
        <x:v>16900</x:v>
      </x:c>
      <x:c r="O927" s="186" t="n">
        <x:f>M927-N927</x:f>
        <x:v>24225</x:v>
      </x:c>
      <x:c r="P927" s="186" t="n">
        <x:v>27826</x:v>
      </x:c>
      <x:c r="Q927" s="186" t="n">
        <x:v>4409</x:v>
      </x:c>
      <x:c r="R927" s="186" t="n">
        <x:f>P927-Q927</x:f>
        <x:v>23417</x:v>
      </x:c>
      <x:c r="S927" s="186" t="n">
        <x:v>31167</x:v>
      </x:c>
      <x:c r="T927" s="186" t="n">
        <x:v>11402</x:v>
      </x:c>
      <x:c r="U927" s="186" t="n">
        <x:f>S927-T927</x:f>
        <x:v>19765</x:v>
      </x:c>
      <x:c r="V927" s="196" t="n">
        <x:f>IFERROR(O927/F927,"")</x:f>
        <x:v>0.1642083429361604</x:v>
      </x:c>
      <x:c r="W927" s="196" t="n">
        <x:f>IFERROR(I927/F927,"")</x:f>
        <x:v>-0.23133549340455242</x:v>
      </x:c>
    </x:row>
    <x:row r="928">
      <x:c r="A928" s="186" t="str">
        <x:v>Gold</x:v>
      </x:c>
      <x:c r="B928" s="187" t="n">
        <x:v>45615</x:v>
      </x:c>
      <x:c r="C928" s="187" t="n">
        <x:v>45618</x:v>
      </x:c>
      <x:c r="D928" s="186" t="str">
        <x:v>088691-GOLD</x:v>
      </x:c>
      <x:c r="E928" s="186" t="str">
        <x:v>GOLD - COMMODITY EXCHANGE INC.</x:v>
      </x:c>
      <x:c r="F928" s="186" t="n">
        <x:v>502952</x:v>
      </x:c>
      <x:c r="G928" s="186" t="n">
        <x:v>13787</x:v>
      </x:c>
      <x:c r="H928" s="186" t="n">
        <x:v>84104</x:v>
      </x:c>
      <x:c r="I928" s="186" t="n">
        <x:f>G928-H928</x:f>
        <x:v>-70317</x:v>
      </x:c>
      <x:c r="J928" s="186" t="n">
        <x:v>34758</x:v>
      </x:c>
      <x:c r="K928" s="186" t="n">
        <x:v>226763</x:v>
      </x:c>
      <x:c r="L928" s="186" t="n">
        <x:f>J928-K928</x:f>
        <x:v>-192005</x:v>
      </x:c>
      <x:c r="M928" s="186" t="n">
        <x:v>193355</x:v>
      </x:c>
      <x:c r="N928" s="186" t="n">
        <x:v>38181</x:v>
      </x:c>
      <x:c r="O928" s="186" t="n">
        <x:f>M928-N928</x:f>
        <x:v>155174</x:v>
      </x:c>
      <x:c r="P928" s="186" t="n">
        <x:v>115999</x:v>
      </x:c>
      <x:c r="Q928" s="186" t="n">
        <x:v>36806</x:v>
      </x:c>
      <x:c r="R928" s="186" t="n">
        <x:f>P928-Q928</x:f>
        <x:v>79193</x:v>
      </x:c>
      <x:c r="S928" s="186" t="n">
        <x:v>52421</x:v>
      </x:c>
      <x:c r="T928" s="186" t="n">
        <x:v>24466</x:v>
      </x:c>
      <x:c r="U928" s="186" t="n">
        <x:f>S928-T928</x:f>
        <x:v>27955</x:v>
      </x:c>
      <x:c r="V928" s="196" t="n">
        <x:f>IFERROR(O928/F928,"")</x:f>
        <x:v>0.3085264597814503</x:v>
      </x:c>
      <x:c r="W928" s="196" t="n">
        <x:f>IFERROR(I928/F928,"")</x:f>
        <x:v>-0.13980857020153017</x:v>
      </x:c>
    </x:row>
    <x:row r="929">
      <x:c r="A929" s="186" t="str">
        <x:v>Silver</x:v>
      </x:c>
      <x:c r="B929" s="187" t="n">
        <x:v>45615</x:v>
      </x:c>
      <x:c r="C929" s="187" t="n">
        <x:v>45618</x:v>
      </x:c>
      <x:c r="D929" s="186" t="str">
        <x:v>084691-SILVER</x:v>
      </x:c>
      <x:c r="E929" s="186" t="str">
        <x:v>SILVER - COMMODITY EXCHANGE INC.</x:v>
      </x:c>
      <x:c r="F929" s="186" t="n">
        <x:v>141287</x:v>
      </x:c>
      <x:c r="G929" s="186" t="n">
        <x:v>4940</x:v>
      </x:c>
      <x:c r="H929" s="186" t="n">
        <x:v>39673</x:v>
      </x:c>
      <x:c r="I929" s="186" t="n">
        <x:f>G929-H929</x:f>
        <x:v>-34733</x:v>
      </x:c>
      <x:c r="J929" s="186" t="n">
        <x:v>22040</x:v>
      </x:c>
      <x:c r="K929" s="186" t="n">
        <x:v>52388</x:v>
      </x:c>
      <x:c r="L929" s="186" t="n">
        <x:f>J929-K929</x:f>
        <x:v>-30348</x:v>
      </x:c>
      <x:c r="M929" s="186" t="n">
        <x:v>40707</x:v>
      </x:c>
      <x:c r="N929" s="186" t="n">
        <x:v>14769</x:v>
      </x:c>
      <x:c r="O929" s="186" t="n">
        <x:f>M929-N929</x:f>
        <x:v>25938</x:v>
      </x:c>
      <x:c r="P929" s="186" t="n">
        <x:v>25232</x:v>
      </x:c>
      <x:c r="Q929" s="186" t="n">
        <x:v>4847</x:v>
      </x:c>
      <x:c r="R929" s="186" t="n">
        <x:f>P929-Q929</x:f>
        <x:v>20385</x:v>
      </x:c>
      <x:c r="S929" s="186" t="n">
        <x:v>30090</x:v>
      </x:c>
      <x:c r="T929" s="186" t="n">
        <x:v>11332</x:v>
      </x:c>
      <x:c r="U929" s="186" t="n">
        <x:f>S929-T929</x:f>
        <x:v>18758</x:v>
      </x:c>
      <x:c r="V929" s="196" t="n">
        <x:f>IFERROR(O929/F929,"")</x:f>
        <x:v>0.18358376920735808</x:v>
      </x:c>
      <x:c r="W929" s="196" t="n">
        <x:f>IFERROR(I929/F929,"")</x:f>
        <x:v>-0.24583294995293267</x:v>
      </x:c>
    </x:row>
    <x:row r="930">
      <x:c r="A930" s="186" t="str">
        <x:v>Gold</x:v>
      </x:c>
      <x:c r="B930" s="187" t="n">
        <x:v>45622</x:v>
      </x:c>
      <x:c r="C930" s="187" t="n">
        <x:v>45625</x:v>
      </x:c>
      <x:c r="D930" s="186" t="str">
        <x:v>088691-GOLD</x:v>
      </x:c>
      <x:c r="E930" s="186" t="str">
        <x:v>GOLD - COMMODITY EXCHANGE INC.</x:v>
      </x:c>
      <x:c r="F930" s="186" t="n">
        <x:v>472660</x:v>
      </x:c>
      <x:c r="G930" s="186" t="n">
        <x:v>14309</x:v>
      </x:c>
      <x:c r="H930" s="186" t="n">
        <x:v>81389</x:v>
      </x:c>
      <x:c r="I930" s="186" t="n">
        <x:f>G930-H930</x:f>
        <x:v>-67080</x:v>
      </x:c>
      <x:c r="J930" s="186" t="n">
        <x:v>32845</x:v>
      </x:c>
      <x:c r="K930" s="186" t="n">
        <x:v>238285</x:v>
      </x:c>
      <x:c r="L930" s="186" t="n">
        <x:f>J930-K930</x:f>
        <x:v>-205440</x:v>
      </x:c>
      <x:c r="M930" s="186" t="n">
        <x:v>203596</x:v>
      </x:c>
      <x:c r="N930" s="186" t="n">
        <x:v>24306</x:v>
      </x:c>
      <x:c r="O930" s="186" t="n">
        <x:f>M930-N930</x:f>
        <x:v>179290</x:v>
      </x:c>
      <x:c r="P930" s="186" t="n">
        <x:v>99805</x:v>
      </x:c>
      <x:c r="Q930" s="186" t="n">
        <x:v>28757</x:v>
      </x:c>
      <x:c r="R930" s="186" t="n">
        <x:f>P930-Q930</x:f>
        <x:v>71048</x:v>
      </x:c>
      <x:c r="S930" s="186" t="n">
        <x:v>46574</x:v>
      </x:c>
      <x:c r="T930" s="186" t="n">
        <x:v>24392</x:v>
      </x:c>
      <x:c r="U930" s="186" t="n">
        <x:f>S930-T930</x:f>
        <x:v>22182</x:v>
      </x:c>
      <x:c r="V930" s="196" t="n">
        <x:f>IFERROR(O930/F930,"")</x:f>
        <x:v>0.37932128802945037</x:v>
      </x:c>
      <x:c r="W930" s="196" t="n">
        <x:f>IFERROR(I930/F930,"")</x:f>
        <x:v>-0.14192019633563238</x:v>
      </x:c>
    </x:row>
    <x:row r="931">
      <x:c r="A931" s="186" t="str">
        <x:v>Silver</x:v>
      </x:c>
      <x:c r="B931" s="187" t="n">
        <x:v>45622</x:v>
      </x:c>
      <x:c r="C931" s="187" t="n">
        <x:v>45625</x:v>
      </x:c>
      <x:c r="D931" s="186" t="str">
        <x:v>084691-SILVER</x:v>
      </x:c>
      <x:c r="E931" s="186" t="str">
        <x:v>SILVER - COMMODITY EXCHANGE INC.</x:v>
      </x:c>
      <x:c r="F931" s="186" t="n">
        <x:v>134590</x:v>
      </x:c>
      <x:c r="G931" s="186" t="n">
        <x:v>4501</x:v>
      </x:c>
      <x:c r="H931" s="186" t="n">
        <x:v>38910</x:v>
      </x:c>
      <x:c r="I931" s="186" t="n">
        <x:f>G931-H931</x:f>
        <x:v>-34409</x:v>
      </x:c>
      <x:c r="J931" s="186" t="n">
        <x:v>22686</x:v>
      </x:c>
      <x:c r="K931" s="186" t="n">
        <x:v>49435</x:v>
      </x:c>
      <x:c r="L931" s="186" t="n">
        <x:f>J931-K931</x:f>
        <x:v>-26749</x:v>
      </x:c>
      <x:c r="M931" s="186" t="n">
        <x:v>38604</x:v>
      </x:c>
      <x:c r="N931" s="186" t="n">
        <x:v>15499</x:v>
      </x:c>
      <x:c r="O931" s="186" t="n">
        <x:f>M931-N931</x:f>
        <x:v>23105</x:v>
      </x:c>
      <x:c r="P931" s="186" t="n">
        <x:v>24472</x:v>
      </x:c>
      <x:c r="Q931" s="186" t="n">
        <x:v>4794</x:v>
      </x:c>
      <x:c r="R931" s="186" t="n">
        <x:f>P931-Q931</x:f>
        <x:v>19678</x:v>
      </x:c>
      <x:c r="S931" s="186" t="n">
        <x:v>29635</x:v>
      </x:c>
      <x:c r="T931" s="186" t="n">
        <x:v>11260</x:v>
      </x:c>
      <x:c r="U931" s="186" t="n">
        <x:f>S931-T931</x:f>
        <x:v>18375</x:v>
      </x:c>
      <x:c r="V931" s="196" t="n">
        <x:f>IFERROR(O931/F931,"")</x:f>
        <x:v>0.17166951482279516</x:v>
      </x:c>
      <x:c r="W931" s="196" t="n">
        <x:f>IFERROR(I931/F931,"")</x:f>
        <x:v>-0.25565792406568094</x:v>
      </x:c>
    </x:row>
    <x:row r="932">
      <x:c r="A932" s="186" t="str">
        <x:v>Gold</x:v>
      </x:c>
      <x:c r="B932" s="187" t="n">
        <x:v>45629</x:v>
      </x:c>
      <x:c r="C932" s="187" t="n">
        <x:v>45632</x:v>
      </x:c>
      <x:c r="D932" s="186" t="str">
        <x:v>088691-GOLD</x:v>
      </x:c>
      <x:c r="E932" s="186" t="str">
        <x:v>GOLD - COMMODITY EXCHANGE INC.</x:v>
      </x:c>
      <x:c r="F932" s="186" t="n">
        <x:v>462040</x:v>
      </x:c>
      <x:c r="G932" s="186" t="n">
        <x:v>10967</x:v>
      </x:c>
      <x:c r="H932" s="186" t="n">
        <x:v>73308</x:v>
      </x:c>
      <x:c r="I932" s="186" t="n">
        <x:f>G932-H932</x:f>
        <x:v>-62341</x:v>
      </x:c>
      <x:c r="J932" s="186" t="n">
        <x:v>32964</x:v>
      </x:c>
      <x:c r="K932" s="186" t="n">
        <x:v>256898</x:v>
      </x:c>
      <x:c r="L932" s="186" t="n">
        <x:f>J932-K932</x:f>
        <x:v>-223934</x:v>
      </x:c>
      <x:c r="M932" s="186" t="n">
        <x:v>203580</x:v>
      </x:c>
      <x:c r="N932" s="186" t="n">
        <x:v>22845</x:v>
      </x:c>
      <x:c r="O932" s="186" t="n">
        <x:f>M932-N932</x:f>
        <x:v>180735</x:v>
      </x:c>
      <x:c r="P932" s="186" t="n">
        <x:v>104031</x:v>
      </x:c>
      <x:c r="Q932" s="186" t="n">
        <x:v>25030</x:v>
      </x:c>
      <x:c r="R932" s="186" t="n">
        <x:f>P932-Q932</x:f>
        <x:v>79001</x:v>
      </x:c>
      <x:c r="S932" s="186" t="n">
        <x:v>48337</x:v>
      </x:c>
      <x:c r="T932" s="186" t="n">
        <x:v>21798</x:v>
      </x:c>
      <x:c r="U932" s="186" t="n">
        <x:f>S932-T932</x:f>
        <x:v>26539</x:v>
      </x:c>
      <x:c r="V932" s="196" t="n">
        <x:f>IFERROR(O932/F932,"")</x:f>
        <x:v>0.39116743139122157</x:v>
      </x:c>
      <x:c r="W932" s="196" t="n">
        <x:f>IFERROR(I932/F932,"")</x:f>
        <x:v>-0.13492554757163883</x:v>
      </x:c>
    </x:row>
    <x:row r="933">
      <x:c r="A933" s="186" t="str">
        <x:v>Silver</x:v>
      </x:c>
      <x:c r="B933" s="187" t="n">
        <x:v>45629</x:v>
      </x:c>
      <x:c r="C933" s="187" t="n">
        <x:v>45632</x:v>
      </x:c>
      <x:c r="D933" s="186" t="str">
        <x:v>084691-SILVER</x:v>
      </x:c>
      <x:c r="E933" s="186" t="str">
        <x:v>SILVER - COMMODITY EXCHANGE INC.</x:v>
      </x:c>
      <x:c r="F933" s="186" t="n">
        <x:v>134074</x:v>
      </x:c>
      <x:c r="G933" s="186" t="n">
        <x:v>3816</x:v>
      </x:c>
      <x:c r="H933" s="186" t="n">
        <x:v>36862</x:v>
      </x:c>
      <x:c r="I933" s="186" t="n">
        <x:f>G933-H933</x:f>
        <x:v>-33046</x:v>
      </x:c>
      <x:c r="J933" s="186" t="n">
        <x:v>25740</x:v>
      </x:c>
      <x:c r="K933" s="186" t="n">
        <x:v>54713</x:v>
      </x:c>
      <x:c r="L933" s="186" t="n">
        <x:f>J933-K933</x:f>
        <x:v>-28973</x:v>
      </x:c>
      <x:c r="M933" s="186" t="n">
        <x:v>39214</x:v>
      </x:c>
      <x:c r="N933" s="186" t="n">
        <x:v>14882</x:v>
      </x:c>
      <x:c r="O933" s="186" t="n">
        <x:f>M933-N933</x:f>
        <x:v>24332</x:v>
      </x:c>
      <x:c r="P933" s="186" t="n">
        <x:v>25071</x:v>
      </x:c>
      <x:c r="Q933" s="186" t="n">
        <x:v>6143</x:v>
      </x:c>
      <x:c r="R933" s="186" t="n">
        <x:f>P933-Q933</x:f>
        <x:v>18928</x:v>
      </x:c>
      <x:c r="S933" s="186" t="n">
        <x:v>29478</x:v>
      </x:c>
      <x:c r="T933" s="186" t="n">
        <x:v>10719</x:v>
      </x:c>
      <x:c r="U933" s="186" t="n">
        <x:f>S933-T933</x:f>
        <x:v>18759</x:v>
      </x:c>
      <x:c r="V933" s="196" t="n">
        <x:f>IFERROR(O933/F933,"")</x:f>
        <x:v>0.18148186822202664</x:v>
      </x:c>
      <x:c r="W933" s="196" t="n">
        <x:f>IFERROR(I933/F933,"")</x:f>
        <x:v>-0.24647582678222474</x:v>
      </x:c>
    </x:row>
    <x:row r="934">
      <x:c r="A934" s="186" t="str">
        <x:v>Gold</x:v>
      </x:c>
      <x:c r="B934" s="187" t="n">
        <x:v>45636</x:v>
      </x:c>
      <x:c r="C934" s="187" t="n">
        <x:v>45639</x:v>
      </x:c>
      <x:c r="D934" s="186" t="str">
        <x:v>088691-GOLD</x:v>
      </x:c>
      <x:c r="E934" s="186" t="str">
        <x:v>GOLD - COMMODITY EXCHANGE INC.</x:v>
      </x:c>
      <x:c r="F934" s="186" t="n">
        <x:v>483346</x:v>
      </x:c>
      <x:c r="G934" s="186" t="n">
        <x:v>11204</x:v>
      </x:c>
      <x:c r="H934" s="186" t="n">
        <x:v>77649</x:v>
      </x:c>
      <x:c r="I934" s="186" t="n">
        <x:f>G934-H934</x:f>
        <x:v>-66445</x:v>
      </x:c>
      <x:c r="J934" s="186" t="n">
        <x:v>33312</x:v>
      </x:c>
      <x:c r="K934" s="186" t="n">
        <x:v>263738</x:v>
      </x:c>
      <x:c r="L934" s="186" t="n">
        <x:f>J934-K934</x:f>
        <x:v>-230426</x:v>
      </x:c>
      <x:c r="M934" s="186" t="n">
        <x:v>218482</x:v>
      </x:c>
      <x:c r="N934" s="186" t="n">
        <x:v>22404</x:v>
      </x:c>
      <x:c r="O934" s="186" t="n">
        <x:f>M934-N934</x:f>
        <x:v>196078</x:v>
      </x:c>
      <x:c r="P934" s="186" t="n">
        <x:v>105850</x:v>
      </x:c>
      <x:c r="Q934" s="186" t="n">
        <x:v>26342</x:v>
      </x:c>
      <x:c r="R934" s="186" t="n">
        <x:f>P934-Q934</x:f>
        <x:v>79508</x:v>
      </x:c>
      <x:c r="S934" s="186" t="n">
        <x:v>46448</x:v>
      </x:c>
      <x:c r="T934" s="186" t="n">
        <x:v>25163</x:v>
      </x:c>
      <x:c r="U934" s="186" t="n">
        <x:f>S934-T934</x:f>
        <x:v>21285</x:v>
      </x:c>
      <x:c r="V934" s="196" t="n">
        <x:f>IFERROR(O934/F934,"")</x:f>
        <x:v>0.4056679893906229</x:v>
      </x:c>
      <x:c r="W934" s="196" t="n">
        <x:f>IFERROR(I934/F934,"")</x:f>
        <x:v>-0.13746881116219023</x:v>
      </x:c>
    </x:row>
    <x:row r="935">
      <x:c r="A935" s="186" t="str">
        <x:v>Silver</x:v>
      </x:c>
      <x:c r="B935" s="187" t="n">
        <x:v>45636</x:v>
      </x:c>
      <x:c r="C935" s="187" t="n">
        <x:v>45639</x:v>
      </x:c>
      <x:c r="D935" s="186" t="str">
        <x:v>084691-SILVER</x:v>
      </x:c>
      <x:c r="E935" s="186" t="str">
        <x:v>SILVER - COMMODITY EXCHANGE INC.</x:v>
      </x:c>
      <x:c r="F935" s="186" t="n">
        <x:v>151096</x:v>
      </x:c>
      <x:c r="G935" s="186" t="n">
        <x:v>2560</x:v>
      </x:c>
      <x:c r="H935" s="186" t="n">
        <x:v>37851</x:v>
      </x:c>
      <x:c r="I935" s="186" t="n">
        <x:f>G935-H935</x:f>
        <x:v>-35291</x:v>
      </x:c>
      <x:c r="J935" s="186" t="n">
        <x:v>27046</x:v>
      </x:c>
      <x:c r="K935" s="186" t="n">
        <x:v>51598</x:v>
      </x:c>
      <x:c r="L935" s="186" t="n">
        <x:f>J935-K935</x:f>
        <x:v>-24552</x:v>
      </x:c>
      <x:c r="M935" s="186" t="n">
        <x:v>46890</x:v>
      </x:c>
      <x:c r="N935" s="186" t="n">
        <x:v>17570</x:v>
      </x:c>
      <x:c r="O935" s="186" t="n">
        <x:f>M935-N935</x:f>
        <x:v>29320</x:v>
      </x:c>
      <x:c r="P935" s="186" t="n">
        <x:v>25625</x:v>
      </x:c>
      <x:c r="Q935" s="186" t="n">
        <x:v>13780</x:v>
      </x:c>
      <x:c r="R935" s="186" t="n">
        <x:f>P935-Q935</x:f>
        <x:v>11845</x:v>
      </x:c>
      <x:c r="S935" s="186" t="n">
        <x:v>30557</x:v>
      </x:c>
      <x:c r="T935" s="186" t="n">
        <x:v>11879</x:v>
      </x:c>
      <x:c r="U935" s="186" t="n">
        <x:f>S935-T935</x:f>
        <x:v>18678</x:v>
      </x:c>
      <x:c r="V935" s="196" t="n">
        <x:f>IFERROR(O935/F935,"")</x:f>
        <x:v>0.19404881664637053</x:v>
      </x:c>
      <x:c r="W935" s="196" t="n">
        <x:f>IFERROR(I935/F935,"")</x:f>
        <x:v>-0.23356673902684386</x:v>
      </x:c>
    </x:row>
    <x:row r="936">
      <x:c r="A936" s="186" t="str">
        <x:v>Gold</x:v>
      </x:c>
      <x:c r="B936" s="187" t="n">
        <x:v>45643</x:v>
      </x:c>
      <x:c r="C936" s="187" t="n">
        <x:v>45646</x:v>
      </x:c>
      <x:c r="D936" s="186" t="str">
        <x:v>088691-GOLD</x:v>
      </x:c>
      <x:c r="E936" s="186" t="str">
        <x:v>GOLD - COMMODITY EXCHANGE INC.</x:v>
      </x:c>
      <x:c r="F936" s="186" t="n">
        <x:v>466571</x:v>
      </x:c>
      <x:c r="G936" s="186" t="n">
        <x:v>9971</x:v>
      </x:c>
      <x:c r="H936" s="186" t="n">
        <x:v>82426</x:v>
      </x:c>
      <x:c r="I936" s="186" t="n">
        <x:f>G936-H936</x:f>
        <x:v>-72455</x:v>
      </x:c>
      <x:c r="J936" s="186" t="n">
        <x:v>32522</x:v>
      </x:c>
      <x:c r="K936" s="186" t="n">
        <x:v>245300</x:v>
      </x:c>
      <x:c r="L936" s="186" t="n">
        <x:f>J936-K936</x:f>
        <x:v>-212778</x:v>
      </x:c>
      <x:c r="M936" s="186" t="n">
        <x:v>201880</x:v>
      </x:c>
      <x:c r="N936" s="186" t="n">
        <x:v>18378</x:v>
      </x:c>
      <x:c r="O936" s="186" t="n">
        <x:f>M936-N936</x:f>
        <x:v>183502</x:v>
      </x:c>
      <x:c r="P936" s="186" t="n">
        <x:v>101098</x:v>
      </x:c>
      <x:c r="Q936" s="186" t="n">
        <x:v>22559</x:v>
      </x:c>
      <x:c r="R936" s="186" t="n">
        <x:f>P936-Q936</x:f>
        <x:v>78539</x:v>
      </x:c>
      <x:c r="S936" s="186" t="n">
        <x:v>48388</x:v>
      </x:c>
      <x:c r="T936" s="186" t="n">
        <x:v>25196</x:v>
      </x:c>
      <x:c r="U936" s="186" t="n">
        <x:f>S936-T936</x:f>
        <x:v>23192</x:v>
      </x:c>
      <x:c r="V936" s="196" t="n">
        <x:f>IFERROR(O936/F936,"")</x:f>
        <x:v>0.3932991977641131</x:v>
      </x:c>
      <x:c r="W936" s="196" t="n">
        <x:f>IFERROR(I936/F936,"")</x:f>
        <x:v>-0.15529254925831223</x:v>
      </x:c>
    </x:row>
    <x:row r="937">
      <x:c r="A937" s="186" t="str">
        <x:v>Silver</x:v>
      </x:c>
      <x:c r="B937" s="187" t="n">
        <x:v>45643</x:v>
      </x:c>
      <x:c r="C937" s="187" t="n">
        <x:v>45646</x:v>
      </x:c>
      <x:c r="D937" s="186" t="str">
        <x:v>084691-SILVER</x:v>
      </x:c>
      <x:c r="E937" s="186" t="str">
        <x:v>SILVER - COMMODITY EXCHANGE INC.</x:v>
      </x:c>
      <x:c r="F937" s="186" t="n">
        <x:v>146938</x:v>
      </x:c>
      <x:c r="G937" s="186" t="n">
        <x:v>3358</x:v>
      </x:c>
      <x:c r="H937" s="186" t="n">
        <x:v>37390</x:v>
      </x:c>
      <x:c r="I937" s="186" t="n">
        <x:f>G937-H937</x:f>
        <x:v>-34032</x:v>
      </x:c>
      <x:c r="J937" s="186" t="n">
        <x:v>26884</x:v>
      </x:c>
      <x:c r="K937" s="186" t="n">
        <x:v>50362</x:v>
      </x:c>
      <x:c r="L937" s="186" t="n">
        <x:f>J937-K937</x:f>
        <x:v>-23478</x:v>
      </x:c>
      <x:c r="M937" s="186" t="n">
        <x:v>40317</x:v>
      </x:c>
      <x:c r="N937" s="186" t="n">
        <x:v>18438</x:v>
      </x:c>
      <x:c r="O937" s="186" t="n">
        <x:f>M937-N937</x:f>
        <x:v>21879</x:v>
      </x:c>
      <x:c r="P937" s="186" t="n">
        <x:v>27866</x:v>
      </x:c>
      <x:c r="Q937" s="186" t="n">
        <x:v>9481</x:v>
      </x:c>
      <x:c r="R937" s="186" t="n">
        <x:f>P937-Q937</x:f>
        <x:v>18385</x:v>
      </x:c>
      <x:c r="S937" s="186" t="n">
        <x:v>29396</x:v>
      </x:c>
      <x:c r="T937" s="186" t="n">
        <x:v>12150</x:v>
      </x:c>
      <x:c r="U937" s="186" t="n">
        <x:f>S937-T937</x:f>
        <x:v>17246</x:v>
      </x:c>
      <x:c r="V937" s="196" t="n">
        <x:f>IFERROR(O937/F937,"")</x:f>
        <x:v>0.14889953585866147</x:v>
      </x:c>
      <x:c r="W937" s="196" t="n">
        <x:f>IFERROR(I937/F937,"")</x:f>
        <x:v>-0.23160788904163662</x:v>
      </x:c>
    </x:row>
    <x:row r="938">
      <x:c r="A938" s="186" t="str">
        <x:v>Gold</x:v>
      </x:c>
      <x:c r="B938" s="187" t="n">
        <x:v>45650</x:v>
      </x:c>
      <x:c r="C938" s="187" t="n">
        <x:v>45653</x:v>
      </x:c>
      <x:c r="D938" s="186" t="str">
        <x:v>088691-GOLD</x:v>
      </x:c>
      <x:c r="E938" s="186" t="str">
        <x:v>GOLD - COMMODITY EXCHANGE INC.</x:v>
      </x:c>
      <x:c r="F938" s="186" t="n">
        <x:v>454646</x:v>
      </x:c>
      <x:c r="G938" s="186" t="n">
        <x:v>9198</x:v>
      </x:c>
      <x:c r="H938" s="186" t="n">
        <x:v>83987</x:v>
      </x:c>
      <x:c r="I938" s="186" t="n">
        <x:f>G938-H938</x:f>
        <x:v>-74789</x:v>
      </x:c>
      <x:c r="J938" s="186" t="n">
        <x:v>31583</x:v>
      </x:c>
      <x:c r="K938" s="186" t="n">
        <x:v>230130</x:v>
      </x:c>
      <x:c r="L938" s="186" t="n">
        <x:f>J938-K938</x:f>
        <x:v>-198547</x:v>
      </x:c>
      <x:c r="M938" s="186" t="n">
        <x:v>186099</x:v>
      </x:c>
      <x:c r="N938" s="186" t="n">
        <x:v>20602</x:v>
      </x:c>
      <x:c r="O938" s="186" t="n">
        <x:f>M938-N938</x:f>
        <x:v>165497</x:v>
      </x:c>
      <x:c r="P938" s="186" t="n">
        <x:v>103317</x:v>
      </x:c>
      <x:c r="Q938" s="186" t="n">
        <x:v>21185</x:v>
      </x:c>
      <x:c r="R938" s="186" t="n">
        <x:f>P938-Q938</x:f>
        <x:v>82132</x:v>
      </x:c>
      <x:c r="S938" s="186" t="n">
        <x:v>47813</x:v>
      </x:c>
      <x:c r="T938" s="186" t="n">
        <x:v>22106</x:v>
      </x:c>
      <x:c r="U938" s="186" t="n">
        <x:f>S938-T938</x:f>
        <x:v>25707</x:v>
      </x:c>
      <x:c r="V938" s="196" t="n">
        <x:f>IFERROR(O938/F938,"")</x:f>
        <x:v>0.3640128803508664</x:v>
      </x:c>
      <x:c r="W938" s="196" t="n">
        <x:f>IFERROR(I938/F938,"")</x:f>
        <x:v>-0.16449941272990415</x:v>
      </x:c>
    </x:row>
    <x:row r="939">
      <x:c r="A939" s="186" t="str">
        <x:v>Silver</x:v>
      </x:c>
      <x:c r="B939" s="187" t="n">
        <x:v>45650</x:v>
      </x:c>
      <x:c r="C939" s="187" t="n">
        <x:v>45653</x:v>
      </x:c>
      <x:c r="D939" s="186" t="str">
        <x:v>084691-SILVER</x:v>
      </x:c>
      <x:c r="E939" s="186" t="str">
        <x:v>SILVER - COMMODITY EXCHANGE INC.</x:v>
      </x:c>
      <x:c r="F939" s="186" t="n">
        <x:v>145618</x:v>
      </x:c>
      <x:c r="G939" s="186" t="n">
        <x:v>3447</x:v>
      </x:c>
      <x:c r="H939" s="186" t="n">
        <x:v>37289</x:v>
      </x:c>
      <x:c r="I939" s="186" t="n">
        <x:f>G939-H939</x:f>
        <x:v>-33842</x:v>
      </x:c>
      <x:c r="J939" s="186" t="n">
        <x:v>26609</x:v>
      </x:c>
      <x:c r="K939" s="186" t="n">
        <x:v>47788</x:v>
      </x:c>
      <x:c r="L939" s="186" t="n">
        <x:f>J939-K939</x:f>
        <x:v>-21179</x:v>
      </x:c>
      <x:c r="M939" s="186" t="n">
        <x:v>39531</x:v>
      </x:c>
      <x:c r="N939" s="186" t="n">
        <x:v>18983</x:v>
      </x:c>
      <x:c r="O939" s="186" t="n">
        <x:f>M939-N939</x:f>
        <x:v>20548</x:v>
      </x:c>
      <x:c r="P939" s="186" t="n">
        <x:v>28320</x:v>
      </x:c>
      <x:c r="Q939" s="186" t="n">
        <x:v>8705</x:v>
      </x:c>
      <x:c r="R939" s="186" t="n">
        <x:f>P939-Q939</x:f>
        <x:v>19615</x:v>
      </x:c>
      <x:c r="S939" s="186" t="n">
        <x:v>27566</x:v>
      </x:c>
      <x:c r="T939" s="186" t="n">
        <x:v>12708</x:v>
      </x:c>
      <x:c r="U939" s="186" t="n">
        <x:f>S939-T939</x:f>
        <x:v>14858</x:v>
      </x:c>
      <x:c r="V939" s="196" t="n">
        <x:f>IFERROR(O939/F939,"")</x:f>
        <x:v>0.14110892884121468</x:v>
      </x:c>
      <x:c r="W939" s="196" t="n">
        <x:f>IFERROR(I939/F939,"")</x:f>
        <x:v>-0.23240258759219326</x:v>
      </x:c>
    </x:row>
    <x:row r="940">
      <x:c r="A940" s="186" t="str">
        <x:v>Gold</x:v>
      </x:c>
      <x:c r="B940" s="187" t="n">
        <x:v>45657</x:v>
      </x:c>
      <x:c r="C940" s="187" t="n">
        <x:v>45660</x:v>
      </x:c>
      <x:c r="D940" s="186" t="str">
        <x:v>088691-GOLD</x:v>
      </x:c>
      <x:c r="E940" s="186" t="str">
        <x:v>GOLD - COMMODITY EXCHANGE INC.</x:v>
      </x:c>
      <x:c r="F940" s="186" t="n">
        <x:v>458584</x:v>
      </x:c>
      <x:c r="G940" s="186" t="n">
        <x:v>9983</x:v>
      </x:c>
      <x:c r="H940" s="186" t="n">
        <x:v>83344</x:v>
      </x:c>
      <x:c r="I940" s="186" t="n">
        <x:f>G940-H940</x:f>
        <x:v>-73361</x:v>
      </x:c>
      <x:c r="J940" s="186" t="n">
        <x:v>31829</x:v>
      </x:c>
      <x:c r="K940" s="186" t="n">
        <x:v>229764</x:v>
      </x:c>
      <x:c r="L940" s="186" t="n">
        <x:f>J940-K940</x:f>
        <x:v>-197935</x:v>
      </x:c>
      <x:c r="M940" s="186" t="n">
        <x:v>182128</x:v>
      </x:c>
      <x:c r="N940" s="186" t="n">
        <x:v>15959</x:v>
      </x:c>
      <x:c r="O940" s="186" t="n">
        <x:f>M940-N940</x:f>
        <x:v>166169</x:v>
      </x:c>
      <x:c r="P940" s="186" t="n">
        <x:v>100779</x:v>
      </x:c>
      <x:c r="Q940" s="186" t="n">
        <x:v>19669</x:v>
      </x:c>
      <x:c r="R940" s="186" t="n">
        <x:f>P940-Q940</x:f>
        <x:v>81110</x:v>
      </x:c>
      <x:c r="S940" s="186" t="n">
        <x:v>47357</x:v>
      </x:c>
      <x:c r="T940" s="186" t="n">
        <x:v>23340</x:v>
      </x:c>
      <x:c r="U940" s="186" t="n">
        <x:f>S940-T940</x:f>
        <x:v>24017</x:v>
      </x:c>
      <x:c r="V940" s="196" t="n">
        <x:f>IFERROR(O940/F940,"")</x:f>
        <x:v>0.36235237164837847</x:v>
      </x:c>
      <x:c r="W940" s="196" t="n">
        <x:f>IFERROR(I940/F940,"")</x:f>
        <x:v>-0.15997287301781135</x:v>
      </x:c>
    </x:row>
    <x:row r="941">
      <x:c r="A941" s="186" t="str">
        <x:v>Silver</x:v>
      </x:c>
      <x:c r="B941" s="187" t="n">
        <x:v>45657</x:v>
      </x:c>
      <x:c r="C941" s="187" t="n">
        <x:v>45660</x:v>
      </x:c>
      <x:c r="D941" s="186" t="str">
        <x:v>084691-SILVER</x:v>
      </x:c>
      <x:c r="E941" s="186" t="str">
        <x:v>SILVER - COMMODITY EXCHANGE INC.</x:v>
      </x:c>
      <x:c r="F941" s="186" t="n">
        <x:v>151013</x:v>
      </x:c>
      <x:c r="G941" s="186" t="n">
        <x:v>3875</x:v>
      </x:c>
      <x:c r="H941" s="186" t="n">
        <x:v>37382</x:v>
      </x:c>
      <x:c r="I941" s="186" t="n">
        <x:f>G941-H941</x:f>
        <x:v>-33507</x:v>
      </x:c>
      <x:c r="J941" s="186" t="n">
        <x:v>26910</x:v>
      </x:c>
      <x:c r="K941" s="186" t="n">
        <x:v>45810</x:v>
      </x:c>
      <x:c r="L941" s="186" t="n">
        <x:f>J941-K941</x:f>
        <x:v>-18900</x:v>
      </x:c>
      <x:c r="M941" s="186" t="n">
        <x:v>38172</x:v>
      </x:c>
      <x:c r="N941" s="186" t="n">
        <x:v>21002</x:v>
      </x:c>
      <x:c r="O941" s="186" t="n">
        <x:f>M941-N941</x:f>
        <x:v>17170</x:v>
      </x:c>
      <x:c r="P941" s="186" t="n">
        <x:v>28835</x:v>
      </x:c>
      <x:c r="Q941" s="186" t="n">
        <x:v>8116</x:v>
      </x:c>
      <x:c r="R941" s="186" t="n">
        <x:f>P941-Q941</x:f>
        <x:v>20719</x:v>
      </x:c>
      <x:c r="S941" s="186" t="n">
        <x:v>28631</x:v>
      </x:c>
      <x:c r="T941" s="186" t="n">
        <x:v>14113</x:v>
      </x:c>
      <x:c r="U941" s="186" t="n">
        <x:f>S941-T941</x:f>
        <x:v>14518</x:v>
      </x:c>
      <x:c r="V941" s="196" t="n">
        <x:f>IFERROR(O941/F941,"")</x:f>
        <x:v>0.11369882063133638</x:v>
      </x:c>
      <x:c r="W941" s="196" t="n">
        <x:f>IFERROR(I941/F941,"")</x:f>
        <x:v>-0.22188155986570693</x:v>
      </x:c>
    </x:row>
    <x:row r="942">
      <x:c r="A942" s="186" t="str">
        <x:v>Gold</x:v>
      </x:c>
      <x:c r="B942" s="187" t="n">
        <x:v>45664</x:v>
      </x:c>
      <x:c r="C942" s="187" t="n">
        <x:v>45667</x:v>
      </x:c>
      <x:c r="D942" s="186" t="str">
        <x:v>088691-GOLD</x:v>
      </x:c>
      <x:c r="E942" s="186" t="str">
        <x:v>GOLD - COMMODITY EXCHANGE INC.</x:v>
      </x:c>
      <x:c r="F942" s="186" t="n">
        <x:v>477043</x:v>
      </x:c>
      <x:c r="G942" s="186" t="n">
        <x:v>10137</x:v>
      </x:c>
      <x:c r="H942" s="186" t="n">
        <x:v>81104</x:v>
      </x:c>
      <x:c r="I942" s="186" t="n">
        <x:f>G942-H942</x:f>
        <x:v>-70967</x:v>
      </x:c>
      <x:c r="J942" s="186" t="n">
        <x:v>32687</x:v>
      </x:c>
      <x:c r="K942" s="186" t="n">
        <x:v>240366</x:v>
      </x:c>
      <x:c r="L942" s="186" t="n">
        <x:f>J942-K942</x:f>
        <x:v>-207679</x:v>
      </x:c>
      <x:c r="M942" s="186" t="n">
        <x:v>191873</x:v>
      </x:c>
      <x:c r="N942" s="186" t="n">
        <x:v>14232</x:v>
      </x:c>
      <x:c r="O942" s="186" t="n">
        <x:f>M942-N942</x:f>
        <x:v>177641</x:v>
      </x:c>
      <x:c r="P942" s="186" t="n">
        <x:v>99848</x:v>
      </x:c>
      <x:c r="Q942" s="186" t="n">
        <x:v>22578</x:v>
      </x:c>
      <x:c r="R942" s="186" t="n">
        <x:f>P942-Q942</x:f>
        <x:v>77270</x:v>
      </x:c>
      <x:c r="S942" s="186" t="n">
        <x:v>47574</x:v>
      </x:c>
      <x:c r="T942" s="186" t="n">
        <x:v>23839</x:v>
      </x:c>
      <x:c r="U942" s="186" t="n">
        <x:f>S942-T942</x:f>
        <x:v>23735</x:v>
      </x:c>
      <x:c r="V942" s="196" t="n">
        <x:f>IFERROR(O942/F942,"")</x:f>
        <x:v>0.3723794291080678</x:v>
      </x:c>
      <x:c r="W942" s="196" t="n">
        <x:f>IFERROR(I942/F942,"")</x:f>
        <x:v>-0.14876436715348512</x:v>
      </x:c>
    </x:row>
    <x:row r="943">
      <x:c r="A943" s="186" t="str">
        <x:v>Silver</x:v>
      </x:c>
      <x:c r="B943" s="187" t="n">
        <x:v>45664</x:v>
      </x:c>
      <x:c r="C943" s="187" t="n">
        <x:v>45667</x:v>
      </x:c>
      <x:c r="D943" s="186" t="str">
        <x:v>084691-SILVER</x:v>
      </x:c>
      <x:c r="E943" s="186" t="str">
        <x:v>SILVER - COMMODITY EXCHANGE INC.</x:v>
      </x:c>
      <x:c r="F943" s="186" t="n">
        <x:v>151590</x:v>
      </x:c>
      <x:c r="G943" s="186" t="n">
        <x:v>2900</x:v>
      </x:c>
      <x:c r="H943" s="186" t="n">
        <x:v>36644</x:v>
      </x:c>
      <x:c r="I943" s="186" t="n">
        <x:f>G943-H943</x:f>
        <x:v>-33744</x:v>
      </x:c>
      <x:c r="J943" s="186" t="n">
        <x:v>26266</x:v>
      </x:c>
      <x:c r="K943" s="186" t="n">
        <x:v>48696</x:v>
      </x:c>
      <x:c r="L943" s="186" t="n">
        <x:f>J943-K943</x:f>
        <x:v>-22430</x:v>
      </x:c>
      <x:c r="M943" s="186" t="n">
        <x:v>42484</x:v>
      </x:c>
      <x:c r="N943" s="186" t="n">
        <x:v>17045</x:v>
      </x:c>
      <x:c r="O943" s="186" t="n">
        <x:f>M943-N943</x:f>
        <x:v>25439</x:v>
      </x:c>
      <x:c r="P943" s="186" t="n">
        <x:v>26408</x:v>
      </x:c>
      <x:c r="Q943" s="186" t="n">
        <x:v>10899</x:v>
      </x:c>
      <x:c r="R943" s="186" t="n">
        <x:f>P943-Q943</x:f>
        <x:v>15509</x:v>
      </x:c>
      <x:c r="S943" s="186" t="n">
        <x:v>28332</x:v>
      </x:c>
      <x:c r="T943" s="186" t="n">
        <x:v>13106</x:v>
      </x:c>
      <x:c r="U943" s="186" t="n">
        <x:f>S943-T943</x:f>
        <x:v>15226</x:v>
      </x:c>
      <x:c r="V943" s="196" t="n">
        <x:f>IFERROR(O943/F943,"")</x:f>
        <x:v>0.16781449963717923</x:v>
      </x:c>
      <x:c r="W943" s="196" t="n">
        <x:f>IFERROR(I943/F943,"")</x:f>
        <x:v>-0.22260043538491986</x:v>
      </x:c>
    </x:row>
    <x:row r="944">
      <x:c r="A944" s="186" t="str">
        <x:v>Gold</x:v>
      </x:c>
      <x:c r="B944" s="187" t="n">
        <x:v>45671</x:v>
      </x:c>
      <x:c r="C944" s="187" t="n">
        <x:v>45674</x:v>
      </x:c>
      <x:c r="D944" s="186" t="str">
        <x:v>088691-GOLD</x:v>
      </x:c>
      <x:c r="E944" s="186" t="str">
        <x:v>GOLD - COMMODITY EXCHANGE INC.</x:v>
      </x:c>
      <x:c r="F944" s="186" t="n">
        <x:v>526467</x:v>
      </x:c>
      <x:c r="G944" s="186" t="n">
        <x:v>21043</x:v>
      </x:c>
      <x:c r="H944" s="186" t="n">
        <x:v>95030</x:v>
      </x:c>
      <x:c r="I944" s="186" t="n">
        <x:f>G944-H944</x:f>
        <x:v>-73987</x:v>
      </x:c>
      <x:c r="J944" s="186" t="n">
        <x:v>30150</x:v>
      </x:c>
      <x:c r="K944" s="186" t="n">
        <x:v>258615</x:v>
      </x:c>
      <x:c r="L944" s="186" t="n">
        <x:f>J944-K944</x:f>
        <x:v>-228465</x:v>
      </x:c>
      <x:c r="M944" s="186" t="n">
        <x:v>206968</x:v>
      </x:c>
      <x:c r="N944" s="186" t="n">
        <x:v>11346</x:v>
      </x:c>
      <x:c r="O944" s="186" t="n">
        <x:f>M944-N944</x:f>
        <x:v>195622</x:v>
      </x:c>
      <x:c r="P944" s="186" t="n">
        <x:v>105600</x:v>
      </x:c>
      <x:c r="Q944" s="186" t="n">
        <x:v>21859</x:v>
      </x:c>
      <x:c r="R944" s="186" t="n">
        <x:f>P944-Q944</x:f>
        <x:v>83741</x:v>
      </x:c>
      <x:c r="S944" s="186" t="n">
        <x:v>48250</x:v>
      </x:c>
      <x:c r="T944" s="186" t="n">
        <x:v>25161</x:v>
      </x:c>
      <x:c r="U944" s="186" t="n">
        <x:f>S944-T944</x:f>
        <x:v>23089</x:v>
      </x:c>
      <x:c r="V944" s="196" t="n">
        <x:f>IFERROR(O944/F944,"")</x:f>
        <x:v>0.3715750464891437</x:v>
      </x:c>
      <x:c r="W944" s="196" t="n">
        <x:f>IFERROR(I944/F944,"")</x:f>
        <x:v>-0.14053492431624395</x:v>
      </x:c>
    </x:row>
    <x:row r="945">
      <x:c r="A945" s="186" t="str">
        <x:v>Silver</x:v>
      </x:c>
      <x:c r="B945" s="187" t="n">
        <x:v>45671</x:v>
      </x:c>
      <x:c r="C945" s="187" t="n">
        <x:v>45674</x:v>
      </x:c>
      <x:c r="D945" s="186" t="str">
        <x:v>084691-SILVER</x:v>
      </x:c>
      <x:c r="E945" s="186" t="str">
        <x:v>SILVER - COMMODITY EXCHANGE INC.</x:v>
      </x:c>
      <x:c r="F945" s="186" t="n">
        <x:v>150364</x:v>
      </x:c>
      <x:c r="G945" s="186" t="n">
        <x:v>3674</x:v>
      </x:c>
      <x:c r="H945" s="186" t="n">
        <x:v>37273</x:v>
      </x:c>
      <x:c r="I945" s="186" t="n">
        <x:f>G945-H945</x:f>
        <x:v>-33599</x:v>
      </x:c>
      <x:c r="J945" s="186" t="n">
        <x:v>23033</x:v>
      </x:c>
      <x:c r="K945" s="186" t="n">
        <x:v>49110</x:v>
      </x:c>
      <x:c r="L945" s="186" t="n">
        <x:f>J945-K945</x:f>
        <x:v>-26077</x:v>
      </x:c>
      <x:c r="M945" s="186" t="n">
        <x:v>45728</x:v>
      </x:c>
      <x:c r="N945" s="186" t="n">
        <x:v>16385</x:v>
      </x:c>
      <x:c r="O945" s="186" t="n">
        <x:f>M945-N945</x:f>
        <x:v>29343</x:v>
      </x:c>
      <x:c r="P945" s="186" t="n">
        <x:v>25783</x:v>
      </x:c>
      <x:c r="Q945" s="186" t="n">
        <x:v>9046</x:v>
      </x:c>
      <x:c r="R945" s="186" t="n">
        <x:f>P945-Q945</x:f>
        <x:v>16737</x:v>
      </x:c>
      <x:c r="S945" s="186" t="n">
        <x:v>27024</x:v>
      </x:c>
      <x:c r="T945" s="186" t="n">
        <x:v>13428</x:v>
      </x:c>
      <x:c r="U945" s="186" t="n">
        <x:f>S945-T945</x:f>
        <x:v>13596</x:v>
      </x:c>
      <x:c r="V945" s="196" t="n">
        <x:f>IFERROR(O945/F945,"")</x:f>
        <x:v>0.19514644462770345</x:v>
      </x:c>
      <x:c r="W945" s="196" t="n">
        <x:f>IFERROR(I945/F945,"")</x:f>
        <x:v>-0.22345109201670613</x:v>
      </x:c>
    </x:row>
    <x:row r="946">
      <x:c r="A946" s="186" t="str">
        <x:v>Gold</x:v>
      </x:c>
      <x:c r="B946" s="187" t="n">
        <x:v>45678</x:v>
      </x:c>
      <x:c r="C946" s="187" t="n">
        <x:v>45681</x:v>
      </x:c>
      <x:c r="D946" s="186" t="str">
        <x:v>088691-GOLD</x:v>
      </x:c>
      <x:c r="E946" s="186" t="str">
        <x:v>GOLD - COMMODITY EXCHANGE INC.</x:v>
      </x:c>
      <x:c r="F946" s="186" t="n">
        <x:v>571387</x:v>
      </x:c>
      <x:c r="G946" s="186" t="n">
        <x:v>20111</x:v>
      </x:c>
      <x:c r="H946" s="186" t="n">
        <x:v>100717</x:v>
      </x:c>
      <x:c r="I946" s="186" t="n">
        <x:f>G946-H946</x:f>
        <x:v>-80606</x:v>
      </x:c>
      <x:c r="J946" s="186" t="n">
        <x:v>30427</x:v>
      </x:c>
      <x:c r="K946" s="186" t="n">
        <x:v>276429</x:v>
      </x:c>
      <x:c r="L946" s="186" t="n">
        <x:f>J946-K946</x:f>
        <x:v>-246002</x:v>
      </x:c>
      <x:c r="M946" s="186" t="n">
        <x:v>226964</x:v>
      </x:c>
      <x:c r="N946" s="186" t="n">
        <x:v>11095</x:v>
      </x:c>
      <x:c r="O946" s="186" t="n">
        <x:f>M946-N946</x:f>
        <x:v>215869</x:v>
      </x:c>
      <x:c r="P946" s="186" t="n">
        <x:v>110325</x:v>
      </x:c>
      <x:c r="Q946" s="186" t="n">
        <x:v>25410</x:v>
      </x:c>
      <x:c r="R946" s="186" t="n">
        <x:f>P946-Q946</x:f>
        <x:v>84915</x:v>
      </x:c>
      <x:c r="S946" s="186" t="n">
        <x:v>50638</x:v>
      </x:c>
      <x:c r="T946" s="186" t="n">
        <x:v>24814</x:v>
      </x:c>
      <x:c r="U946" s="186" t="n">
        <x:f>S946-T946</x:f>
        <x:v>25824</x:v>
      </x:c>
      <x:c r="V946" s="196" t="n">
        <x:f>IFERROR(O946/F946,"")</x:f>
        <x:v>0.37779823482158326</x:v>
      </x:c>
      <x:c r="W946" s="196" t="n">
        <x:f>IFERROR(I946/F946,"")</x:f>
        <x:v>-0.14107076289800083</x:v>
      </x:c>
    </x:row>
    <x:row r="947">
      <x:c r="A947" s="186" t="str">
        <x:v>Silver</x:v>
      </x:c>
      <x:c r="B947" s="187" t="n">
        <x:v>45678</x:v>
      </x:c>
      <x:c r="C947" s="187" t="n">
        <x:v>45681</x:v>
      </x:c>
      <x:c r="D947" s="186" t="str">
        <x:v>084691-SILVER</x:v>
      </x:c>
      <x:c r="E947" s="186" t="str">
        <x:v>SILVER - COMMODITY EXCHANGE INC.</x:v>
      </x:c>
      <x:c r="F947" s="186" t="n">
        <x:v>159899</x:v>
      </x:c>
      <x:c r="G947" s="186" t="n">
        <x:v>4112</x:v>
      </x:c>
      <x:c r="H947" s="186" t="n">
        <x:v>38144</x:v>
      </x:c>
      <x:c r="I947" s="186" t="n">
        <x:f>G947-H947</x:f>
        <x:v>-34032</x:v>
      </x:c>
      <x:c r="J947" s="186" t="n">
        <x:v>23188</x:v>
      </x:c>
      <x:c r="K947" s="186" t="n">
        <x:v>52133</x:v>
      </x:c>
      <x:c r="L947" s="186" t="n">
        <x:f>J947-K947</x:f>
        <x:v>-28945</x:v>
      </x:c>
      <x:c r="M947" s="186" t="n">
        <x:v>48244</x:v>
      </x:c>
      <x:c r="N947" s="186" t="n">
        <x:v>19023</x:v>
      </x:c>
      <x:c r="O947" s="186" t="n">
        <x:f>M947-N947</x:f>
        <x:v>29221</x:v>
      </x:c>
      <x:c r="P947" s="186" t="n">
        <x:v>27416</x:v>
      </x:c>
      <x:c r="Q947" s="186" t="n">
        <x:v>9157</x:v>
      </x:c>
      <x:c r="R947" s="186" t="n">
        <x:f>P947-Q947</x:f>
        <x:v>18259</x:v>
      </x:c>
      <x:c r="S947" s="186" t="n">
        <x:v>27898</x:v>
      </x:c>
      <x:c r="T947" s="186" t="n">
        <x:v>12401</x:v>
      </x:c>
      <x:c r="U947" s="186" t="n">
        <x:f>S947-T947</x:f>
        <x:v>15497</x:v>
      </x:c>
      <x:c r="V947" s="196" t="n">
        <x:f>IFERROR(O947/F947,"")</x:f>
        <x:v>0.182746608796803</x:v>
      </x:c>
      <x:c r="W947" s="196" t="n">
        <x:f>IFERROR(I947/F947,"")</x:f>
        <x:v>-0.21283435168450085</x:v>
      </x:c>
    </x:row>
    <x:row r="948">
      <x:c r="A948" s="186" t="str">
        <x:v>Gold</x:v>
      </x:c>
      <x:c r="B948" s="187" t="n">
        <x:v>45685</x:v>
      </x:c>
      <x:c r="C948" s="187" t="n">
        <x:v>45688</x:v>
      </x:c>
      <x:c r="D948" s="186" t="str">
        <x:v>088691-GOLD</x:v>
      </x:c>
      <x:c r="E948" s="186" t="str">
        <x:v>GOLD - COMMODITY EXCHANGE INC.</x:v>
      </x:c>
      <x:c r="F948" s="186" t="n">
        <x:v>577505</x:v>
      </x:c>
      <x:c r="G948" s="186" t="n">
        <x:v>19532</x:v>
      </x:c>
      <x:c r="H948" s="186" t="n">
        <x:v>100430</x:v>
      </x:c>
      <x:c r="I948" s="186" t="n">
        <x:f>G948-H948</x:f>
        <x:v>-80898</x:v>
      </x:c>
      <x:c r="J948" s="186" t="n">
        <x:v>29725</x:v>
      </x:c>
      <x:c r="K948" s="186" t="n">
        <x:v>272549</x:v>
      </x:c>
      <x:c r="L948" s="186" t="n">
        <x:f>J948-K948</x:f>
        <x:v>-242824</x:v>
      </x:c>
      <x:c r="M948" s="186" t="n">
        <x:v>227871</x:v>
      </x:c>
      <x:c r="N948" s="186" t="n">
        <x:v>17331</x:v>
      </x:c>
      <x:c r="O948" s="186" t="n">
        <x:f>M948-N948</x:f>
        <x:v>210540</x:v>
      </x:c>
      <x:c r="P948" s="186" t="n">
        <x:v>110500</x:v>
      </x:c>
      <x:c r="Q948" s="186" t="n">
        <x:v>21631</x:v>
      </x:c>
      <x:c r="R948" s="186" t="n">
        <x:f>P948-Q948</x:f>
        <x:v>88869</x:v>
      </x:c>
      <x:c r="S948" s="186" t="n">
        <x:v>49224</x:v>
      </x:c>
      <x:c r="T948" s="186" t="n">
        <x:v>24911</x:v>
      </x:c>
      <x:c r="U948" s="186" t="n">
        <x:f>S948-T948</x:f>
        <x:v>24313</x:v>
      </x:c>
      <x:c r="V948" s="196" t="n">
        <x:f>IFERROR(O948/F948,"")</x:f>
        <x:v>0.364568272136172</x:v>
      </x:c>
      <x:c r="W948" s="196" t="n">
        <x:f>IFERROR(I948/F948,"")</x:f>
        <x:v>-0.14008190405277876</x:v>
      </x:c>
    </x:row>
    <x:row r="949">
      <x:c r="A949" s="186" t="str">
        <x:v>Silver</x:v>
      </x:c>
      <x:c r="B949" s="187" t="n">
        <x:v>45685</x:v>
      </x:c>
      <x:c r="C949" s="187" t="n">
        <x:v>45688</x:v>
      </x:c>
      <x:c r="D949" s="186" t="str">
        <x:v>084691-SILVER</x:v>
      </x:c>
      <x:c r="E949" s="186" t="str">
        <x:v>SILVER - COMMODITY EXCHANGE INC.</x:v>
      </x:c>
      <x:c r="F949" s="186" t="n">
        <x:v>165135</x:v>
      </x:c>
      <x:c r="G949" s="186" t="n">
        <x:v>3704</x:v>
      </x:c>
      <x:c r="H949" s="186" t="n">
        <x:v>38180</x:v>
      </x:c>
      <x:c r="I949" s="186" t="n">
        <x:f>G949-H949</x:f>
        <x:v>-34476</x:v>
      </x:c>
      <x:c r="J949" s="186" t="n">
        <x:v>23804</x:v>
      </x:c>
      <x:c r="K949" s="186" t="n">
        <x:v>49596</x:v>
      </x:c>
      <x:c r="L949" s="186" t="n">
        <x:f>J949-K949</x:f>
        <x:v>-25792</x:v>
      </x:c>
      <x:c r="M949" s="186" t="n">
        <x:v>46674</x:v>
      </x:c>
      <x:c r="N949" s="186" t="n">
        <x:v>20724</x:v>
      </x:c>
      <x:c r="O949" s="186" t="n">
        <x:f>M949-N949</x:f>
        <x:v>25950</x:v>
      </x:c>
      <x:c r="P949" s="186" t="n">
        <x:v>27982</x:v>
      </x:c>
      <x:c r="Q949" s="186" t="n">
        <x:v>9564</x:v>
      </x:c>
      <x:c r="R949" s="186" t="n">
        <x:f>P949-Q949</x:f>
        <x:v>18418</x:v>
      </x:c>
      <x:c r="S949" s="186" t="n">
        <x:v>28119</x:v>
      </x:c>
      <x:c r="T949" s="186" t="n">
        <x:v>12219</x:v>
      </x:c>
      <x:c r="U949" s="186" t="n">
        <x:f>S949-T949</x:f>
        <x:v>15900</x:v>
      </x:c>
      <x:c r="V949" s="196" t="n">
        <x:f>IFERROR(O949/F949,"")</x:f>
        <x:v>0.15714415478245072</x:v>
      </x:c>
      <x:c r="W949" s="196" t="n">
        <x:f>IFERROR(I949/F949,"")</x:f>
        <x:v>-0.20877463893178308</x:v>
      </x:c>
    </x:row>
    <x:row r="950">
      <x:c r="A950" s="186" t="str">
        <x:v>Gold</x:v>
      </x:c>
      <x:c r="B950" s="187" t="n">
        <x:v>45692</x:v>
      </x:c>
      <x:c r="C950" s="187" t="n">
        <x:v>45695</x:v>
      </x:c>
      <x:c r="D950" s="186" t="str">
        <x:v>088691-GOLD</x:v>
      </x:c>
      <x:c r="E950" s="186" t="str">
        <x:v>GOLD - COMMODITY EXCHANGE INC.</x:v>
      </x:c>
      <x:c r="F950" s="186" t="n">
        <x:v>542004</x:v>
      </x:c>
      <x:c r="G950" s="186" t="n">
        <x:v>19046</x:v>
      </x:c>
      <x:c r="H950" s="186" t="n">
        <x:v>82490</x:v>
      </x:c>
      <x:c r="I950" s="186" t="n">
        <x:f>G950-H950</x:f>
        <x:v>-63444</x:v>
      </x:c>
      <x:c r="J950" s="186" t="n">
        <x:v>21824</x:v>
      </x:c>
      <x:c r="K950" s="186" t="n">
        <x:v>286555</x:v>
      </x:c>
      <x:c r="L950" s="186" t="n">
        <x:f>J950-K950</x:f>
        <x:v>-264731</x:v>
      </x:c>
      <x:c r="M950" s="186" t="n">
        <x:v>240485</x:v>
      </x:c>
      <x:c r="N950" s="186" t="n">
        <x:v>30952</x:v>
      </x:c>
      <x:c r="O950" s="186" t="n">
        <x:f>M950-N950</x:f>
        <x:v>209533</x:v>
      </x:c>
      <x:c r="P950" s="186" t="n">
        <x:v>116015</x:v>
      </x:c>
      <x:c r="Q950" s="186" t="n">
        <x:v>23040</x:v>
      </x:c>
      <x:c r="R950" s="186" t="n">
        <x:f>P950-Q950</x:f>
        <x:v>92975</x:v>
      </x:c>
      <x:c r="S950" s="186" t="n">
        <x:v>49522</x:v>
      </x:c>
      <x:c r="T950" s="186" t="n">
        <x:v>23855</x:v>
      </x:c>
      <x:c r="U950" s="186" t="n">
        <x:f>S950-T950</x:f>
        <x:v>25667</x:v>
      </x:c>
      <x:c r="V950" s="196" t="n">
        <x:f>IFERROR(O950/F950,"")</x:f>
        <x:v>0.3865893978642224</x:v>
      </x:c>
      <x:c r="W950" s="196" t="n">
        <x:f>IFERROR(I950/F950,"")</x:f>
        <x:v>-0.11705448668275512</x:v>
      </x:c>
    </x:row>
    <x:row r="951">
      <x:c r="A951" s="186" t="str">
        <x:v>Silver</x:v>
      </x:c>
      <x:c r="B951" s="187" t="n">
        <x:v>45692</x:v>
      </x:c>
      <x:c r="C951" s="187" t="n">
        <x:v>45695</x:v>
      </x:c>
      <x:c r="D951" s="186" t="str">
        <x:v>084691-SILVER</x:v>
      </x:c>
      <x:c r="E951" s="186" t="str">
        <x:v>SILVER - COMMODITY EXCHANGE INC.</x:v>
      </x:c>
      <x:c r="F951" s="186" t="n">
        <x:v>170726</x:v>
      </x:c>
      <x:c r="G951" s="186" t="n">
        <x:v>2358</x:v>
      </x:c>
      <x:c r="H951" s="186" t="n">
        <x:v>40845</x:v>
      </x:c>
      <x:c r="I951" s="186" t="n">
        <x:f>G951-H951</x:f>
        <x:v>-38487</x:v>
      </x:c>
      <x:c r="J951" s="186" t="n">
        <x:v>22122</x:v>
      </x:c>
      <x:c r="K951" s="186" t="n">
        <x:v>52642</x:v>
      </x:c>
      <x:c r="L951" s="186" t="n">
        <x:f>J951-K951</x:f>
        <x:v>-30520</x:v>
      </x:c>
      <x:c r="M951" s="186" t="n">
        <x:v>56404</x:v>
      </x:c>
      <x:c r="N951" s="186" t="n">
        <x:v>20157</x:v>
      </x:c>
      <x:c r="O951" s="186" t="n">
        <x:f>M951-N951</x:f>
        <x:v>36247</x:v>
      </x:c>
      <x:c r="P951" s="186" t="n">
        <x:v>26716</x:v>
      </x:c>
      <x:c r="Q951" s="186" t="n">
        <x:v>12602</x:v>
      </x:c>
      <x:c r="R951" s="186" t="n">
        <x:f>P951-Q951</x:f>
        <x:v>14114</x:v>
      </x:c>
      <x:c r="S951" s="186" t="n">
        <x:v>31821</x:v>
      </x:c>
      <x:c r="T951" s="186" t="n">
        <x:v>13175</x:v>
      </x:c>
      <x:c r="U951" s="186" t="n">
        <x:f>S951-T951</x:f>
        <x:v>18646</x:v>
      </x:c>
      <x:c r="V951" s="196" t="n">
        <x:f>IFERROR(O951/F951,"")</x:f>
        <x:v>0.2123109543947612</x:v>
      </x:c>
      <x:c r="W951" s="196" t="n">
        <x:f>IFERROR(I951/F951,"")</x:f>
        <x:v>-0.22543139299228002</x:v>
      </x:c>
    </x:row>
    <x:row r="952">
      <x:c r="A952" s="186" t="str">
        <x:v>Gold</x:v>
      </x:c>
      <x:c r="B952" s="187" t="n">
        <x:v>45699</x:v>
      </x:c>
      <x:c r="C952" s="187" t="n">
        <x:v>45702</x:v>
      </x:c>
      <x:c r="D952" s="186" t="str">
        <x:v>088691-GOLD</x:v>
      </x:c>
      <x:c r="E952" s="186" t="str">
        <x:v>GOLD - COMMODITY EXCHANGE INC.</x:v>
      </x:c>
      <x:c r="F952" s="186" t="n">
        <x:v>528719</x:v>
      </x:c>
      <x:c r="G952" s="186" t="n">
        <x:v>20935</x:v>
      </x:c>
      <x:c r="H952" s="186" t="n">
        <x:v>81836</x:v>
      </x:c>
      <x:c r="I952" s="186" t="n">
        <x:f>G952-H952</x:f>
        <x:v>-60901</x:v>
      </x:c>
      <x:c r="J952" s="186" t="n">
        <x:v>19501</x:v>
      </x:c>
      <x:c r="K952" s="186" t="n">
        <x:v>268488</x:v>
      </x:c>
      <x:c r="L952" s="186" t="n">
        <x:f>J952-K952</x:f>
        <x:v>-248987</x:v>
      </x:c>
      <x:c r="M952" s="186" t="n">
        <x:v>229071</x:v>
      </x:c>
      <x:c r="N952" s="186" t="n">
        <x:v>34268</x:v>
      </x:c>
      <x:c r="O952" s="186" t="n">
        <x:f>M952-N952</x:f>
        <x:v>194803</x:v>
      </x:c>
      <x:c r="P952" s="186" t="n">
        <x:v>114695</x:v>
      </x:c>
      <x:c r="Q952" s="186" t="n">
        <x:v>24994</x:v>
      </x:c>
      <x:c r="R952" s="186" t="n">
        <x:f>P952-Q952</x:f>
        <x:v>89701</x:v>
      </x:c>
      <x:c r="S952" s="186" t="n">
        <x:v>49509</x:v>
      </x:c>
      <x:c r="T952" s="186" t="n">
        <x:v>24125</x:v>
      </x:c>
      <x:c r="U952" s="186" t="n">
        <x:f>S952-T952</x:f>
        <x:v>25384</x:v>
      </x:c>
      <x:c r="V952" s="196" t="n">
        <x:f>IFERROR(O952/F952,"")</x:f>
        <x:v>0.3684433508158398</x:v>
      </x:c>
      <x:c r="W952" s="196" t="n">
        <x:f>IFERROR(I952/F952,"")</x:f>
        <x:v>-0.11518594943627901</x:v>
      </x:c>
    </x:row>
    <x:row r="953">
      <x:c r="A953" s="186" t="str">
        <x:v>Silver</x:v>
      </x:c>
      <x:c r="B953" s="187" t="n">
        <x:v>45699</x:v>
      </x:c>
      <x:c r="C953" s="187" t="n">
        <x:v>45702</x:v>
      </x:c>
      <x:c r="D953" s="186" t="str">
        <x:v>084691-SILVER</x:v>
      </x:c>
      <x:c r="E953" s="186" t="str">
        <x:v>SILVER - COMMODITY EXCHANGE INC.</x:v>
      </x:c>
      <x:c r="F953" s="186" t="n">
        <x:v>164251</x:v>
      </x:c>
      <x:c r="G953" s="186" t="n">
        <x:v>3900</x:v>
      </x:c>
      <x:c r="H953" s="186" t="n">
        <x:v>41206</x:v>
      </x:c>
      <x:c r="I953" s="186" t="n">
        <x:f>G953-H953</x:f>
        <x:v>-37306</x:v>
      </x:c>
      <x:c r="J953" s="186" t="n">
        <x:v>21575</x:v>
      </x:c>
      <x:c r="K953" s="186" t="n">
        <x:v>52519</x:v>
      </x:c>
      <x:c r="L953" s="186" t="n">
        <x:f>J953-K953</x:f>
        <x:v>-30944</x:v>
      </x:c>
      <x:c r="M953" s="186" t="n">
        <x:v>54415</x:v>
      </x:c>
      <x:c r="N953" s="186" t="n">
        <x:v>20039</x:v>
      </x:c>
      <x:c r="O953" s="186" t="n">
        <x:f>M953-N953</x:f>
        <x:v>34376</x:v>
      </x:c>
      <x:c r="P953" s="186" t="n">
        <x:v>24697</x:v>
      </x:c>
      <x:c r="Q953" s="186" t="n">
        <x:v>9363</x:v>
      </x:c>
      <x:c r="R953" s="186" t="n">
        <x:f>P953-Q953</x:f>
        <x:v>15334</x:v>
      </x:c>
      <x:c r="S953" s="186" t="n">
        <x:v>32807</x:v>
      </x:c>
      <x:c r="T953" s="186" t="n">
        <x:v>14267</x:v>
      </x:c>
      <x:c r="U953" s="186" t="n">
        <x:f>S953-T953</x:f>
        <x:v>18540</x:v>
      </x:c>
      <x:c r="V953" s="196" t="n">
        <x:f>IFERROR(O953/F953,"")</x:f>
        <x:v>0.2092894411601756</x:v>
      </x:c>
      <x:c r="W953" s="196" t="n">
        <x:f>IFERROR(I953/F953,"")</x:f>
        <x:v>-0.2271279931324619</x:v>
      </x:c>
    </x:row>
    <x:row r="954">
      <x:c r="A954" s="186" t="str">
        <x:v>Gold</x:v>
      </x:c>
      <x:c r="B954" s="187" t="n">
        <x:v>45706</x:v>
      </x:c>
      <x:c r="C954" s="187" t="n">
        <x:v>45709</x:v>
      </x:c>
      <x:c r="D954" s="186" t="str">
        <x:v>088691-GOLD</x:v>
      </x:c>
      <x:c r="E954" s="186" t="str">
        <x:v>GOLD - COMMODITY EXCHANGE INC.</x:v>
      </x:c>
      <x:c r="F954" s="186" t="n">
        <x:v>522330</x:v>
      </x:c>
      <x:c r="G954" s="186" t="n">
        <x:v>22176</x:v>
      </x:c>
      <x:c r="H954" s="186" t="n">
        <x:v>82595</x:v>
      </x:c>
      <x:c r="I954" s="186" t="n">
        <x:f>G954-H954</x:f>
        <x:v>-60419</x:v>
      </x:c>
      <x:c r="J954" s="186" t="n">
        <x:v>16566</x:v>
      </x:c>
      <x:c r="K954" s="186" t="n">
        <x:v>252218</x:v>
      </x:c>
      <x:c r="L954" s="186" t="n">
        <x:f>J954-K954</x:f>
        <x:v>-235652</x:v>
      </x:c>
      <x:c r="M954" s="186" t="n">
        <x:v>222538</x:v>
      </x:c>
      <x:c r="N954" s="186" t="n">
        <x:v>37209</x:v>
      </x:c>
      <x:c r="O954" s="186" t="n">
        <x:f>M954-N954</x:f>
        <x:v>185329</x:v>
      </x:c>
      <x:c r="P954" s="186" t="n">
        <x:v>111505</x:v>
      </x:c>
      <x:c r="Q954" s="186" t="n">
        <x:v>28160</x:v>
      </x:c>
      <x:c r="R954" s="186" t="n">
        <x:f>P954-Q954</x:f>
        <x:v>83345</x:v>
      </x:c>
      <x:c r="S954" s="186" t="n">
        <x:v>50882</x:v>
      </x:c>
      <x:c r="T954" s="186" t="n">
        <x:v>23485</x:v>
      </x:c>
      <x:c r="U954" s="186" t="n">
        <x:f>S954-T954</x:f>
        <x:v>27397</x:v>
      </x:c>
      <x:c r="V954" s="196" t="n">
        <x:f>IFERROR(O954/F954,"")</x:f>
        <x:v>0.3548120919725078</x:v>
      </x:c>
      <x:c r="W954" s="196" t="n">
        <x:f>IFERROR(I954/F954,"")</x:f>
        <x:v>-0.11567208469741351</x:v>
      </x:c>
    </x:row>
    <x:row r="955">
      <x:c r="A955" s="186" t="str">
        <x:v>Silver</x:v>
      </x:c>
      <x:c r="B955" s="187" t="n">
        <x:v>45706</x:v>
      </x:c>
      <x:c r="C955" s="187" t="n">
        <x:v>45709</x:v>
      </x:c>
      <x:c r="D955" s="186" t="str">
        <x:v>084691-SILVER</x:v>
      </x:c>
      <x:c r="E955" s="186" t="str">
        <x:v>SILVER - COMMODITY EXCHANGE INC.</x:v>
      </x:c>
      <x:c r="F955" s="186" t="n">
        <x:v>170107</x:v>
      </x:c>
      <x:c r="G955" s="186" t="n">
        <x:v>3701</x:v>
      </x:c>
      <x:c r="H955" s="186" t="n">
        <x:v>43116</x:v>
      </x:c>
      <x:c r="I955" s="186" t="n">
        <x:f>G955-H955</x:f>
        <x:v>-39415</x:v>
      </x:c>
      <x:c r="J955" s="186" t="n">
        <x:v>22084</x:v>
      </x:c>
      <x:c r="K955" s="186" t="n">
        <x:v>54629</x:v>
      </x:c>
      <x:c r="L955" s="186" t="n">
        <x:f>J955-K955</x:f>
        <x:v>-32545</x:v>
      </x:c>
      <x:c r="M955" s="186" t="n">
        <x:v>58305</x:v>
      </x:c>
      <x:c r="N955" s="186" t="n">
        <x:v>19999</x:v>
      </x:c>
      <x:c r="O955" s="186" t="n">
        <x:f>M955-N955</x:f>
        <x:v>38306</x:v>
      </x:c>
      <x:c r="P955" s="186" t="n">
        <x:v>26509</x:v>
      </x:c>
      <x:c r="Q955" s="186" t="n">
        <x:v>10361</x:v>
      </x:c>
      <x:c r="R955" s="186" t="n">
        <x:f>P955-Q955</x:f>
        <x:v>16148</x:v>
      </x:c>
      <x:c r="S955" s="186" t="n">
        <x:v>31187</x:v>
      </x:c>
      <x:c r="T955" s="186" t="n">
        <x:v>13681</x:v>
      </x:c>
      <x:c r="U955" s="186" t="n">
        <x:f>S955-T955</x:f>
        <x:v>17506</x:v>
      </x:c>
      <x:c r="V955" s="196" t="n">
        <x:f>IFERROR(O955/F955,"")</x:f>
        <x:v>0.22518767599216963</x:v>
      </x:c>
      <x:c r="W955" s="196" t="n">
        <x:f>IFERROR(I955/F955,"")</x:f>
        <x:v>-0.23170710200050557</x:v>
      </x:c>
    </x:row>
    <x:row r="956">
      <x:c r="A956" s="186" t="str">
        <x:v>Gold</x:v>
      </x:c>
      <x:c r="B956" s="187" t="n">
        <x:v>45713</x:v>
      </x:c>
      <x:c r="C956" s="187" t="n">
        <x:v>45716</x:v>
      </x:c>
      <x:c r="D956" s="186" t="str">
        <x:v>088691-GOLD</x:v>
      </x:c>
      <x:c r="E956" s="186" t="str">
        <x:v>GOLD - COMMODITY EXCHANGE INC.</x:v>
      </x:c>
      <x:c r="F956" s="186" t="n">
        <x:v>512179</x:v>
      </x:c>
      <x:c r="G956" s="186" t="n">
        <x:v>24007</x:v>
      </x:c>
      <x:c r="H956" s="186" t="n">
        <x:v>84497</x:v>
      </x:c>
      <x:c r="I956" s="186" t="n">
        <x:f>G956-H956</x:f>
        <x:v>-60490</x:v>
      </x:c>
      <x:c r="J956" s="186" t="n">
        <x:v>14682</x:v>
      </x:c>
      <x:c r="K956" s="186" t="n">
        <x:v>242292</x:v>
      </x:c>
      <x:c r="L956" s="186" t="n">
        <x:f>J956-K956</x:f>
        <x:v>-227610</x:v>
      </x:c>
      <x:c r="M956" s="186" t="n">
        <x:v>212694</x:v>
      </x:c>
      <x:c r="N956" s="186" t="n">
        <x:v>32882</x:v>
      </x:c>
      <x:c r="O956" s="186" t="n">
        <x:f>M956-N956</x:f>
        <x:v>179812</x:v>
      </x:c>
      <x:c r="P956" s="186" t="n">
        <x:v>104254</x:v>
      </x:c>
      <x:c r="Q956" s="186" t="n">
        <x:v>22441</x:v>
      </x:c>
      <x:c r="R956" s="186" t="n">
        <x:f>P956-Q956</x:f>
        <x:v>81813</x:v>
      </x:c>
      <x:c r="S956" s="186" t="n">
        <x:v>48803</x:v>
      </x:c>
      <x:c r="T956" s="186" t="n">
        <x:v>22328</x:v>
      </x:c>
      <x:c r="U956" s="186" t="n">
        <x:f>S956-T956</x:f>
        <x:v>26475</x:v>
      </x:c>
      <x:c r="V956" s="196" t="n">
        <x:f>IFERROR(O956/F956,"")</x:f>
        <x:v>0.35107257423674143</x:v>
      </x:c>
      <x:c r="W956" s="196" t="n">
        <x:f>IFERROR(I956/F956,"")</x:f>
        <x:v>-0.11810324124964124</x:v>
      </x:c>
    </x:row>
    <x:row r="957">
      <x:c r="A957" s="186" t="str">
        <x:v>Silver</x:v>
      </x:c>
      <x:c r="B957" s="187" t="n">
        <x:v>45713</x:v>
      </x:c>
      <x:c r="C957" s="187" t="n">
        <x:v>45716</x:v>
      </x:c>
      <x:c r="D957" s="186" t="str">
        <x:v>084691-SILVER</x:v>
      </x:c>
      <x:c r="E957" s="186" t="str">
        <x:v>SILVER - COMMODITY EXCHANGE INC.</x:v>
      </x:c>
      <x:c r="F957" s="186" t="n">
        <x:v>163681</x:v>
      </x:c>
      <x:c r="G957" s="186" t="n">
        <x:v>4000</x:v>
      </x:c>
      <x:c r="H957" s="186" t="n">
        <x:v>43955</x:v>
      </x:c>
      <x:c r="I957" s="186" t="n">
        <x:f>G957-H957</x:f>
        <x:v>-39955</x:v>
      </x:c>
      <x:c r="J957" s="186" t="n">
        <x:v>22671</x:v>
      </x:c>
      <x:c r="K957" s="186" t="n">
        <x:v>52904</x:v>
      </x:c>
      <x:c r="L957" s="186" t="n">
        <x:f>J957-K957</x:f>
        <x:v>-30233</x:v>
      </x:c>
      <x:c r="M957" s="186" t="n">
        <x:v>51338</x:v>
      </x:c>
      <x:c r="N957" s="186" t="n">
        <x:v>18399</x:v>
      </x:c>
      <x:c r="O957" s="186" t="n">
        <x:f>M957-N957</x:f>
        <x:v>32939</x:v>
      </x:c>
      <x:c r="P957" s="186" t="n">
        <x:v>27131</x:v>
      </x:c>
      <x:c r="Q957" s="186" t="n">
        <x:v>7208</x:v>
      </x:c>
      <x:c r="R957" s="186" t="n">
        <x:f>P957-Q957</x:f>
        <x:v>19923</x:v>
      </x:c>
      <x:c r="S957" s="186" t="n">
        <x:v>30082</x:v>
      </x:c>
      <x:c r="T957" s="186" t="n">
        <x:v>12756</x:v>
      </x:c>
      <x:c r="U957" s="186" t="n">
        <x:f>S957-T957</x:f>
        <x:v>17326</x:v>
      </x:c>
      <x:c r="V957" s="196" t="n">
        <x:f>IFERROR(O957/F957,"")</x:f>
        <x:v>0.20123899536293155</x:v>
      </x:c>
      <x:c r="W957" s="196" t="n">
        <x:f>IFERROR(I957/F957,"")</x:f>
        <x:v>-0.24410285860912384</x:v>
      </x:c>
    </x:row>
    <x:row r="958">
      <x:c r="A958" s="186" t="str">
        <x:v>Gold</x:v>
      </x:c>
      <x:c r="B958" s="187" t="n">
        <x:v>45720</x:v>
      </x:c>
      <x:c r="C958" s="187" t="n">
        <x:v>45723</x:v>
      </x:c>
      <x:c r="D958" s="186" t="str">
        <x:v>088691-GOLD</x:v>
      </x:c>
      <x:c r="E958" s="186" t="str">
        <x:v>GOLD - COMMODITY EXCHANGE INC.</x:v>
      </x:c>
      <x:c r="F958" s="186" t="n">
        <x:v>489270</x:v>
      </x:c>
      <x:c r="G958" s="186" t="n">
        <x:v>24881</x:v>
      </x:c>
      <x:c r="H958" s="186" t="n">
        <x:v>83460</x:v>
      </x:c>
      <x:c r="I958" s="186" t="n">
        <x:f>G958-H958</x:f>
        <x:v>-58579</x:v>
      </x:c>
      <x:c r="J958" s="186" t="n">
        <x:v>16574</x:v>
      </x:c>
      <x:c r="K958" s="186" t="n">
        <x:v>229110</x:v>
      </x:c>
      <x:c r="L958" s="186" t="n">
        <x:f>J958-K958</x:f>
        <x:v>-212536</x:v>
      </x:c>
      <x:c r="M958" s="186" t="n">
        <x:v>204965</x:v>
      </x:c>
      <x:c r="N958" s="186" t="n">
        <x:v>38307</x:v>
      </x:c>
      <x:c r="O958" s="186" t="n">
        <x:f>M958-N958</x:f>
        <x:v>166658</x:v>
      </x:c>
      <x:c r="P958" s="186" t="n">
        <x:v>98167</x:v>
      </x:c>
      <x:c r="Q958" s="186" t="n">
        <x:v>21564</x:v>
      </x:c>
      <x:c r="R958" s="186" t="n">
        <x:f>P958-Q958</x:f>
        <x:v>76603</x:v>
      </x:c>
      <x:c r="S958" s="186" t="n">
        <x:v>49602</x:v>
      </x:c>
      <x:c r="T958" s="186" t="n">
        <x:v>21748</x:v>
      </x:c>
      <x:c r="U958" s="186" t="n">
        <x:f>S958-T958</x:f>
        <x:v>27854</x:v>
      </x:c>
      <x:c r="V958" s="196" t="n">
        <x:f>IFERROR(O958/F958,"")</x:f>
        <x:v>0.34062583031863797</x:v>
      </x:c>
      <x:c r="W958" s="196" t="n">
        <x:f>IFERROR(I958/F958,"")</x:f>
        <x:v>-0.11972734890755615</x:v>
      </x:c>
    </x:row>
    <x:row r="959">
      <x:c r="A959" s="186" t="str">
        <x:v>Silver</x:v>
      </x:c>
      <x:c r="B959" s="187" t="n">
        <x:v>45720</x:v>
      </x:c>
      <x:c r="C959" s="187" t="n">
        <x:v>45723</x:v>
      </x:c>
      <x:c r="D959" s="186" t="str">
        <x:v>084691-SILVER</x:v>
      </x:c>
      <x:c r="E959" s="186" t="str">
        <x:v>SILVER - COMMODITY EXCHANGE INC.</x:v>
      </x:c>
      <x:c r="F959" s="186" t="n">
        <x:v>145935</x:v>
      </x:c>
      <x:c r="G959" s="186" t="n">
        <x:v>3934</x:v>
      </x:c>
      <x:c r="H959" s="186" t="n">
        <x:v>35560</x:v>
      </x:c>
      <x:c r="I959" s="186" t="n">
        <x:f>G959-H959</x:f>
        <x:v>-31626</x:v>
      </x:c>
      <x:c r="J959" s="186" t="n">
        <x:v>21714</x:v>
      </x:c>
      <x:c r="K959" s="186" t="n">
        <x:v>61032</x:v>
      </x:c>
      <x:c r="L959" s="186" t="n">
        <x:f>J959-K959</x:f>
        <x:v>-39318</x:v>
      </x:c>
      <x:c r="M959" s="186" t="n">
        <x:v>47878</x:v>
      </x:c>
      <x:c r="N959" s="186" t="n">
        <x:v>13780</x:v>
      </x:c>
      <x:c r="O959" s="186" t="n">
        <x:f>M959-N959</x:f>
        <x:v>34098</x:v>
      </x:c>
      <x:c r="P959" s="186" t="n">
        <x:v>25437</x:v>
      </x:c>
      <x:c r="Q959" s="186" t="n">
        <x:v>6219</x:v>
      </x:c>
      <x:c r="R959" s="186" t="n">
        <x:f>P959-Q959</x:f>
        <x:v>19218</x:v>
      </x:c>
      <x:c r="S959" s="186" t="n">
        <x:v>28190</x:v>
      </x:c>
      <x:c r="T959" s="186" t="n">
        <x:v>10562</x:v>
      </x:c>
      <x:c r="U959" s="186" t="n">
        <x:f>S959-T959</x:f>
        <x:v>17628</x:v>
      </x:c>
      <x:c r="V959" s="196" t="n">
        <x:f>IFERROR(O959/F959,"")</x:f>
        <x:v>0.2336519683420701</x:v>
      </x:c>
      <x:c r="W959" s="196" t="n">
        <x:f>IFERROR(I959/F959,"")</x:f>
        <x:v>-0.21671292013567683</x:v>
      </x:c>
    </x:row>
    <x:row r="960">
      <x:c r="A960" s="186" t="str">
        <x:v>Gold</x:v>
      </x:c>
      <x:c r="B960" s="187" t="n">
        <x:v>45727</x:v>
      </x:c>
      <x:c r="C960" s="187" t="n">
        <x:v>45730</x:v>
      </x:c>
      <x:c r="D960" s="186" t="str">
        <x:v>088691-GOLD</x:v>
      </x:c>
      <x:c r="E960" s="186" t="str">
        <x:v>GOLD - COMMODITY EXCHANGE INC.</x:v>
      </x:c>
      <x:c r="F960" s="186" t="n">
        <x:v>511276</x:v>
      </x:c>
      <x:c r="G960" s="186" t="n">
        <x:v>24799</x:v>
      </x:c>
      <x:c r="H960" s="186" t="n">
        <x:v>82058</x:v>
      </x:c>
      <x:c r="I960" s="186" t="n">
        <x:f>G960-H960</x:f>
        <x:v>-57259</x:v>
      </x:c>
      <x:c r="J960" s="186" t="n">
        <x:v>18459</x:v>
      </x:c>
      <x:c r="K960" s="186" t="n">
        <x:v>226388</x:v>
      </x:c>
      <x:c r="L960" s="186" t="n">
        <x:f>J960-K960</x:f>
        <x:v>-207929</x:v>
      </x:c>
      <x:c r="M960" s="186" t="n">
        <x:v>204907</x:v>
      </x:c>
      <x:c r="N960" s="186" t="n">
        <x:v>37331</x:v>
      </x:c>
      <x:c r="O960" s="186" t="n">
        <x:f>M960-N960</x:f>
        <x:v>167576</x:v>
      </x:c>
      <x:c r="P960" s="186" t="n">
        <x:v>91265</x:v>
      </x:c>
      <x:c r="Q960" s="186" t="n">
        <x:v>22741</x:v>
      </x:c>
      <x:c r="R960" s="186" t="n">
        <x:f>P960-Q960</x:f>
        <x:v>68524</x:v>
      </x:c>
      <x:c r="S960" s="186" t="n">
        <x:v>53747</x:v>
      </x:c>
      <x:c r="T960" s="186" t="n">
        <x:v>24659</x:v>
      </x:c>
      <x:c r="U960" s="186" t="n">
        <x:f>S960-T960</x:f>
        <x:v>29088</x:v>
      </x:c>
      <x:c r="V960" s="196" t="n">
        <x:f>IFERROR(O960/F960,"")</x:f>
        <x:v>0.3277603486179676</x:v>
      </x:c>
      <x:c r="W960" s="196" t="n">
        <x:f>IFERROR(I960/F960,"")</x:f>
        <x:v>-0.1119923485553791</x:v>
      </x:c>
    </x:row>
    <x:row r="961">
      <x:c r="A961" s="186" t="str">
        <x:v>Silver</x:v>
      </x:c>
      <x:c r="B961" s="187" t="n">
        <x:v>45727</x:v>
      </x:c>
      <x:c r="C961" s="187" t="n">
        <x:v>45730</x:v>
      </x:c>
      <x:c r="D961" s="186" t="str">
        <x:v>084691-SILVER</x:v>
      </x:c>
      <x:c r="E961" s="186" t="str">
        <x:v>SILVER - COMMODITY EXCHANGE INC.</x:v>
      </x:c>
      <x:c r="F961" s="186" t="n">
        <x:v>155263</x:v>
      </x:c>
      <x:c r="G961" s="186" t="n">
        <x:v>3196</x:v>
      </x:c>
      <x:c r="H961" s="186" t="n">
        <x:v>38436</x:v>
      </x:c>
      <x:c r="I961" s="186" t="n">
        <x:f>G961-H961</x:f>
        <x:v>-35240</x:v>
      </x:c>
      <x:c r="J961" s="186" t="n">
        <x:v>21925</x:v>
      </x:c>
      <x:c r="K961" s="186" t="n">
        <x:v>64041</x:v>
      </x:c>
      <x:c r="L961" s="186" t="n">
        <x:f>J961-K961</x:f>
        <x:v>-42116</x:v>
      </x:c>
      <x:c r="M961" s="186" t="n">
        <x:v>54740</x:v>
      </x:c>
      <x:c r="N961" s="186" t="n">
        <x:v>12763</x:v>
      </x:c>
      <x:c r="O961" s="186" t="n">
        <x:f>M961-N961</x:f>
        <x:v>41977</x:v>
      </x:c>
      <x:c r="P961" s="186" t="n">
        <x:v>25225</x:v>
      </x:c>
      <x:c r="Q961" s="186" t="n">
        <x:v>7676</x:v>
      </x:c>
      <x:c r="R961" s="186" t="n">
        <x:f>P961-Q961</x:f>
        <x:v>17549</x:v>
      </x:c>
      <x:c r="S961" s="186" t="n">
        <x:v>29683</x:v>
      </x:c>
      <x:c r="T961" s="186" t="n">
        <x:v>11853</x:v>
      </x:c>
      <x:c r="U961" s="186" t="n">
        <x:f>S961-T961</x:f>
        <x:v>17830</x:v>
      </x:c>
      <x:c r="V961" s="196" t="n">
        <x:f>IFERROR(O961/F961,"")</x:f>
        <x:v>0.27036061392604804</x:v>
      </x:c>
      <x:c r="W961" s="196" t="n">
        <x:f>IFERROR(I961/F961,"")</x:f>
        <x:v>-0.2269697223420905</x:v>
      </x:c>
    </x:row>
    <x:row r="962">
      <x:c r="A962" s="186" t="str">
        <x:v>Gold</x:v>
      </x:c>
      <x:c r="B962" s="187" t="n">
        <x:v>45734</x:v>
      </x:c>
      <x:c r="C962" s="187" t="n">
        <x:v>45737</x:v>
      </x:c>
      <x:c r="D962" s="186" t="str">
        <x:v>088691-GOLD</x:v>
      </x:c>
      <x:c r="E962" s="186" t="str">
        <x:v>GOLD - COMMODITY EXCHANGE INC.</x:v>
      </x:c>
      <x:c r="F962" s="186" t="n">
        <x:v>533566</x:v>
      </x:c>
      <x:c r="G962" s="186" t="n">
        <x:v>23881</x:v>
      </x:c>
      <x:c r="H962" s="186" t="n">
        <x:v>88261</x:v>
      </x:c>
      <x:c r="I962" s="186" t="n">
        <x:f>G962-H962</x:f>
        <x:v>-64380</x:v>
      </x:c>
      <x:c r="J962" s="186" t="n">
        <x:v>16899</x:v>
      </x:c>
      <x:c r="K962" s="186" t="n">
        <x:v>237687</x:v>
      </x:c>
      <x:c r="L962" s="186" t="n">
        <x:f>J962-K962</x:f>
        <x:v>-220788</x:v>
      </x:c>
      <x:c r="M962" s="186" t="n">
        <x:v>220879</x:v>
      </x:c>
      <x:c r="N962" s="186" t="n">
        <x:v>37045</x:v>
      </x:c>
      <x:c r="O962" s="186" t="n">
        <x:f>M962-N962</x:f>
        <x:v>183834</x:v>
      </x:c>
      <x:c r="P962" s="186" t="n">
        <x:v>100775</x:v>
      </x:c>
      <x:c r="Q962" s="186" t="n">
        <x:v>26677</x:v>
      </x:c>
      <x:c r="R962" s="186" t="n">
        <x:f>P962-Q962</x:f>
        <x:v>74098</x:v>
      </x:c>
      <x:c r="S962" s="186" t="n">
        <x:v>52841</x:v>
      </x:c>
      <x:c r="T962" s="186" t="n">
        <x:v>25605</x:v>
      </x:c>
      <x:c r="U962" s="186" t="n">
        <x:f>S962-T962</x:f>
        <x:v>27236</x:v>
      </x:c>
      <x:c r="V962" s="196" t="n">
        <x:f>IFERROR(O962/F962,"")</x:f>
        <x:v>0.34453844510332365</x:v>
      </x:c>
      <x:c r="W962" s="196" t="n">
        <x:f>IFERROR(I962/F962,"")</x:f>
        <x:v>-0.12065986213514354</x:v>
      </x:c>
    </x:row>
    <x:row r="963">
      <x:c r="A963" s="186" t="str">
        <x:v>Silver</x:v>
      </x:c>
      <x:c r="B963" s="187" t="n">
        <x:v>45734</x:v>
      </x:c>
      <x:c r="C963" s="187" t="n">
        <x:v>45737</x:v>
      </x:c>
      <x:c r="D963" s="186" t="str">
        <x:v>084691-SILVER</x:v>
      </x:c>
      <x:c r="E963" s="186" t="str">
        <x:v>SILVER - COMMODITY EXCHANGE INC.</x:v>
      </x:c>
      <x:c r="F963" s="186" t="n">
        <x:v>170566</x:v>
      </x:c>
      <x:c r="G963" s="186" t="n">
        <x:v>3086</x:v>
      </x:c>
      <x:c r="H963" s="186" t="n">
        <x:v>40158</x:v>
      </x:c>
      <x:c r="I963" s="186" t="n">
        <x:f>G963-H963</x:f>
        <x:v>-37072</x:v>
      </x:c>
      <x:c r="J963" s="186" t="n">
        <x:v>23043</x:v>
      </x:c>
      <x:c r="K963" s="186" t="n">
        <x:v>67626</x:v>
      </x:c>
      <x:c r="L963" s="186" t="n">
        <x:f>J963-K963</x:f>
        <x:v>-44583</x:v>
      </x:c>
      <x:c r="M963" s="186" t="n">
        <x:v>62742</x:v>
      </x:c>
      <x:c r="N963" s="186" t="n">
        <x:v>13254</x:v>
      </x:c>
      <x:c r="O963" s="186" t="n">
        <x:f>M963-N963</x:f>
        <x:v>49488</x:v>
      </x:c>
      <x:c r="P963" s="186" t="n">
        <x:v>24859</x:v>
      </x:c>
      <x:c r="Q963" s="186" t="n">
        <x:v>12049</x:v>
      </x:c>
      <x:c r="R963" s="186" t="n">
        <x:f>P963-Q963</x:f>
        <x:v>12810</x:v>
      </x:c>
      <x:c r="S963" s="186" t="n">
        <x:v>32438</x:v>
      </x:c>
      <x:c r="T963" s="186" t="n">
        <x:v>13081</x:v>
      </x:c>
      <x:c r="U963" s="186" t="n">
        <x:f>S963-T963</x:f>
        <x:v>19357</x:v>
      </x:c>
      <x:c r="V963" s="196" t="n">
        <x:f>IFERROR(O963/F963,"")</x:f>
        <x:v>0.29013988719909006</x:v>
      </x:c>
      <x:c r="W963" s="196" t="n">
        <x:f>IFERROR(I963/F963,"")</x:f>
        <x:v>-0.21734695074047583</x:v>
      </x:c>
    </x:row>
    <x:row r="964">
      <x:c r="A964" s="186" t="str">
        <x:v>Gold</x:v>
      </x:c>
      <x:c r="B964" s="187" t="n">
        <x:v>45741</x:v>
      </x:c>
      <x:c r="C964" s="187" t="n">
        <x:v>45744</x:v>
      </x:c>
      <x:c r="D964" s="186" t="str">
        <x:v>088691-GOLD</x:v>
      </x:c>
      <x:c r="E964" s="186" t="str">
        <x:v>GOLD - COMMODITY EXCHANGE INC.</x:v>
      </x:c>
      <x:c r="F964" s="186" t="n">
        <x:v>511482</x:v>
      </x:c>
      <x:c r="G964" s="186" t="n">
        <x:v>14682</x:v>
      </x:c>
      <x:c r="H964" s="186" t="n">
        <x:v>77439</x:v>
      </x:c>
      <x:c r="I964" s="186" t="n">
        <x:f>G964-H964</x:f>
        <x:v>-62757</x:v>
      </x:c>
      <x:c r="J964" s="186" t="n">
        <x:v>16248</x:v>
      </x:c>
      <x:c r="K964" s="186" t="n">
        <x:v>232089</x:v>
      </x:c>
      <x:c r="L964" s="186" t="n">
        <x:f>J964-K964</x:f>
        <x:v>-215841</x:v>
      </x:c>
      <x:c r="M964" s="186" t="n">
        <x:v>213505</x:v>
      </x:c>
      <x:c r="N964" s="186" t="n">
        <x:v>38773</x:v>
      </x:c>
      <x:c r="O964" s="186" t="n">
        <x:f>M964-N964</x:f>
        <x:v>174732</x:v>
      </x:c>
      <x:c r="P964" s="186" t="n">
        <x:v>103067</x:v>
      </x:c>
      <x:c r="Q964" s="186" t="n">
        <x:v>28003</x:v>
      </x:c>
      <x:c r="R964" s="186" t="n">
        <x:f>P964-Q964</x:f>
        <x:v>75064</x:v>
      </x:c>
      <x:c r="S964" s="186" t="n">
        <x:v>52852</x:v>
      </x:c>
      <x:c r="T964" s="186" t="n">
        <x:v>24050</x:v>
      </x:c>
      <x:c r="U964" s="186" t="n">
        <x:f>S964-T964</x:f>
        <x:v>28802</x:v>
      </x:c>
      <x:c r="V964" s="196" t="n">
        <x:f>IFERROR(O964/F964,"")</x:f>
        <x:v>0.3416190599082666</x:v>
      </x:c>
      <x:c r="W964" s="196" t="n">
        <x:f>IFERROR(I964/F964,"")</x:f>
        <x:v>-0.12269639987330933</x:v>
      </x:c>
    </x:row>
    <x:row r="965">
      <x:c r="A965" s="186" t="str">
        <x:v>Silver</x:v>
      </x:c>
      <x:c r="B965" s="187" t="n">
        <x:v>45741</x:v>
      </x:c>
      <x:c r="C965" s="187" t="n">
        <x:v>45744</x:v>
      </x:c>
      <x:c r="D965" s="186" t="str">
        <x:v>084691-SILVER</x:v>
      </x:c>
      <x:c r="E965" s="186" t="str">
        <x:v>SILVER - COMMODITY EXCHANGE INC.</x:v>
      </x:c>
      <x:c r="F965" s="186" t="n">
        <x:v>169628</x:v>
      </x:c>
      <x:c r="G965" s="186" t="n">
        <x:v>3615</x:v>
      </x:c>
      <x:c r="H965" s="186" t="n">
        <x:v>41209</x:v>
      </x:c>
      <x:c r="I965" s="186" t="n">
        <x:f>G965-H965</x:f>
        <x:v>-37594</x:v>
      </x:c>
      <x:c r="J965" s="186" t="n">
        <x:v>23378</x:v>
      </x:c>
      <x:c r="K965" s="186" t="n">
        <x:v>66489</x:v>
      </x:c>
      <x:c r="L965" s="186" t="n">
        <x:f>J965-K965</x:f>
        <x:v>-43111</x:v>
      </x:c>
      <x:c r="M965" s="186" t="n">
        <x:v>59841</x:v>
      </x:c>
      <x:c r="N965" s="186" t="n">
        <x:v>14449</x:v>
      </x:c>
      <x:c r="O965" s="186" t="n">
        <x:f>M965-N965</x:f>
        <x:v>45392</x:v>
      </x:c>
      <x:c r="P965" s="186" t="n">
        <x:v>25871</x:v>
      </x:c>
      <x:c r="Q965" s="186" t="n">
        <x:v>10313</x:v>
      </x:c>
      <x:c r="R965" s="186" t="n">
        <x:f>P965-Q965</x:f>
        <x:v>15558</x:v>
      </x:c>
      <x:c r="S965" s="186" t="n">
        <x:v>31951</x:v>
      </x:c>
      <x:c r="T965" s="186" t="n">
        <x:v>12196</x:v>
      </x:c>
      <x:c r="U965" s="186" t="n">
        <x:f>S965-T965</x:f>
        <x:v>19755</x:v>
      </x:c>
      <x:c r="V965" s="196" t="n">
        <x:f>IFERROR(O965/F965,"")</x:f>
        <x:v>0.26759733062937724</x:v>
      </x:c>
      <x:c r="W965" s="196" t="n">
        <x:f>IFERROR(I965/F965,"")</x:f>
        <x:v>-0.22162614662673616</x:v>
      </x:c>
    </x:row>
    <x:row r="966">
      <x:c r="A966" s="186" t="str">
        <x:v>Gold</x:v>
      </x:c>
      <x:c r="B966" s="187" t="n">
        <x:v>45748</x:v>
      </x:c>
      <x:c r="C966" s="187" t="n">
        <x:v>45751</x:v>
      </x:c>
      <x:c r="D966" s="186" t="str">
        <x:v>088691-GOLD</x:v>
      </x:c>
      <x:c r="E966" s="186" t="str">
        <x:v>GOLD - COMMODITY EXCHANGE INC.</x:v>
      </x:c>
      <x:c r="F966" s="186" t="n">
        <x:v>498746</x:v>
      </x:c>
      <x:c r="G966" s="186" t="n">
        <x:v>11538</x:v>
      </x:c>
      <x:c r="H966" s="186" t="n">
        <x:v>73853</x:v>
      </x:c>
      <x:c r="I966" s="186" t="n">
        <x:f>G966-H966</x:f>
        <x:v>-62315</x:v>
      </x:c>
      <x:c r="J966" s="186" t="n">
        <x:v>24256</x:v>
      </x:c>
      <x:c r="K966" s="186" t="n">
        <x:v>227002</x:v>
      </x:c>
      <x:c r="L966" s="186" t="n">
        <x:f>J966-K966</x:f>
        <x:v>-202746</x:v>
      </x:c>
      <x:c r="M966" s="186" t="n">
        <x:v>204833</x:v>
      </x:c>
      <x:c r="N966" s="186" t="n">
        <x:v>62834</x:v>
      </x:c>
      <x:c r="O966" s="186" t="n">
        <x:f>M966-N966</x:f>
        <x:v>141999</x:v>
      </x:c>
      <x:c r="P966" s="186" t="n">
        <x:v>123103</x:v>
      </x:c>
      <x:c r="Q966" s="186" t="n">
        <x:v>26668</x:v>
      </x:c>
      <x:c r="R966" s="186" t="n">
        <x:f>P966-Q966</x:f>
        <x:v>96435</x:v>
      </x:c>
      <x:c r="S966" s="186" t="n">
        <x:v>50688</x:v>
      </x:c>
      <x:c r="T966" s="186" t="n">
        <x:v>24061</x:v>
      </x:c>
      <x:c r="U966" s="186" t="n">
        <x:f>S966-T966</x:f>
        <x:v>26627</x:v>
      </x:c>
      <x:c r="V966" s="196" t="n">
        <x:f>IFERROR(O966/F966,"")</x:f>
        <x:v>0.2847120578410654</x:v>
      </x:c>
      <x:c r="W966" s="196" t="n">
        <x:f>IFERROR(I966/F966,"")</x:f>
        <x:v>-0.12494335794171783</x:v>
      </x:c>
    </x:row>
    <x:row r="967">
      <x:c r="A967" s="186" t="str">
        <x:v>Silver</x:v>
      </x:c>
      <x:c r="B967" s="187" t="n">
        <x:v>45748</x:v>
      </x:c>
      <x:c r="C967" s="187" t="n">
        <x:v>45751</x:v>
      </x:c>
      <x:c r="D967" s="186" t="str">
        <x:v>084691-SILVER</x:v>
      </x:c>
      <x:c r="E967" s="186" t="str">
        <x:v>SILVER - COMMODITY EXCHANGE INC.</x:v>
      </x:c>
      <x:c r="F967" s="186" t="n">
        <x:v>170197</x:v>
      </x:c>
      <x:c r="G967" s="186" t="n">
        <x:v>3806</x:v>
      </x:c>
      <x:c r="H967" s="186" t="n">
        <x:v>41168</x:v>
      </x:c>
      <x:c r="I967" s="186" t="n">
        <x:f>G967-H967</x:f>
        <x:v>-37362</x:v>
      </x:c>
      <x:c r="J967" s="186" t="n">
        <x:v>25099</x:v>
      </x:c>
      <x:c r="K967" s="186" t="n">
        <x:v>64142</x:v>
      </x:c>
      <x:c r="L967" s="186" t="n">
        <x:f>J967-K967</x:f>
        <x:v>-39043</x:v>
      </x:c>
      <x:c r="M967" s="186" t="n">
        <x:v>58008</x:v>
      </x:c>
      <x:c r="N967" s="186" t="n">
        <x:v>16989</x:v>
      </x:c>
      <x:c r="O967" s="186" t="n">
        <x:f>M967-N967</x:f>
        <x:v>41019</x:v>
      </x:c>
      <x:c r="P967" s="186" t="n">
        <x:v>27601</x:v>
      </x:c>
      <x:c r="Q967" s="186" t="n">
        <x:v>11362</x:v>
      </x:c>
      <x:c r="R967" s="186" t="n">
        <x:f>P967-Q967</x:f>
        <x:v>16239</x:v>
      </x:c>
      <x:c r="S967" s="186" t="n">
        <x:v>31243</x:v>
      </x:c>
      <x:c r="T967" s="186" t="n">
        <x:v>12096</x:v>
      </x:c>
      <x:c r="U967" s="186" t="n">
        <x:f>S967-T967</x:f>
        <x:v>19147</x:v>
      </x:c>
      <x:c r="V967" s="196" t="n">
        <x:f>IFERROR(O967/F967,"")</x:f>
        <x:v>0.24100894845385054</x:v>
      </x:c>
      <x:c r="W967" s="196" t="n">
        <x:f>IFERROR(I967/F967,"")</x:f>
        <x:v>-0.21952208323295946</x:v>
      </x:c>
    </x:row>
    <x:row r="968">
      <x:c r="A968" s="186" t="str">
        <x:v>Gold</x:v>
      </x:c>
      <x:c r="B968" s="187" t="n">
        <x:v>45755</x:v>
      </x:c>
      <x:c r="C968" s="187" t="n">
        <x:v>45758</x:v>
      </x:c>
      <x:c r="D968" s="186" t="str">
        <x:v>088691-GOLD</x:v>
      </x:c>
      <x:c r="E968" s="186" t="str">
        <x:v>GOLD - COMMODITY EXCHANGE INC.</x:v>
      </x:c>
      <x:c r="F968" s="186" t="n">
        <x:v>445468</x:v>
      </x:c>
      <x:c r="G968" s="186" t="n">
        <x:v>14087</x:v>
      </x:c>
      <x:c r="H968" s="186" t="n">
        <x:v>66734</x:v>
      </x:c>
      <x:c r="I968" s="186" t="n">
        <x:f>G968-H968</x:f>
        <x:v>-52647</x:v>
      </x:c>
      <x:c r="J968" s="186" t="n">
        <x:v>27128</x:v>
      </x:c>
      <x:c r="K968" s="186" t="n">
        <x:v>206664</x:v>
      </x:c>
      <x:c r="L968" s="186" t="n">
        <x:f>J968-K968</x:f>
        <x:v>-179536</x:v>
      </x:c>
      <x:c r="M968" s="186" t="n">
        <x:v>175393</x:v>
      </x:c>
      <x:c r="N968" s="186" t="n">
        <x:v>44407</x:v>
      </x:c>
      <x:c r="O968" s="186" t="n">
        <x:f>M968-N968</x:f>
        <x:v>130986</x:v>
      </x:c>
      <x:c r="P968" s="186" t="n">
        <x:v>94440</x:v>
      </x:c>
      <x:c r="Q968" s="186" t="n">
        <x:v>24711</x:v>
      </x:c>
      <x:c r="R968" s="186" t="n">
        <x:f>P968-Q968</x:f>
        <x:v>69729</x:v>
      </x:c>
      <x:c r="S968" s="186" t="n">
        <x:v>50486</x:v>
      </x:c>
      <x:c r="T968" s="186" t="n">
        <x:v>19018</x:v>
      </x:c>
      <x:c r="U968" s="186" t="n">
        <x:f>S968-T968</x:f>
        <x:v>31468</x:v>
      </x:c>
      <x:c r="V968" s="196" t="n">
        <x:f>IFERROR(O968/F968,"")</x:f>
        <x:v>0.2940413228335144</x:v>
      </x:c>
      <x:c r="W968" s="196" t="n">
        <x:f>IFERROR(I968/F968,"")</x:f>
        <x:v>-0.11818357323084935</x:v>
      </x:c>
    </x:row>
    <x:row r="969">
      <x:c r="A969" s="186" t="str">
        <x:v>Silver</x:v>
      </x:c>
      <x:c r="B969" s="187" t="n">
        <x:v>45755</x:v>
      </x:c>
      <x:c r="C969" s="187" t="n">
        <x:v>45758</x:v>
      </x:c>
      <x:c r="D969" s="186" t="str">
        <x:v>084691-SILVER</x:v>
      </x:c>
      <x:c r="E969" s="186" t="str">
        <x:v>SILVER - COMMODITY EXCHANGE INC.</x:v>
      </x:c>
      <x:c r="F969" s="186" t="n">
        <x:v>154289</x:v>
      </x:c>
      <x:c r="G969" s="186" t="n">
        <x:v>3529</x:v>
      </x:c>
      <x:c r="H969" s="186" t="n">
        <x:v>35671</x:v>
      </x:c>
      <x:c r="I969" s="186" t="n">
        <x:f>G969-H969</x:f>
        <x:v>-32142</x:v>
      </x:c>
      <x:c r="J969" s="186" t="n">
        <x:v>25249</x:v>
      </x:c>
      <x:c r="K969" s="186" t="n">
        <x:v>57129</x:v>
      </x:c>
      <x:c r="L969" s="186" t="n">
        <x:f>J969-K969</x:f>
        <x:v>-31880</x:v>
      </x:c>
      <x:c r="M969" s="186" t="n">
        <x:v>35544</x:v>
      </x:c>
      <x:c r="N969" s="186" t="n">
        <x:v>12859</x:v>
      </x:c>
      <x:c r="O969" s="186" t="n">
        <x:f>M969-N969</x:f>
        <x:v>22685</x:v>
      </x:c>
      <x:c r="P969" s="186" t="n">
        <x:v>32882</x:v>
      </x:c>
      <x:c r="Q969" s="186" t="n">
        <x:v>9051</x:v>
      </x:c>
      <x:c r="R969" s="186" t="n">
        <x:f>P969-Q969</x:f>
        <x:v>23831</x:v>
      </x:c>
      <x:c r="S969" s="186" t="n">
        <x:v>30989</x:v>
      </x:c>
      <x:c r="T969" s="186" t="n">
        <x:v>13483</x:v>
      </x:c>
      <x:c r="U969" s="186" t="n">
        <x:f>S969-T969</x:f>
        <x:v>17506</x:v>
      </x:c>
      <x:c r="V969" s="196" t="n">
        <x:f>IFERROR(O969/F969,"")</x:f>
        <x:v>0.1470292762283766</x:v>
      </x:c>
      <x:c r="W969" s="196" t="n">
        <x:f>IFERROR(I969/F969,"")</x:f>
        <x:v>-0.20832334126217683</x:v>
      </x:c>
    </x:row>
    <x:row r="970">
      <x:c r="A970" s="186" t="str">
        <x:v>Gold</x:v>
      </x:c>
      <x:c r="B970" s="187" t="n">
        <x:v>45762</x:v>
      </x:c>
      <x:c r="C970" s="187" t="n">
        <x:v>45765</x:v>
      </x:c>
      <x:c r="D970" s="186" t="str">
        <x:v>088691-GOLD</x:v>
      </x:c>
      <x:c r="E970" s="186" t="str">
        <x:v>GOLD - COMMODITY EXCHANGE INC.</x:v>
      </x:c>
      <x:c r="F970" s="186" t="n">
        <x:v>456628</x:v>
      </x:c>
      <x:c r="G970" s="186" t="n">
        <x:v>14214</x:v>
      </x:c>
      <x:c r="H970" s="186" t="n">
        <x:v>65819</x:v>
      </x:c>
      <x:c r="I970" s="186" t="n">
        <x:f>G970-H970</x:f>
        <x:v>-51605</x:v>
      </x:c>
      <x:c r="J970" s="186" t="n">
        <x:v>29121</x:v>
      </x:c>
      <x:c r="K970" s="186" t="n">
        <x:v>209428</x:v>
      </x:c>
      <x:c r="L970" s="186" t="n">
        <x:f>J970-K970</x:f>
        <x:v>-180307</x:v>
      </x:c>
      <x:c r="M970" s="186" t="n">
        <x:v>168400</x:v>
      </x:c>
      <x:c r="N970" s="186" t="n">
        <x:v>43546</x:v>
      </x:c>
      <x:c r="O970" s="186" t="n">
        <x:f>M970-N970</x:f>
        <x:v>124854</x:v>
      </x:c>
      <x:c r="P970" s="186" t="n">
        <x:v>103307</x:v>
      </x:c>
      <x:c r="Q970" s="186" t="n">
        <x:v>25951</x:v>
      </x:c>
      <x:c r="R970" s="186" t="n">
        <x:f>P970-Q970</x:f>
        <x:v>77356</x:v>
      </x:c>
      <x:c r="S970" s="186" t="n">
        <x:v>51349</x:v>
      </x:c>
      <x:c r="T970" s="186" t="n">
        <x:v>21647</x:v>
      </x:c>
      <x:c r="U970" s="186" t="n">
        <x:f>S970-T970</x:f>
        <x:v>29702</x:v>
      </x:c>
      <x:c r="V970" s="196" t="n">
        <x:f>IFERROR(O970/F970,"")</x:f>
        <x:v>0.27342607111259054</x:v>
      </x:c>
      <x:c r="W970" s="196" t="n">
        <x:f>IFERROR(I970/F970,"")</x:f>
        <x:v>-0.11301321863749048</x:v>
      </x:c>
    </x:row>
    <x:row r="971">
      <x:c r="A971" s="186" t="str">
        <x:v>Silver</x:v>
      </x:c>
      <x:c r="B971" s="187" t="n">
        <x:v>45762</x:v>
      </x:c>
      <x:c r="C971" s="187" t="n">
        <x:v>45765</x:v>
      </x:c>
      <x:c r="D971" s="186" t="str">
        <x:v>084691-SILVER</x:v>
      </x:c>
      <x:c r="E971" s="186" t="str">
        <x:v>SILVER - COMMODITY EXCHANGE INC.</x:v>
      </x:c>
      <x:c r="F971" s="186" t="n">
        <x:v>144400</x:v>
      </x:c>
      <x:c r="G971" s="186" t="n">
        <x:v>4176</x:v>
      </x:c>
      <x:c r="H971" s="186" t="n">
        <x:v>36403</x:v>
      </x:c>
      <x:c r="I971" s="186" t="n">
        <x:f>G971-H971</x:f>
        <x:v>-32227</x:v>
      </x:c>
      <x:c r="J971" s="186" t="n">
        <x:v>25575</x:v>
      </x:c>
      <x:c r="K971" s="186" t="n">
        <x:v>56098</x:v>
      </x:c>
      <x:c r="L971" s="186" t="n">
        <x:f>J971-K971</x:f>
        <x:v>-30523</x:v>
      </x:c>
      <x:c r="M971" s="186" t="n">
        <x:v>35877</x:v>
      </x:c>
      <x:c r="N971" s="186" t="n">
        <x:v>12325</x:v>
      </x:c>
      <x:c r="O971" s="186" t="n">
        <x:f>M971-N971</x:f>
        <x:v>23552</x:v>
      </x:c>
      <x:c r="P971" s="186" t="n">
        <x:v>29191</x:v>
      </x:c>
      <x:c r="Q971" s="186" t="n">
        <x:v>8794</x:v>
      </x:c>
      <x:c r="R971" s="186" t="n">
        <x:f>P971-Q971</x:f>
        <x:v>20397</x:v>
      </x:c>
      <x:c r="S971" s="186" t="n">
        <x:v>29370</x:v>
      </x:c>
      <x:c r="T971" s="186" t="n">
        <x:v>10569</x:v>
      </x:c>
      <x:c r="U971" s="186" t="n">
        <x:f>S971-T971</x:f>
        <x:v>18801</x:v>
      </x:c>
      <x:c r="V971" s="196" t="n">
        <x:f>IFERROR(O971/F971,"")</x:f>
        <x:v>0.16310249307479224</x:v>
      </x:c>
      <x:c r="W971" s="196" t="n">
        <x:f>IFERROR(I971/F971,"")</x:f>
        <x:v>-0.2231786703601108</x:v>
      </x:c>
    </x:row>
    <x:row r="972">
      <x:c r="A972" s="186" t="str">
        <x:v>Gold</x:v>
      </x:c>
      <x:c r="B972" s="187" t="n">
        <x:v>45769</x:v>
      </x:c>
      <x:c r="C972" s="187" t="n">
        <x:v>45772</x:v>
      </x:c>
      <x:c r="D972" s="186" t="str">
        <x:v>088691-GOLD</x:v>
      </x:c>
      <x:c r="E972" s="186" t="str">
        <x:v>GOLD - COMMODITY EXCHANGE INC.</x:v>
      </x:c>
      <x:c r="F972" s="186" t="n">
        <x:v>465351</x:v>
      </x:c>
      <x:c r="G972" s="186" t="n">
        <x:v>18110</x:v>
      </x:c>
      <x:c r="H972" s="186" t="n">
        <x:v>63420</x:v>
      </x:c>
      <x:c r="I972" s="186" t="n">
        <x:f>G972-H972</x:f>
        <x:v>-45310</x:v>
      </x:c>
      <x:c r="J972" s="186" t="n">
        <x:v>37696</x:v>
      </x:c>
      <x:c r="K972" s="186" t="n">
        <x:v>194654</x:v>
      </x:c>
      <x:c r="L972" s="186" t="n">
        <x:f>J972-K972</x:f>
        <x:v>-156958</x:v>
      </x:c>
      <x:c r="M972" s="186" t="n">
        <x:v>166360</x:v>
      </x:c>
      <x:c r="N972" s="186" t="n">
        <x:v>45458</x:v>
      </x:c>
      <x:c r="O972" s="186" t="n">
        <x:f>M972-N972</x:f>
        <x:v>120902</x:v>
      </x:c>
      <x:c r="P972" s="186" t="n">
        <x:v>92536</x:v>
      </x:c>
      <x:c r="Q972" s="186" t="n">
        <x:v>38060</x:v>
      </x:c>
      <x:c r="R972" s="186" t="n">
        <x:f>P972-Q972</x:f>
        <x:v>54476</x:v>
      </x:c>
      <x:c r="S972" s="186" t="n">
        <x:v>50904</x:v>
      </x:c>
      <x:c r="T972" s="186" t="n">
        <x:v>24014</x:v>
      </x:c>
      <x:c r="U972" s="186" t="n">
        <x:f>S972-T972</x:f>
        <x:v>26890</x:v>
      </x:c>
      <x:c r="V972" s="196" t="n">
        <x:f>IFERROR(O972/F972,"")</x:f>
        <x:v>0.2598081877980277</x:v>
      </x:c>
      <x:c r="W972" s="196" t="n">
        <x:f>IFERROR(I972/F972,"")</x:f>
        <x:v>-0.09736736355997945</x:v>
      </x:c>
    </x:row>
    <x:row r="973">
      <x:c r="A973" s="186" t="str">
        <x:v>Silver</x:v>
      </x:c>
      <x:c r="B973" s="187" t="n">
        <x:v>45769</x:v>
      </x:c>
      <x:c r="C973" s="187" t="n">
        <x:v>45772</x:v>
      </x:c>
      <x:c r="D973" s="186" t="str">
        <x:v>084691-SILVER</x:v>
      </x:c>
      <x:c r="E973" s="186" t="str">
        <x:v>SILVER - COMMODITY EXCHANGE INC.</x:v>
      </x:c>
      <x:c r="F973" s="186" t="n">
        <x:v>146923</x:v>
      </x:c>
      <x:c r="G973" s="186" t="n">
        <x:v>4857</x:v>
      </x:c>
      <x:c r="H973" s="186" t="n">
        <x:v>35784</x:v>
      </x:c>
      <x:c r="I973" s="186" t="n">
        <x:f>G973-H973</x:f>
        <x:v>-30927</x:v>
      </x:c>
      <x:c r="J973" s="186" t="n">
        <x:v>25158</x:v>
      </x:c>
      <x:c r="K973" s="186" t="n">
        <x:v>58605</x:v>
      </x:c>
      <x:c r="L973" s="186" t="n">
        <x:f>J973-K973</x:f>
        <x:v>-33447</x:v>
      </x:c>
      <x:c r="M973" s="186" t="n">
        <x:v>36905</x:v>
      </x:c>
      <x:c r="N973" s="186" t="n">
        <x:v>11014</x:v>
      </x:c>
      <x:c r="O973" s="186" t="n">
        <x:f>M973-N973</x:f>
        <x:v>25891</x:v>
      </x:c>
      <x:c r="P973" s="186" t="n">
        <x:v>27788</x:v>
      </x:c>
      <x:c r="Q973" s="186" t="n">
        <x:v>8953</x:v>
      </x:c>
      <x:c r="R973" s="186" t="n">
        <x:f>P973-Q973</x:f>
        <x:v>18835</x:v>
      </x:c>
      <x:c r="S973" s="186" t="n">
        <x:v>29975</x:v>
      </x:c>
      <x:c r="T973" s="186" t="n">
        <x:v>10327</x:v>
      </x:c>
      <x:c r="U973" s="186" t="n">
        <x:f>S973-T973</x:f>
        <x:v>19648</x:v>
      </x:c>
      <x:c r="V973" s="196" t="n">
        <x:f>IFERROR(O973/F973,"")</x:f>
        <x:v>0.17622155823118232</x:v>
      </x:c>
      <x:c r="W973" s="196" t="n">
        <x:f>IFERROR(I973/F973,"")</x:f>
        <x:v>-0.21049801596754764</x:v>
      </x:c>
    </x:row>
    <x:row r="974">
      <x:c r="A974" s="186" t="str">
        <x:v>Gold</x:v>
      </x:c>
      <x:c r="B974" s="187" t="n">
        <x:v>45776</x:v>
      </x:c>
      <x:c r="C974" s="187" t="n">
        <x:v>45779</x:v>
      </x:c>
      <x:c r="D974" s="186" t="str">
        <x:v>088691-GOLD</x:v>
      </x:c>
      <x:c r="E974" s="186" t="str">
        <x:v>GOLD - COMMODITY EXCHANGE INC.</x:v>
      </x:c>
      <x:c r="F974" s="186" t="n">
        <x:v>451868</x:v>
      </x:c>
      <x:c r="G974" s="186" t="n">
        <x:v>17714</x:v>
      </x:c>
      <x:c r="H974" s="186" t="n">
        <x:v>62788</x:v>
      </x:c>
      <x:c r="I974" s="186" t="n">
        <x:f>G974-H974</x:f>
        <x:v>-45074</x:v>
      </x:c>
      <x:c r="J974" s="186" t="n">
        <x:v>34475</x:v>
      </x:c>
      <x:c r="K974" s="186" t="n">
        <x:v>180162</x:v>
      </x:c>
      <x:c r="L974" s="186" t="n">
        <x:f>J974-K974</x:f>
        <x:v>-145687</x:v>
      </x:c>
      <x:c r="M974" s="186" t="n">
        <x:v>150715</x:v>
      </x:c>
      <x:c r="N974" s="186" t="n">
        <x:v>44820</x:v>
      </x:c>
      <x:c r="O974" s="186" t="n">
        <x:f>M974-N974</x:f>
        <x:v>105895</x:v>
      </x:c>
      <x:c r="P974" s="186" t="n">
        <x:v>89662</x:v>
      </x:c>
      <x:c r="Q974" s="186" t="n">
        <x:v>32239</x:v>
      </x:c>
      <x:c r="R974" s="186" t="n">
        <x:f>P974-Q974</x:f>
        <x:v>57423</x:v>
      </x:c>
      <x:c r="S974" s="186" t="n">
        <x:v>50675</x:v>
      </x:c>
      <x:c r="T974" s="186" t="n">
        <x:v>23232</x:v>
      </x:c>
      <x:c r="U974" s="186" t="n">
        <x:f>S974-T974</x:f>
        <x:v>27443</x:v>
      </x:c>
      <x:c r="V974" s="196" t="n">
        <x:f>IFERROR(O974/F974,"")</x:f>
        <x:v>0.23434941177512017</x:v>
      </x:c>
      <x:c r="W974" s="196" t="n">
        <x:f>IFERROR(I974/F974,"")</x:f>
        <x:v>-0.0997503695769561</x:v>
      </x:c>
    </x:row>
    <x:row r="975">
      <x:c r="A975" s="186" t="str">
        <x:v>Silver</x:v>
      </x:c>
      <x:c r="B975" s="187" t="n">
        <x:v>45776</x:v>
      </x:c>
      <x:c r="C975" s="187" t="n">
        <x:v>45779</x:v>
      </x:c>
      <x:c r="D975" s="186" t="str">
        <x:v>084691-SILVER</x:v>
      </x:c>
      <x:c r="E975" s="186" t="str">
        <x:v>SILVER - COMMODITY EXCHANGE INC.</x:v>
      </x:c>
      <x:c r="F975" s="186" t="n">
        <x:v>152669</x:v>
      </x:c>
      <x:c r="G975" s="186" t="n">
        <x:v>6334</x:v>
      </x:c>
      <x:c r="H975" s="186" t="n">
        <x:v>37333</x:v>
      </x:c>
      <x:c r="I975" s="186" t="n">
        <x:f>G975-H975</x:f>
        <x:v>-30999</x:v>
      </x:c>
      <x:c r="J975" s="186" t="n">
        <x:v>24066</x:v>
      </x:c>
      <x:c r="K975" s="186" t="n">
        <x:v>62331</x:v>
      </x:c>
      <x:c r="L975" s="186" t="n">
        <x:f>J975-K975</x:f>
        <x:v>-38265</x:v>
      </x:c>
      <x:c r="M975" s="186" t="n">
        <x:v>42324</x:v>
      </x:c>
      <x:c r="N975" s="186" t="n">
        <x:v>11586</x:v>
      </x:c>
      <x:c r="O975" s="186" t="n">
        <x:f>M975-N975</x:f>
        <x:v>30738</x:v>
      </x:c>
      <x:c r="P975" s="186" t="n">
        <x:v>27975</x:v>
      </x:c>
      <x:c r="Q975" s="186" t="n">
        <x:v>8770</x:v>
      </x:c>
      <x:c r="R975" s="186" t="n">
        <x:f>P975-Q975</x:f>
        <x:v>19205</x:v>
      </x:c>
      <x:c r="S975" s="186" t="n">
        <x:v>28535</x:v>
      </x:c>
      <x:c r="T975" s="186" t="n">
        <x:v>9214</x:v>
      </x:c>
      <x:c r="U975" s="186" t="n">
        <x:f>S975-T975</x:f>
        <x:v>19321</x:v>
      </x:c>
      <x:c r="V975" s="196" t="n">
        <x:f>IFERROR(O975/F975,"")</x:f>
        <x:v>0.20133753414249128</x:v>
      </x:c>
      <x:c r="W975" s="196" t="n">
        <x:f>IFERROR(I975/F975,"")</x:f>
        <x:v>-0.20304711500042577</x:v>
      </x:c>
    </x:row>
    <x:row r="976">
      <x:c r="A976" s="186" t="str">
        <x:v>Gold</x:v>
      </x:c>
      <x:c r="B976" s="187" t="n">
        <x:v>45783</x:v>
      </x:c>
      <x:c r="C976" s="187" t="n">
        <x:v>45786</x:v>
      </x:c>
      <x:c r="D976" s="186" t="str">
        <x:v>088691-GOLD</x:v>
      </x:c>
      <x:c r="E976" s="186" t="str">
        <x:v>GOLD - COMMODITY EXCHANGE INC.</x:v>
      </x:c>
      <x:c r="F976" s="186" t="n">
        <x:v>452414</x:v>
      </x:c>
      <x:c r="G976" s="186" t="n">
        <x:v>17705</x:v>
      </x:c>
      <x:c r="H976" s="186" t="n">
        <x:v>62990</x:v>
      </x:c>
      <x:c r="I976" s="186" t="n">
        <x:f>G976-H976</x:f>
        <x:v>-45285</x:v>
      </x:c>
      <x:c r="J976" s="186" t="n">
        <x:v>37106</x:v>
      </x:c>
      <x:c r="K976" s="186" t="n">
        <x:v>183924</x:v>
      </x:c>
      <x:c r="L976" s="186" t="n">
        <x:f>J976-K976</x:f>
        <x:v>-146818</x:v>
      </x:c>
      <x:c r="M976" s="186" t="n">
        <x:v>144383</x:v>
      </x:c>
      <x:c r="N976" s="186" t="n">
        <x:v>42292</x:v>
      </x:c>
      <x:c r="O976" s="186" t="n">
        <x:f>M976-N976</x:f>
        <x:v>102091</x:v>
      </x:c>
      <x:c r="P976" s="186" t="n">
        <x:v>93062</x:v>
      </x:c>
      <x:c r="Q976" s="186" t="n">
        <x:v>32656</x:v>
      </x:c>
      <x:c r="R976" s="186" t="n">
        <x:f>P976-Q976</x:f>
        <x:v>60406</x:v>
      </x:c>
      <x:c r="S976" s="186" t="n">
        <x:v>52632</x:v>
      </x:c>
      <x:c r="T976" s="186" t="n">
        <x:v>23026</x:v>
      </x:c>
      <x:c r="U976" s="186" t="n">
        <x:f>S976-T976</x:f>
        <x:v>29606</x:v>
      </x:c>
      <x:c r="V976" s="196" t="n">
        <x:f>IFERROR(O976/F976,"")</x:f>
        <x:v>0.22565835716843421</x:v>
      </x:c>
      <x:c r="W976" s="196" t="n">
        <x:f>IFERROR(I976/F976,"")</x:f>
        <x:v>-0.100096371907147</x:v>
      </x:c>
    </x:row>
    <x:row r="977">
      <x:c r="A977" s="186" t="str">
        <x:v>Silver</x:v>
      </x:c>
      <x:c r="B977" s="187" t="n">
        <x:v>45783</x:v>
      </x:c>
      <x:c r="C977" s="187" t="n">
        <x:v>45786</x:v>
      </x:c>
      <x:c r="D977" s="186" t="str">
        <x:v>084691-SILVER</x:v>
      </x:c>
      <x:c r="E977" s="186" t="str">
        <x:v>SILVER - COMMODITY EXCHANGE INC.</x:v>
      </x:c>
      <x:c r="F977" s="186" t="n">
        <x:v>140261</x:v>
      </x:c>
      <x:c r="G977" s="186" t="n">
        <x:v>3370</x:v>
      </x:c>
      <x:c r="H977" s="186" t="n">
        <x:v>34069</x:v>
      </x:c>
      <x:c r="I977" s="186" t="n">
        <x:f>G977-H977</x:f>
        <x:v>-30699</x:v>
      </x:c>
      <x:c r="J977" s="186" t="n">
        <x:v>24951</x:v>
      </x:c>
      <x:c r="K977" s="186" t="n">
        <x:v>62055</x:v>
      </x:c>
      <x:c r="L977" s="186" t="n">
        <x:f>J977-K977</x:f>
        <x:v>-37104</x:v>
      </x:c>
      <x:c r="M977" s="186" t="n">
        <x:v>43606</x:v>
      </x:c>
      <x:c r="N977" s="186" t="n">
        <x:v>13724</x:v>
      </x:c>
      <x:c r="O977" s="186" t="n">
        <x:f>M977-N977</x:f>
        <x:v>29882</x:v>
      </x:c>
      <x:c r="P977" s="186" t="n">
        <x:v>26729</x:v>
      </x:c>
      <x:c r="Q977" s="186" t="n">
        <x:v>7359</x:v>
      </x:c>
      <x:c r="R977" s="186" t="n">
        <x:f>P977-Q977</x:f>
        <x:v>19370</x:v>
      </x:c>
      <x:c r="S977" s="186" t="n">
        <x:v>27737</x:v>
      </x:c>
      <x:c r="T977" s="186" t="n">
        <x:v>9186</x:v>
      </x:c>
      <x:c r="U977" s="186" t="n">
        <x:f>S977-T977</x:f>
        <x:v>18551</x:v>
      </x:c>
      <x:c r="V977" s="196" t="n">
        <x:f>IFERROR(O977/F977,"")</x:f>
        <x:v>0.2130456791267708</x:v>
      </x:c>
      <x:c r="W977" s="196" t="n">
        <x:f>IFERROR(I977/F977,"")</x:f>
        <x:v>-0.21887053421835007</x:v>
      </x:c>
    </x:row>
    <x:row r="978">
      <x:c r="A978" s="186" t="str">
        <x:v>Gold</x:v>
      </x:c>
      <x:c r="B978" s="187" t="n">
        <x:v>45790</x:v>
      </x:c>
      <x:c r="C978" s="187" t="n">
        <x:v>45793</x:v>
      </x:c>
      <x:c r="D978" s="186" t="str">
        <x:v>088691-GOLD</x:v>
      </x:c>
      <x:c r="E978" s="186" t="str">
        <x:v>GOLD - COMMODITY EXCHANGE INC.</x:v>
      </x:c>
      <x:c r="F978" s="186" t="n">
        <x:v>440842</x:v>
      </x:c>
      <x:c r="G978" s="186" t="n">
        <x:v>17651</x:v>
      </x:c>
      <x:c r="H978" s="186" t="n">
        <x:v>59184</x:v>
      </x:c>
      <x:c r="I978" s="186" t="n">
        <x:f>G978-H978</x:f>
        <x:v>-41533</x:v>
      </x:c>
      <x:c r="J978" s="186" t="n">
        <x:v>33350</x:v>
      </x:c>
      <x:c r="K978" s="186" t="n">
        <x:v>183024</x:v>
      </x:c>
      <x:c r="L978" s="186" t="n">
        <x:f>J978-K978</x:f>
        <x:v>-149674</x:v>
      </x:c>
      <x:c r="M978" s="186" t="n">
        <x:v>144410</x:v>
      </x:c>
      <x:c r="N978" s="186" t="n">
        <x:v>43183</x:v>
      </x:c>
      <x:c r="O978" s="186" t="n">
        <x:f>M978-N978</x:f>
        <x:v>101227</x:v>
      </x:c>
      <x:c r="P978" s="186" t="n">
        <x:v>93781</x:v>
      </x:c>
      <x:c r="Q978" s="186" t="n">
        <x:v>33799</x:v>
      </x:c>
      <x:c r="R978" s="186" t="n">
        <x:f>P978-Q978</x:f>
        <x:v>59982</x:v>
      </x:c>
      <x:c r="S978" s="186" t="n">
        <x:v>51570</x:v>
      </x:c>
      <x:c r="T978" s="186" t="n">
        <x:v>21572</x:v>
      </x:c>
      <x:c r="U978" s="186" t="n">
        <x:f>S978-T978</x:f>
        <x:v>29998</x:v>
      </x:c>
      <x:c r="V978" s="196" t="n">
        <x:f>IFERROR(O978/F978,"")</x:f>
        <x:v>0.2296219507215737</x:v>
      </x:c>
      <x:c r="W978" s="196" t="n">
        <x:f>IFERROR(I978/F978,"")</x:f>
        <x:v>-0.09421289260097722</x:v>
      </x:c>
    </x:row>
    <x:row r="979">
      <x:c r="A979" s="186" t="str">
        <x:v>Silver</x:v>
      </x:c>
      <x:c r="B979" s="187" t="n">
        <x:v>45790</x:v>
      </x:c>
      <x:c r="C979" s="187" t="n">
        <x:v>45793</x:v>
      </x:c>
      <x:c r="D979" s="186" t="str">
        <x:v>084691-SILVER</x:v>
      </x:c>
      <x:c r="E979" s="186" t="str">
        <x:v>SILVER - COMMODITY EXCHANGE INC.</x:v>
      </x:c>
      <x:c r="F979" s="186" t="n">
        <x:v>138262</x:v>
      </x:c>
      <x:c r="G979" s="186" t="n">
        <x:v>3795</x:v>
      </x:c>
      <x:c r="H979" s="186" t="n">
        <x:v>34242</x:v>
      </x:c>
      <x:c r="I979" s="186" t="n">
        <x:f>G979-H979</x:f>
        <x:v>-30447</x:v>
      </x:c>
      <x:c r="J979" s="186" t="n">
        <x:v>25456</x:v>
      </x:c>
      <x:c r="K979" s="186" t="n">
        <x:v>61189</x:v>
      </x:c>
      <x:c r="L979" s="186" t="n">
        <x:f>J979-K979</x:f>
        <x:v>-35733</x:v>
      </x:c>
      <x:c r="M979" s="186" t="n">
        <x:v>43522</x:v>
      </x:c>
      <x:c r="N979" s="186" t="n">
        <x:v>15189</x:v>
      </x:c>
      <x:c r="O979" s="186" t="n">
        <x:f>M979-N979</x:f>
        <x:v>28333</x:v>
      </x:c>
      <x:c r="P979" s="186" t="n">
        <x:v>24422</x:v>
      </x:c>
      <x:c r="Q979" s="186" t="n">
        <x:v>5001</x:v>
      </x:c>
      <x:c r="R979" s="186" t="n">
        <x:f>P979-Q979</x:f>
        <x:v>19421</x:v>
      </x:c>
      <x:c r="S979" s="186" t="n">
        <x:v>27520</x:v>
      </x:c>
      <x:c r="T979" s="186" t="n">
        <x:v>9094</x:v>
      </x:c>
      <x:c r="U979" s="186" t="n">
        <x:f>S979-T979</x:f>
        <x:v>18426</x:v>
      </x:c>
      <x:c r="V979" s="196" t="n">
        <x:f>IFERROR(O979/F979,"")</x:f>
        <x:v>0.20492253836918314</x:v>
      </x:c>
      <x:c r="W979" s="196" t="n">
        <x:f>IFERROR(I979/F979,"")</x:f>
        <x:v>-0.2202123504650591</x:v>
      </x:c>
    </x:row>
    <x:row r="980">
      <x:c r="A980" s="186" t="str">
        <x:v>Gold</x:v>
      </x:c>
      <x:c r="B980" s="187" t="n">
        <x:v>45797</x:v>
      </x:c>
      <x:c r="C980" s="187" t="n">
        <x:v>45800</x:v>
      </x:c>
      <x:c r="D980" s="186" t="str">
        <x:v>088691-GOLD</x:v>
      </x:c>
      <x:c r="E980" s="186" t="str">
        <x:v>GOLD - COMMODITY EXCHANGE INC.</x:v>
      </x:c>
      <x:c r="F980" s="186" t="n">
        <x:v>448000</x:v>
      </x:c>
      <x:c r="G980" s="186" t="n">
        <x:v>20202</x:v>
      </x:c>
      <x:c r="H980" s="186" t="n">
        <x:v>59019</x:v>
      </x:c>
      <x:c r="I980" s="186" t="n">
        <x:f>G980-H980</x:f>
        <x:v>-38817</x:v>
      </x:c>
      <x:c r="J980" s="186" t="n">
        <x:v>34444</x:v>
      </x:c>
      <x:c r="K980" s="186" t="n">
        <x:v>193275</x:v>
      </x:c>
      <x:c r="L980" s="186" t="n">
        <x:f>J980-K980</x:f>
        <x:v>-158831</x:v>
      </x:c>
      <x:c r="M980" s="186" t="n">
        <x:v>149149</x:v>
      </x:c>
      <x:c r="N980" s="186" t="n">
        <x:v>41520</x:v>
      </x:c>
      <x:c r="O980" s="186" t="n">
        <x:f>M980-N980</x:f>
        <x:v>107629</x:v>
      </x:c>
      <x:c r="P980" s="186" t="n">
        <x:v>88913</x:v>
      </x:c>
      <x:c r="Q980" s="186" t="n">
        <x:v>32561</x:v>
      </x:c>
      <x:c r="R980" s="186" t="n">
        <x:f>P980-Q980</x:f>
        <x:v>56352</x:v>
      </x:c>
      <x:c r="S980" s="186" t="n">
        <x:v>54053</x:v>
      </x:c>
      <x:c r="T980" s="186" t="n">
        <x:v>20386</x:v>
      </x:c>
      <x:c r="U980" s="186" t="n">
        <x:f>S980-T980</x:f>
        <x:v>33667</x:v>
      </x:c>
      <x:c r="V980" s="196" t="n">
        <x:f>IFERROR(O980/F980,"")</x:f>
        <x:v>0.24024330357142856</x:v>
      </x:c>
      <x:c r="W980" s="196" t="n">
        <x:f>IFERROR(I980/F980,"")</x:f>
        <x:v>-0.08664508928571428</x:v>
      </x:c>
    </x:row>
    <x:row r="981">
      <x:c r="A981" s="186" t="str">
        <x:v>Silver</x:v>
      </x:c>
      <x:c r="B981" s="187" t="n">
        <x:v>45797</x:v>
      </x:c>
      <x:c r="C981" s="187" t="n">
        <x:v>45800</x:v>
      </x:c>
      <x:c r="D981" s="186" t="str">
        <x:v>084691-SILVER</x:v>
      </x:c>
      <x:c r="E981" s="186" t="str">
        <x:v>SILVER - COMMODITY EXCHANGE INC.</x:v>
      </x:c>
      <x:c r="F981" s="186" t="n">
        <x:v>141451</x:v>
      </x:c>
      <x:c r="G981" s="186" t="n">
        <x:v>3792</x:v>
      </x:c>
      <x:c r="H981" s="186" t="n">
        <x:v>34584</x:v>
      </x:c>
      <x:c r="I981" s="186" t="n">
        <x:f>G981-H981</x:f>
        <x:v>-30792</x:v>
      </x:c>
      <x:c r="J981" s="186" t="n">
        <x:v>25592</x:v>
      </x:c>
      <x:c r="K981" s="186" t="n">
        <x:v>61579</x:v>
      </x:c>
      <x:c r="L981" s="186" t="n">
        <x:f>J981-K981</x:f>
        <x:v>-35987</x:v>
      </x:c>
      <x:c r="M981" s="186" t="n">
        <x:v>45696</x:v>
      </x:c>
      <x:c r="N981" s="186" t="n">
        <x:v>15251</x:v>
      </x:c>
      <x:c r="O981" s="186" t="n">
        <x:f>M981-N981</x:f>
        <x:v>30445</x:v>
      </x:c>
      <x:c r="P981" s="186" t="n">
        <x:v>25195</x:v>
      </x:c>
      <x:c r="Q981" s="186" t="n">
        <x:v>5598</x:v>
      </x:c>
      <x:c r="R981" s="186" t="n">
        <x:f>P981-Q981</x:f>
        <x:v>19597</x:v>
      </x:c>
      <x:c r="S981" s="186" t="n">
        <x:v>26826</x:v>
      </x:c>
      <x:c r="T981" s="186" t="n">
        <x:v>10089</x:v>
      </x:c>
      <x:c r="U981" s="186" t="n">
        <x:f>S981-T981</x:f>
        <x:v>16737</x:v>
      </x:c>
      <x:c r="V981" s="196" t="n">
        <x:f>IFERROR(O981/F981,"")</x:f>
        <x:v>0.21523354377134132</x:v>
      </x:c>
      <x:c r="W981" s="196" t="n">
        <x:f>IFERROR(I981/F981,"")</x:f>
        <x:v>-0.2176866900905614</x:v>
      </x:c>
    </x:row>
    <x:row r="982">
      <x:c r="A982" s="186" t="str">
        <x:v>Gold</x:v>
      </x:c>
      <x:c r="B982" s="187" t="n">
        <x:v>45804</x:v>
      </x:c>
      <x:c r="C982" s="187" t="n">
        <x:v>45807</x:v>
      </x:c>
      <x:c r="D982" s="186" t="str">
        <x:v>088691-GOLD</x:v>
      </x:c>
      <x:c r="E982" s="186" t="str">
        <x:v>GOLD - COMMODITY EXCHANGE INC.</x:v>
      </x:c>
      <x:c r="F982" s="186" t="n">
        <x:v>437538</x:v>
      </x:c>
      <x:c r="G982" s="186" t="n">
        <x:v>15935</x:v>
      </x:c>
      <x:c r="H982" s="186" t="n">
        <x:v>62127</x:v>
      </x:c>
      <x:c r="I982" s="186" t="n">
        <x:f>G982-H982</x:f>
        <x:v>-46192</x:v>
      </x:c>
      <x:c r="J982" s="186" t="n">
        <x:v>39356</x:v>
      </x:c>
      <x:c r="K982" s="186" t="n">
        <x:v>200751</x:v>
      </x:c>
      <x:c r="L982" s="186" t="n">
        <x:f>J982-K982</x:f>
        <x:v>-161395</x:v>
      </x:c>
      <x:c r="M982" s="186" t="n">
        <x:v>147502</x:v>
      </x:c>
      <x:c r="N982" s="186" t="n">
        <x:v>36686</x:v>
      </x:c>
      <x:c r="O982" s="186" t="n">
        <x:f>M982-N982</x:f>
        <x:v>110816</x:v>
      </x:c>
      <x:c r="P982" s="186" t="n">
        <x:v>86585</x:v>
      </x:c>
      <x:c r="Q982" s="186" t="n">
        <x:v>23217</x:v>
      </x:c>
      <x:c r="R982" s="186" t="n">
        <x:f>P982-Q982</x:f>
        <x:v>63368</x:v>
      </x:c>
      <x:c r="S982" s="186" t="n">
        <x:v>56541</x:v>
      </x:c>
      <x:c r="T982" s="186" t="n">
        <x:v>23138</x:v>
      </x:c>
      <x:c r="U982" s="186" t="n">
        <x:f>S982-T982</x:f>
        <x:v>33403</x:v>
      </x:c>
      <x:c r="V982" s="196" t="n">
        <x:f>IFERROR(O982/F982,"")</x:f>
        <x:v>0.2532717158281109</x:v>
      </x:c>
      <x:c r="W982" s="196" t="n">
        <x:f>IFERROR(I982/F982,"")</x:f>
        <x:v>-0.10557254455612998</x:v>
      </x:c>
    </x:row>
    <x:row r="983">
      <x:c r="A983" s="186" t="str">
        <x:v>Silver</x:v>
      </x:c>
      <x:c r="B983" s="187" t="n">
        <x:v>45804</x:v>
      </x:c>
      <x:c r="C983" s="187" t="n">
        <x:v>45807</x:v>
      </x:c>
      <x:c r="D983" s="186" t="str">
        <x:v>084691-SILVER</x:v>
      </x:c>
      <x:c r="E983" s="186" t="str">
        <x:v>SILVER - COMMODITY EXCHANGE INC.</x:v>
      </x:c>
      <x:c r="F983" s="186" t="n">
        <x:v>147555</x:v>
      </x:c>
      <x:c r="G983" s="186" t="n">
        <x:v>3658</x:v>
      </x:c>
      <x:c r="H983" s="186" t="n">
        <x:v>34960</x:v>
      </x:c>
      <x:c r="I983" s="186" t="n">
        <x:f>G983-H983</x:f>
        <x:v>-31302</x:v>
      </x:c>
      <x:c r="J983" s="186" t="n">
        <x:v>25616</x:v>
      </x:c>
      <x:c r="K983" s="186" t="n">
        <x:v>64591</x:v>
      </x:c>
      <x:c r="L983" s="186" t="n">
        <x:f>J983-K983</x:f>
        <x:v>-38975</x:v>
      </x:c>
      <x:c r="M983" s="186" t="n">
        <x:v>48645</x:v>
      </x:c>
      <x:c r="N983" s="186" t="n">
        <x:v>15433</x:v>
      </x:c>
      <x:c r="O983" s="186" t="n">
        <x:f>M983-N983</x:f>
        <x:v>33212</x:v>
      </x:c>
      <x:c r="P983" s="186" t="n">
        <x:v>24595</x:v>
      </x:c>
      <x:c r="Q983" s="186" t="n">
        <x:v>4795</x:v>
      </x:c>
      <x:c r="R983" s="186" t="n">
        <x:f>P983-Q983</x:f>
        <x:v>19800</x:v>
      </x:c>
      <x:c r="S983" s="186" t="n">
        <x:v>27830</x:v>
      </x:c>
      <x:c r="T983" s="186" t="n">
        <x:v>10565</x:v>
      </x:c>
      <x:c r="U983" s="186" t="n">
        <x:f>S983-T983</x:f>
        <x:v>17265</x:v>
      </x:c>
      <x:c r="V983" s="196" t="n">
        <x:f>IFERROR(O983/F983,"")</x:f>
        <x:v>0.22508217274914438</x:v>
      </x:c>
      <x:c r="W983" s="196" t="n">
        <x:f>IFERROR(I983/F983,"")</x:f>
        <x:v>-0.21213784690454407</x:v>
      </x:c>
    </x:row>
    <x:row r="984">
      <x:c r="A984" s="186" t="str">
        <x:v>Gold</x:v>
      </x:c>
      <x:c r="B984" s="187" t="n">
        <x:v>45811</x:v>
      </x:c>
      <x:c r="C984" s="187" t="n">
        <x:v>45814</x:v>
      </x:c>
      <x:c r="D984" s="186" t="str">
        <x:v>088691-GOLD</x:v>
      </x:c>
      <x:c r="E984" s="186" t="str">
        <x:v>GOLD - COMMODITY EXCHANGE INC.</x:v>
      </x:c>
      <x:c r="F984" s="186" t="n">
        <x:v>415941</x:v>
      </x:c>
      <x:c r="G984" s="186" t="n">
        <x:v>14319</x:v>
      </x:c>
      <x:c r="H984" s="186" t="n">
        <x:v>62427</x:v>
      </x:c>
      <x:c r="I984" s="186" t="n">
        <x:f>G984-H984</x:f>
        <x:v>-48108</x:v>
      </x:c>
      <x:c r="J984" s="186" t="n">
        <x:v>40187</x:v>
      </x:c>
      <x:c r="K984" s="186" t="n">
        <x:v>212905</x:v>
      </x:c>
      <x:c r="L984" s="186" t="n">
        <x:f>J984-K984</x:f>
        <x:v>-172718</x:v>
      </x:c>
      <x:c r="M984" s="186" t="n">
        <x:v>159966</x:v>
      </x:c>
      <x:c r="N984" s="186" t="n">
        <x:v>36384</x:v>
      </x:c>
      <x:c r="O984" s="186" t="n">
        <x:f>M984-N984</x:f>
        <x:v>123582</x:v>
      </x:c>
      <x:c r="P984" s="186" t="n">
        <x:v>87016</x:v>
      </x:c>
      <x:c r="Q984" s="186" t="n">
        <x:v>22693</x:v>
      </x:c>
      <x:c r="R984" s="186" t="n">
        <x:f>P984-Q984</x:f>
        <x:v>64323</x:v>
      </x:c>
      <x:c r="S984" s="186" t="n">
        <x:v>51996</x:v>
      </x:c>
      <x:c r="T984" s="186" t="n">
        <x:v>19075</x:v>
      </x:c>
      <x:c r="U984" s="186" t="n">
        <x:f>S984-T984</x:f>
        <x:v>32921</x:v>
      </x:c>
      <x:c r="V984" s="196" t="n">
        <x:f>IFERROR(O984/F984,"")</x:f>
        <x:v>0.29711425418508874</x:v>
      </x:c>
      <x:c r="W984" s="196" t="n">
        <x:f>IFERROR(I984/F984,"")</x:f>
        <x:v>-0.1156606345611517</x:v>
      </x:c>
    </x:row>
    <x:row r="985">
      <x:c r="A985" s="186" t="str">
        <x:v>Silver</x:v>
      </x:c>
      <x:c r="B985" s="187" t="n">
        <x:v>45811</x:v>
      </x:c>
      <x:c r="C985" s="187" t="n">
        <x:v>45814</x:v>
      </x:c>
      <x:c r="D985" s="186" t="str">
        <x:v>084691-SILVER</x:v>
      </x:c>
      <x:c r="E985" s="186" t="str">
        <x:v>SILVER - COMMODITY EXCHANGE INC.</x:v>
      </x:c>
      <x:c r="F985" s="186" t="n">
        <x:v>163347</x:v>
      </x:c>
      <x:c r="G985" s="186" t="n">
        <x:v>3539</x:v>
      </x:c>
      <x:c r="H985" s="186" t="n">
        <x:v>36974</x:v>
      </x:c>
      <x:c r="I985" s="186" t="n">
        <x:f>G985-H985</x:f>
        <x:v>-33435</x:v>
      </x:c>
      <x:c r="J985" s="186" t="n">
        <x:v>25370</x:v>
      </x:c>
      <x:c r="K985" s="186" t="n">
        <x:v>71076</x:v>
      </x:c>
      <x:c r="L985" s="186" t="n">
        <x:f>J985-K985</x:f>
        <x:v>-45706</x:v>
      </x:c>
      <x:c r="M985" s="186" t="n">
        <x:v>58645</x:v>
      </x:c>
      <x:c r="N985" s="186" t="n">
        <x:v>13812</x:v>
      </x:c>
      <x:c r="O985" s="186" t="n">
        <x:f>M985-N985</x:f>
        <x:v>44833</x:v>
      </x:c>
      <x:c r="P985" s="186" t="n">
        <x:v>23336</x:v>
      </x:c>
      <x:c r="Q985" s="186" t="n">
        <x:v>7399</x:v>
      </x:c>
      <x:c r="R985" s="186" t="n">
        <x:f>P985-Q985</x:f>
        <x:v>15937</x:v>
      </x:c>
      <x:c r="S985" s="186" t="n">
        <x:v>29969</x:v>
      </x:c>
      <x:c r="T985" s="186" t="n">
        <x:v>11598</x:v>
      </x:c>
      <x:c r="U985" s="186" t="n">
        <x:f>S985-T985</x:f>
        <x:v>18371</x:v>
      </x:c>
      <x:c r="V985" s="196" t="n">
        <x:f>IFERROR(O985/F985,"")</x:f>
        <x:v>0.27446478968086346</x:v>
      </x:c>
      <x:c r="W985" s="196" t="n">
        <x:f>IFERROR(I985/F985,"")</x:f>
        <x:v>-0.20468695476500945</x:v>
      </x:c>
    </x:row>
    <x:row r="986">
      <x:c r="A986" s="186" t="str">
        <x:v>Gold</x:v>
      </x:c>
      <x:c r="B986" s="187" t="n">
        <x:v>45818</x:v>
      </x:c>
      <x:c r="C986" s="187" t="n">
        <x:v>45821</x:v>
      </x:c>
      <x:c r="D986" s="186" t="str">
        <x:v>088691-GOLD</x:v>
      </x:c>
      <x:c r="E986" s="186" t="str">
        <x:v>GOLD - COMMODITY EXCHANGE INC.</x:v>
      </x:c>
      <x:c r="F986" s="186" t="n">
        <x:v>417143</x:v>
      </x:c>
      <x:c r="G986" s="186" t="n">
        <x:v>13381</x:v>
      </x:c>
      <x:c r="H986" s="186" t="n">
        <x:v>62746</x:v>
      </x:c>
      <x:c r="I986" s="186" t="n">
        <x:f>G986-H986</x:f>
        <x:v>-49365</x:v>
      </x:c>
      <x:c r="J986" s="186" t="n">
        <x:v>38867</x:v>
      </x:c>
      <x:c r="K986" s="186" t="n">
        <x:v>212220</x:v>
      </x:c>
      <x:c r="L986" s="186" t="n">
        <x:f>J986-K986</x:f>
        <x:v>-173353</x:v>
      </x:c>
      <x:c r="M986" s="186" t="n">
        <x:v>160680</x:v>
      </x:c>
      <x:c r="N986" s="186" t="n">
        <x:v>36589</x:v>
      </x:c>
      <x:c r="O986" s="186" t="n">
        <x:f>M986-N986</x:f>
        <x:v>124091</x:v>
      </x:c>
      <x:c r="P986" s="186" t="n">
        <x:v>85315</x:v>
      </x:c>
      <x:c r="Q986" s="186" t="n">
        <x:v>21925</x:v>
      </x:c>
      <x:c r="R986" s="186" t="n">
        <x:f>P986-Q986</x:f>
        <x:v>63390</x:v>
      </x:c>
      <x:c r="S986" s="186" t="n">
        <x:v>54008</x:v>
      </x:c>
      <x:c r="T986" s="186" t="n">
        <x:v>18771</x:v>
      </x:c>
      <x:c r="U986" s="186" t="n">
        <x:f>S986-T986</x:f>
        <x:v>35237</x:v>
      </x:c>
      <x:c r="V986" s="196" t="n">
        <x:f>IFERROR(O986/F986,"")</x:f>
        <x:v>0.2974783227813963</x:v>
      </x:c>
      <x:c r="W986" s="196" t="n">
        <x:f>IFERROR(I986/F986,"")</x:f>
        <x:v>-0.11834071289701613</x:v>
      </x:c>
    </x:row>
    <x:row r="987">
      <x:c r="A987" s="186" t="str">
        <x:v>Silver</x:v>
      </x:c>
      <x:c r="B987" s="187" t="n">
        <x:v>45818</x:v>
      </x:c>
      <x:c r="C987" s="187" t="n">
        <x:v>45821</x:v>
      </x:c>
      <x:c r="D987" s="186" t="str">
        <x:v>084691-SILVER</x:v>
      </x:c>
      <x:c r="E987" s="186" t="str">
        <x:v>SILVER - COMMODITY EXCHANGE INC.</x:v>
      </x:c>
      <x:c r="F987" s="186" t="n">
        <x:v>174281</x:v>
      </x:c>
      <x:c r="G987" s="186" t="n">
        <x:v>2686</x:v>
      </x:c>
      <x:c r="H987" s="186" t="n">
        <x:v>39248</x:v>
      </x:c>
      <x:c r="I987" s="186" t="n">
        <x:f>G987-H987</x:f>
        <x:v>-36562</x:v>
      </x:c>
      <x:c r="J987" s="186" t="n">
        <x:v>26349</x:v>
      </x:c>
      <x:c r="K987" s="186" t="n">
        <x:v>75448</x:v>
      </x:c>
      <x:c r="L987" s="186" t="n">
        <x:f>J987-K987</x:f>
        <x:v>-49099</x:v>
      </x:c>
      <x:c r="M987" s="186" t="n">
        <x:v>59581</x:v>
      </x:c>
      <x:c r="N987" s="186" t="n">
        <x:v>11648</x:v>
      </x:c>
      <x:c r="O987" s="186" t="n">
        <x:f>M987-N987</x:f>
        <x:v>47933</x:v>
      </x:c>
      <x:c r="P987" s="186" t="n">
        <x:v>25611</x:v>
      </x:c>
      <x:c r="Q987" s="186" t="n">
        <x:v>6894</x:v>
      </x:c>
      <x:c r="R987" s="186" t="n">
        <x:f>P987-Q987</x:f>
        <x:v>18717</x:v>
      </x:c>
      <x:c r="S987" s="186" t="n">
        <x:v>33366</x:v>
      </x:c>
      <x:c r="T987" s="186" t="n">
        <x:v>14355</x:v>
      </x:c>
      <x:c r="U987" s="186" t="n">
        <x:f>S987-T987</x:f>
        <x:v>19011</x:v>
      </x:c>
      <x:c r="V987" s="196" t="n">
        <x:f>IFERROR(O987/F987,"")</x:f>
        <x:v>0.275032849249201</x:v>
      </x:c>
      <x:c r="W987" s="196" t="n">
        <x:f>IFERROR(I987/F987,"")</x:f>
        <x:v>-0.20978764179686826</x:v>
      </x:c>
    </x:row>
    <x:row r="988">
      <x:c r="A988" s="186" t="str">
        <x:v>Gold</x:v>
      </x:c>
      <x:c r="B988" s="187" t="n">
        <x:v>45825</x:v>
      </x:c>
      <x:c r="C988" s="187" t="n">
        <x:v>45828</x:v>
      </x:c>
      <x:c r="D988" s="186" t="str">
        <x:v>088691-GOLD</x:v>
      </x:c>
      <x:c r="E988" s="186" t="str">
        <x:v>GOLD - COMMODITY EXCHANGE INC.</x:v>
      </x:c>
      <x:c r="F988" s="186" t="n">
        <x:v>441214</x:v>
      </x:c>
      <x:c r="G988" s="186" t="n">
        <x:v>11066</x:v>
      </x:c>
      <x:c r="H988" s="186" t="n">
        <x:v>64028</x:v>
      </x:c>
      <x:c r="I988" s="186" t="n">
        <x:f>G988-H988</x:f>
        <x:v>-52962</x:v>
      </x:c>
      <x:c r="J988" s="186" t="n">
        <x:v>40135</x:v>
      </x:c>
      <x:c r="K988" s="186" t="n">
        <x:v>224900</x:v>
      </x:c>
      <x:c r="L988" s="186" t="n">
        <x:f>J988-K988</x:f>
        <x:v>-184765</x:v>
      </x:c>
      <x:c r="M988" s="186" t="n">
        <x:v>167646</x:v>
      </x:c>
      <x:c r="N988" s="186" t="n">
        <x:v>37135</x:v>
      </x:c>
      <x:c r="O988" s="186" t="n">
        <x:f>M988-N988</x:f>
        <x:v>130511</x:v>
      </x:c>
      <x:c r="P988" s="186" t="n">
        <x:v>92940</x:v>
      </x:c>
      <x:c r="Q988" s="186" t="n">
        <x:v>22803</x:v>
      </x:c>
      <x:c r="R988" s="186" t="n">
        <x:f>P988-Q988</x:f>
        <x:v>70137</x:v>
      </x:c>
      <x:c r="S988" s="186" t="n">
        <x:v>55840</x:v>
      </x:c>
      <x:c r="T988" s="186" t="n">
        <x:v>18761</x:v>
      </x:c>
      <x:c r="U988" s="186" t="n">
        <x:f>S988-T988</x:f>
        <x:v>37079</x:v>
      </x:c>
      <x:c r="V988" s="196" t="n">
        <x:f>IFERROR(O988/F988,"")</x:f>
        <x:v>0.29579977063284485</x:v>
      </x:c>
      <x:c r="W988" s="196" t="n">
        <x:f>IFERROR(I988/F988,"")</x:f>
        <x:v>-0.12003698885348153</x:v>
      </x:c>
    </x:row>
    <x:row r="989">
      <x:c r="A989" s="186" t="str">
        <x:v>Silver</x:v>
      </x:c>
      <x:c r="B989" s="187" t="n">
        <x:v>45825</x:v>
      </x:c>
      <x:c r="C989" s="187" t="n">
        <x:v>45828</x:v>
      </x:c>
      <x:c r="D989" s="186" t="str">
        <x:v>084691-SILVER</x:v>
      </x:c>
      <x:c r="E989" s="186" t="str">
        <x:v>SILVER - COMMODITY EXCHANGE INC.</x:v>
      </x:c>
      <x:c r="F989" s="186" t="n">
        <x:v>184831</x:v>
      </x:c>
      <x:c r="G989" s="186" t="n">
        <x:v>3612</x:v>
      </x:c>
      <x:c r="H989" s="186" t="n">
        <x:v>40085</x:v>
      </x:c>
      <x:c r="I989" s="186" t="n">
        <x:f>G989-H989</x:f>
        <x:v>-36473</x:v>
      </x:c>
      <x:c r="J989" s="186" t="n">
        <x:v>27142</x:v>
      </x:c>
      <x:c r="K989" s="186" t="n">
        <x:v>76617</x:v>
      </x:c>
      <x:c r="L989" s="186" t="n">
        <x:f>J989-K989</x:f>
        <x:v>-49475</x:v>
      </x:c>
      <x:c r="M989" s="186" t="n">
        <x:v>62692</x:v>
      </x:c>
      <x:c r="N989" s="186" t="n">
        <x:v>13827</x:v>
      </x:c>
      <x:c r="O989" s="186" t="n">
        <x:f>M989-N989</x:f>
        <x:v>48865</x:v>
      </x:c>
      <x:c r="P989" s="186" t="n">
        <x:v>26302</x:v>
      </x:c>
      <x:c r="Q989" s="186" t="n">
        <x:v>7993</x:v>
      </x:c>
      <x:c r="R989" s="186" t="n">
        <x:f>P989-Q989</x:f>
        <x:v>18309</x:v>
      </x:c>
      <x:c r="S989" s="186" t="n">
        <x:v>33440</x:v>
      </x:c>
      <x:c r="T989" s="186" t="n">
        <x:v>14666</x:v>
      </x:c>
      <x:c r="U989" s="186" t="n">
        <x:f>S989-T989</x:f>
        <x:v>18774</x:v>
      </x:c>
      <x:c r="V989" s="196" t="n">
        <x:f>IFERROR(O989/F989,"")</x:f>
        <x:v>0.26437664677462114</x:v>
      </x:c>
      <x:c r="W989" s="196" t="n">
        <x:f>IFERROR(I989/F989,"")</x:f>
        <x:v>-0.19733161644962155</x:v>
      </x:c>
    </x:row>
    <x:row r="990">
      <x:c r="A990" s="186" t="str">
        <x:v>Gold</x:v>
      </x:c>
      <x:c r="B990" s="187" t="n">
        <x:v>45832</x:v>
      </x:c>
      <x:c r="C990" s="187" t="n">
        <x:v>45835</x:v>
      </x:c>
      <x:c r="D990" s="186" t="str">
        <x:v>088691-GOLD</x:v>
      </x:c>
      <x:c r="E990" s="186" t="str">
        <x:v>GOLD - COMMODITY EXCHANGE INC.</x:v>
      </x:c>
      <x:c r="F990" s="186" t="n">
        <x:v>434958</x:v>
      </x:c>
      <x:c r="G990" s="186" t="n">
        <x:v>12319</x:v>
      </x:c>
      <x:c r="H990" s="186" t="n">
        <x:v>62734</x:v>
      </x:c>
      <x:c r="I990" s="186" t="n">
        <x:f>G990-H990</x:f>
        <x:v>-50415</x:v>
      </x:c>
      <x:c r="J990" s="186" t="n">
        <x:v>40583</x:v>
      </x:c>
      <x:c r="K990" s="186" t="n">
        <x:v>220728</x:v>
      </x:c>
      <x:c r="L990" s="186" t="n">
        <x:f>J990-K990</x:f>
        <x:v>-180145</x:v>
      </x:c>
      <x:c r="M990" s="186" t="n">
        <x:v>163829</x:v>
      </x:c>
      <x:c r="N990" s="186" t="n">
        <x:v>38701</x:v>
      </x:c>
      <x:c r="O990" s="186" t="n">
        <x:f>M990-N990</x:f>
        <x:v>125128</x:v>
      </x:c>
      <x:c r="P990" s="186" t="n">
        <x:v>92248</x:v>
      </x:c>
      <x:c r="Q990" s="186" t="n">
        <x:v>22372</x:v>
      </x:c>
      <x:c r="R990" s="186" t="n">
        <x:f>P990-Q990</x:f>
        <x:v>69876</x:v>
      </x:c>
      <x:c r="S990" s="186" t="n">
        <x:v>55009</x:v>
      </x:c>
      <x:c r="T990" s="186" t="n">
        <x:v>19453</x:v>
      </x:c>
      <x:c r="U990" s="186" t="n">
        <x:f>S990-T990</x:f>
        <x:v>35556</x:v>
      </x:c>
      <x:c r="V990" s="196" t="n">
        <x:f>IFERROR(O990/F990,"")</x:f>
        <x:v>0.28767835055338675</x:v>
      </x:c>
      <x:c r="W990" s="196" t="n">
        <x:f>IFERROR(I990/F990,"")</x:f>
        <x:v>-0.11590774281654781</x:v>
      </x:c>
    </x:row>
    <x:row r="991">
      <x:c r="A991" s="186" t="str">
        <x:v>Silver</x:v>
      </x:c>
      <x:c r="B991" s="187" t="n">
        <x:v>45832</x:v>
      </x:c>
      <x:c r="C991" s="187" t="n">
        <x:v>45835</x:v>
      </x:c>
      <x:c r="D991" s="186" t="str">
        <x:v>084691-SILVER</x:v>
      </x:c>
      <x:c r="E991" s="186" t="str">
        <x:v>SILVER - COMMODITY EXCHANGE INC.</x:v>
      </x:c>
      <x:c r="F991" s="186" t="n">
        <x:v>174613</x:v>
      </x:c>
      <x:c r="G991" s="186" t="n">
        <x:v>4185</x:v>
      </x:c>
      <x:c r="H991" s="186" t="n">
        <x:v>38670</x:v>
      </x:c>
      <x:c r="I991" s="186" t="n">
        <x:f>G991-H991</x:f>
        <x:v>-34485</x:v>
      </x:c>
      <x:c r="J991" s="186" t="n">
        <x:v>28573</x:v>
      </x:c>
      <x:c r="K991" s="186" t="n">
        <x:v>76565</x:v>
      </x:c>
      <x:c r="L991" s="186" t="n">
        <x:f>J991-K991</x:f>
        <x:v>-47992</x:v>
      </x:c>
      <x:c r="M991" s="186" t="n">
        <x:v>58906</x:v>
      </x:c>
      <x:c r="N991" s="186" t="n">
        <x:v>13795</x:v>
      </x:c>
      <x:c r="O991" s="186" t="n">
        <x:f>M991-N991</x:f>
        <x:v>45111</x:v>
      </x:c>
      <x:c r="P991" s="186" t="n">
        <x:v>25585</x:v>
      </x:c>
      <x:c r="Q991" s="186" t="n">
        <x:v>7749</x:v>
      </x:c>
      <x:c r="R991" s="186" t="n">
        <x:f>P991-Q991</x:f>
        <x:v>17836</x:v>
      </x:c>
      <x:c r="S991" s="186" t="n">
        <x:v>32867</x:v>
      </x:c>
      <x:c r="T991" s="186" t="n">
        <x:v>13337</x:v>
      </x:c>
      <x:c r="U991" s="186" t="n">
        <x:f>S991-T991</x:f>
        <x:v>19530</x:v>
      </x:c>
      <x:c r="V991" s="196" t="n">
        <x:f>IFERROR(O991/F991,"")</x:f>
        <x:v>0.258348462027455</x:v>
      </x:c>
      <x:c r="W991" s="196" t="n">
        <x:f>IFERROR(I991/F991,"")</x:f>
        <x:v>-0.19749388648038807</x:v>
      </x:c>
    </x:row>
    <x:row r="992">
      <x:c r="A992" s="186" t="str">
        <x:v>Gold</x:v>
      </x:c>
      <x:c r="B992" s="187" t="n">
        <x:v>45839</x:v>
      </x:c>
      <x:c r="C992" s="187" t="n">
        <x:v>45842</x:v>
      </x:c>
      <x:c r="D992" s="186" t="str">
        <x:v>088691-GOLD</x:v>
      </x:c>
      <x:c r="E992" s="186" t="str">
        <x:v>GOLD - COMMODITY EXCHANGE INC.</x:v>
      </x:c>
      <x:c r="F992" s="186" t="n">
        <x:v>437662</x:v>
      </x:c>
      <x:c r="G992" s="186" t="n">
        <x:v>12005</x:v>
      </x:c>
      <x:c r="H992" s="186" t="n">
        <x:v>61418</x:v>
      </x:c>
      <x:c r="I992" s="186" t="n">
        <x:f>G992-H992</x:f>
        <x:v>-49413</x:v>
      </x:c>
      <x:c r="J992" s="186" t="n">
        <x:v>37260</x:v>
      </x:c>
      <x:c r="K992" s="186" t="n">
        <x:v>223916</x:v>
      </x:c>
      <x:c r="L992" s="186" t="n">
        <x:f>J992-K992</x:f>
        <x:v>-186656</x:v>
      </x:c>
      <x:c r="M992" s="186" t="n">
        <x:v>165086</x:v>
      </x:c>
      <x:c r="N992" s="186" t="n">
        <x:v>34726</x:v>
      </x:c>
      <x:c r="O992" s="186" t="n">
        <x:f>M992-N992</x:f>
        <x:v>130360</x:v>
      </x:c>
      <x:c r="P992" s="186" t="n">
        <x:v>93545</x:v>
      </x:c>
      <x:c r="Q992" s="186" t="n">
        <x:v>21925</x:v>
      </x:c>
      <x:c r="R992" s="186" t="n">
        <x:f>P992-Q992</x:f>
        <x:v>71620</x:v>
      </x:c>
      <x:c r="S992" s="186" t="n">
        <x:v>53324</x:v>
      </x:c>
      <x:c r="T992" s="186" t="n">
        <x:v>19235</x:v>
      </x:c>
      <x:c r="U992" s="186" t="n">
        <x:f>S992-T992</x:f>
        <x:v>34089</x:v>
      </x:c>
      <x:c r="V992" s="196" t="n">
        <x:f>IFERROR(O992/F992,"")</x:f>
        <x:v>0.29785542267777415</x:v>
      </x:c>
      <x:c r="W992" s="196" t="n">
        <x:f>IFERROR(I992/F992,"")</x:f>
        <x:v>-0.11290219393047603</x:v>
      </x:c>
    </x:row>
    <x:row r="993">
      <x:c r="A993" s="186" t="str">
        <x:v>Silver</x:v>
      </x:c>
      <x:c r="B993" s="187" t="n">
        <x:v>45839</x:v>
      </x:c>
      <x:c r="C993" s="187" t="n">
        <x:v>45842</x:v>
      </x:c>
      <x:c r="D993" s="186" t="str">
        <x:v>084691-SILVER</x:v>
      </x:c>
      <x:c r="E993" s="186" t="str">
        <x:v>SILVER - COMMODITY EXCHANGE INC.</x:v>
      </x:c>
      <x:c r="F993" s="186" t="n">
        <x:v>163567</x:v>
      </x:c>
      <x:c r="G993" s="186" t="n">
        <x:v>4248</x:v>
      </x:c>
      <x:c r="H993" s="186" t="n">
        <x:v>34400</x:v>
      </x:c>
      <x:c r="I993" s="186" t="n">
        <x:f>G993-H993</x:f>
        <x:v>-30152</x:v>
      </x:c>
      <x:c r="J993" s="186" t="n">
        <x:v>27829</x:v>
      </x:c>
      <x:c r="K993" s="186" t="n">
        <x:v>82217</x:v>
      </x:c>
      <x:c r="L993" s="186" t="n">
        <x:f>J993-K993</x:f>
        <x:v>-54388</x:v>
      </x:c>
      <x:c r="M993" s="186" t="n">
        <x:v>59228</x:v>
      </x:c>
      <x:c r="N993" s="186" t="n">
        <x:v>14301</x:v>
      </x:c>
      <x:c r="O993" s="186" t="n">
        <x:f>M993-N993</x:f>
        <x:v>44927</x:v>
      </x:c>
      <x:c r="P993" s="186" t="n">
        <x:v>23519</x:v>
      </x:c>
      <x:c r="Q993" s="186" t="n">
        <x:v>5046</x:v>
      </x:c>
      <x:c r="R993" s="186" t="n">
        <x:f>P993-Q993</x:f>
        <x:v>18473</x:v>
      </x:c>
      <x:c r="S993" s="186" t="n">
        <x:v>32005</x:v>
      </x:c>
      <x:c r="T993" s="186" t="n">
        <x:v>10865</x:v>
      </x:c>
      <x:c r="U993" s="186" t="n">
        <x:f>S993-T993</x:f>
        <x:v>21140</x:v>
      </x:c>
      <x:c r="V993" s="196" t="n">
        <x:f>IFERROR(O993/F993,"")</x:f>
        <x:v>0.27467031858504465</x:v>
      </x:c>
      <x:c r="W993" s="196" t="n">
        <x:f>IFERROR(I993/F993,"")</x:f>
        <x:v>-0.18434036205347043</x:v>
      </x:c>
    </x:row>
    <x:row r="994">
      <x:c r="A994" s="186" t="str">
        <x:v>Gold</x:v>
      </x:c>
      <x:c r="B994" s="187" t="n">
        <x:v>45846</x:v>
      </x:c>
      <x:c r="C994" s="187" t="n">
        <x:v>45849</x:v>
      </x:c>
      <x:c r="D994" s="186" t="str">
        <x:v>088691-GOLD</x:v>
      </x:c>
      <x:c r="E994" s="186" t="str">
        <x:v>GOLD - COMMODITY EXCHANGE INC.</x:v>
      </x:c>
      <x:c r="F994" s="186" t="n">
        <x:v>443144</x:v>
      </x:c>
      <x:c r="G994" s="186" t="n">
        <x:v>13615</x:v>
      </x:c>
      <x:c r="H994" s="186" t="n">
        <x:v>60427</x:v>
      </x:c>
      <x:c r="I994" s="186" t="n">
        <x:f>G994-H994</x:f>
        <x:v>-46812</x:v>
      </x:c>
      <x:c r="J994" s="186" t="n">
        <x:v>35359</x:v>
      </x:c>
      <x:c r="K994" s="186" t="n">
        <x:v>226901</x:v>
      </x:c>
      <x:c r="L994" s="186" t="n">
        <x:f>J994-K994</x:f>
        <x:v>-191542</x:v>
      </x:c>
      <x:c r="M994" s="186" t="n">
        <x:v>164685</x:v>
      </x:c>
      <x:c r="N994" s="186" t="n">
        <x:v>35743</x:v>
      </x:c>
      <x:c r="O994" s="186" t="n">
        <x:f>M994-N994</x:f>
        <x:v>128942</x:v>
      </x:c>
      <x:c r="P994" s="186" t="n">
        <x:v>97000</x:v>
      </x:c>
      <x:c r="Q994" s="186" t="n">
        <x:v>22974</x:v>
      </x:c>
      <x:c r="R994" s="186" t="n">
        <x:f>P994-Q994</x:f>
        <x:v>74026</x:v>
      </x:c>
      <x:c r="S994" s="186" t="n">
        <x:v>56291</x:v>
      </x:c>
      <x:c r="T994" s="186" t="n">
        <x:v>20905</x:v>
      </x:c>
      <x:c r="U994" s="186" t="n">
        <x:f>S994-T994</x:f>
        <x:v>35386</x:v>
      </x:c>
      <x:c r="V994" s="196" t="n">
        <x:f>IFERROR(O994/F994,"")</x:f>
        <x:v>0.2909708807972126</x:v>
      </x:c>
      <x:c r="W994" s="196" t="n">
        <x:f>IFERROR(I994/F994,"")</x:f>
        <x:v>-0.10563609120285956</x:v>
      </x:c>
    </x:row>
    <x:row r="995">
      <x:c r="A995" s="186" t="str">
        <x:v>Silver</x:v>
      </x:c>
      <x:c r="B995" s="187" t="n">
        <x:v>45846</x:v>
      </x:c>
      <x:c r="C995" s="187" t="n">
        <x:v>45849</x:v>
      </x:c>
      <x:c r="D995" s="186" t="str">
        <x:v>084691-SILVER</x:v>
      </x:c>
      <x:c r="E995" s="186" t="str">
        <x:v>SILVER - COMMODITY EXCHANGE INC.</x:v>
      </x:c>
      <x:c r="F995" s="186" t="n">
        <x:v>162803</x:v>
      </x:c>
      <x:c r="G995" s="186" t="n">
        <x:v>5030</x:v>
      </x:c>
      <x:c r="H995" s="186" t="n">
        <x:v>32301</x:v>
      </x:c>
      <x:c r="I995" s="186" t="n">
        <x:f>G995-H995</x:f>
        <x:v>-27271</x:v>
      </x:c>
      <x:c r="J995" s="186" t="n">
        <x:v>27804</x:v>
      </x:c>
      <x:c r="K995" s="186" t="n">
        <x:v>80128</x:v>
      </x:c>
      <x:c r="L995" s="186" t="n">
        <x:f>J995-K995</x:f>
        <x:v>-52324</x:v>
      </x:c>
      <x:c r="M995" s="186" t="n">
        <x:v>58991</x:v>
      </x:c>
      <x:c r="N995" s="186" t="n">
        <x:v>16235</x:v>
      </x:c>
      <x:c r="O995" s="186" t="n">
        <x:f>M995-N995</x:f>
        <x:v>42756</x:v>
      </x:c>
      <x:c r="P995" s="186" t="n">
        <x:v>21788</x:v>
      </x:c>
      <x:c r="Q995" s="186" t="n">
        <x:v>6023</x:v>
      </x:c>
      <x:c r="R995" s="186" t="n">
        <x:f>P995-Q995</x:f>
        <x:v>15765</x:v>
      </x:c>
      <x:c r="S995" s="186" t="n">
        <x:v>31764</x:v>
      </x:c>
      <x:c r="T995" s="186" t="n">
        <x:v>10690</x:v>
      </x:c>
      <x:c r="U995" s="186" t="n">
        <x:f>S995-T995</x:f>
        <x:v>21074</x:v>
      </x:c>
      <x:c r="V995" s="196" t="n">
        <x:f>IFERROR(O995/F995,"")</x:f>
        <x:v>0.26262415311757153</x:v>
      </x:c>
      <x:c r="W995" s="196" t="n">
        <x:f>IFERROR(I995/F995,"")</x:f>
        <x:v>-0.1675091982334478</x:v>
      </x:c>
    </x:row>
    <x:row r="996">
      <x:c r="A996" s="186" t="str">
        <x:v>Gold</x:v>
      </x:c>
      <x:c r="B996" s="187" t="n">
        <x:v>45853</x:v>
      </x:c>
      <x:c r="C996" s="187" t="n">
        <x:v>45856</x:v>
      </x:c>
      <x:c r="D996" s="186" t="str">
        <x:v>088691-GOLD</x:v>
      </x:c>
      <x:c r="E996" s="186" t="str">
        <x:v>GOLD - COMMODITY EXCHANGE INC.</x:v>
      </x:c>
      <x:c r="F996" s="186" t="n">
        <x:v>448531</x:v>
      </x:c>
      <x:c r="G996" s="186" t="n">
        <x:v>14716</x:v>
      </x:c>
      <x:c r="H996" s="186" t="n">
        <x:v>61452</x:v>
      </x:c>
      <x:c r="I996" s="186" t="n">
        <x:f>G996-H996</x:f>
        <x:v>-46736</x:v>
      </x:c>
      <x:c r="J996" s="186" t="n">
        <x:v>33649</x:v>
      </x:c>
      <x:c r="K996" s="186" t="n">
        <x:v>237601</x:v>
      </x:c>
      <x:c r="L996" s="186" t="n">
        <x:f>J996-K996</x:f>
        <x:v>-203952</x:v>
      </x:c>
      <x:c r="M996" s="186" t="n">
        <x:v>172657</x:v>
      </x:c>
      <x:c r="N996" s="186" t="n">
        <x:v>35930</x:v>
      </x:c>
      <x:c r="O996" s="186" t="n">
        <x:f>M996-N996</x:f>
        <x:v>136727</x:v>
      </x:c>
      <x:c r="P996" s="186" t="n">
        <x:v>97570</x:v>
      </x:c>
      <x:c r="Q996" s="186" t="n">
        <x:v>21182</x:v>
      </x:c>
      <x:c r="R996" s="186" t="n">
        <x:f>P996-Q996</x:f>
        <x:v>76388</x:v>
      </x:c>
      <x:c r="S996" s="186" t="n">
        <x:v>56976</x:v>
      </x:c>
      <x:c r="T996" s="186" t="n">
        <x:v>19403</x:v>
      </x:c>
      <x:c r="U996" s="186" t="n">
        <x:f>S996-T996</x:f>
        <x:v>37573</x:v>
      </x:c>
      <x:c r="V996" s="196" t="n">
        <x:f>IFERROR(O996/F996,"")</x:f>
        <x:v>0.3048328878048563</x:v>
      </x:c>
      <x:c r="W996" s="196" t="n">
        <x:f>IFERROR(I996/F996,"")</x:f>
        <x:v>-0.10419792611881899</x:v>
      </x:c>
    </x:row>
    <x:row r="997">
      <x:c r="A997" s="186" t="str">
        <x:v>Silver</x:v>
      </x:c>
      <x:c r="B997" s="187" t="n">
        <x:v>45853</x:v>
      </x:c>
      <x:c r="C997" s="187" t="n">
        <x:v>45856</x:v>
      </x:c>
      <x:c r="D997" s="186" t="str">
        <x:v>084691-SILVER</x:v>
      </x:c>
      <x:c r="E997" s="186" t="str">
        <x:v>SILVER - COMMODITY EXCHANGE INC.</x:v>
      </x:c>
      <x:c r="F997" s="186" t="n">
        <x:v>171474</x:v>
      </x:c>
      <x:c r="G997" s="186" t="n">
        <x:v>4143</x:v>
      </x:c>
      <x:c r="H997" s="186" t="n">
        <x:v>34512</x:v>
      </x:c>
      <x:c r="I997" s="186" t="n">
        <x:f>G997-H997</x:f>
        <x:v>-30369</x:v>
      </x:c>
      <x:c r="J997" s="186" t="n">
        <x:v>27238</x:v>
      </x:c>
      <x:c r="K997" s="186" t="n">
        <x:v>76517</x:v>
      </x:c>
      <x:c r="L997" s="186" t="n">
        <x:f>J997-K997</x:f>
        <x:v>-49279</x:v>
      </x:c>
      <x:c r="M997" s="186" t="n">
        <x:v>59766</x:v>
      </x:c>
      <x:c r="N997" s="186" t="n">
        <x:v>16560</x:v>
      </x:c>
      <x:c r="O997" s="186" t="n">
        <x:f>M997-N997</x:f>
        <x:v>43206</x:v>
      </x:c>
      <x:c r="P997" s="186" t="n">
        <x:v>25256</x:v>
      </x:c>
      <x:c r="Q997" s="186" t="n">
        <x:v>9014</x:v>
      </x:c>
      <x:c r="R997" s="186" t="n">
        <x:f>P997-Q997</x:f>
        <x:v>16242</x:v>
      </x:c>
      <x:c r="S997" s="186" t="n">
        <x:v>32421</x:v>
      </x:c>
      <x:c r="T997" s="186" t="n">
        <x:v>12221</x:v>
      </x:c>
      <x:c r="U997" s="186" t="n">
        <x:f>S997-T997</x:f>
        <x:v>20200</x:v>
      </x:c>
      <x:c r="V997" s="196" t="n">
        <x:f>IFERROR(O997/F997,"")</x:f>
        <x:v>0.25196822841946886</x:v>
      </x:c>
      <x:c r="W997" s="196" t="n">
        <x:f>IFERROR(I997/F997,"")</x:f>
        <x:v>-0.17710556702473845</x:v>
      </x:c>
    </x:row>
    <x:row r="998">
      <x:c r="A998" s="186" t="str">
        <x:v>Gold</x:v>
      </x:c>
      <x:c r="B998" s="187" t="n">
        <x:v>45860</x:v>
      </x:c>
      <x:c r="C998" s="187" t="n">
        <x:v>45863</x:v>
      </x:c>
      <x:c r="D998" s="186" t="str">
        <x:v>088691-GOLD</x:v>
      </x:c>
      <x:c r="E998" s="186" t="str">
        <x:v>GOLD - COMMODITY EXCHANGE INC.</x:v>
      </x:c>
      <x:c r="F998" s="186" t="n">
        <x:v>489423</x:v>
      </x:c>
      <x:c r="G998" s="186" t="n">
        <x:v>11207</x:v>
      </x:c>
      <x:c r="H998" s="186" t="n">
        <x:v>62569</x:v>
      </x:c>
      <x:c r="I998" s="186" t="n">
        <x:f>G998-H998</x:f>
        <x:v>-51362</x:v>
      </x:c>
      <x:c r="J998" s="186" t="n">
        <x:v>33299</x:v>
      </x:c>
      <x:c r="K998" s="186" t="n">
        <x:v>264274</x:v>
      </x:c>
      <x:c r="L998" s="186" t="n">
        <x:f>J998-K998</x:f>
        <x:v>-230975</x:v>
      </x:c>
      <x:c r="M998" s="186" t="n">
        <x:v>194753</x:v>
      </x:c>
      <x:c r="N998" s="186" t="n">
        <x:v>34819</x:v>
      </x:c>
      <x:c r="O998" s="186" t="n">
        <x:f>M998-N998</x:f>
        <x:v>159934</x:v>
      </x:c>
      <x:c r="P998" s="186" t="n">
        <x:v>117196</x:v>
      </x:c>
      <x:c r="Q998" s="186" t="n">
        <x:v>24092</x:v>
      </x:c>
      <x:c r="R998" s="186" t="n">
        <x:f>P998-Q998</x:f>
        <x:v>93104</x:v>
      </x:c>
      <x:c r="S998" s="186" t="n">
        <x:v>54052</x:v>
      </x:c>
      <x:c r="T998" s="186" t="n">
        <x:v>24753</x:v>
      </x:c>
      <x:c r="U998" s="186" t="n">
        <x:f>S998-T998</x:f>
        <x:v>29299</x:v>
      </x:c>
      <x:c r="V998" s="196" t="n">
        <x:f>IFERROR(O998/F998,"")</x:f>
        <x:v>0.32678071933685177</x:v>
      </x:c>
      <x:c r="W998" s="196" t="n">
        <x:f>IFERROR(I998/F998,"")</x:f>
        <x:v>-0.10494398505995836</x:v>
      </x:c>
    </x:row>
    <x:row r="999">
      <x:c r="A999" s="186" t="str">
        <x:v>Silver</x:v>
      </x:c>
      <x:c r="B999" s="187" t="n">
        <x:v>45860</x:v>
      </x:c>
      <x:c r="C999" s="187" t="n">
        <x:v>45863</x:v>
      </x:c>
      <x:c r="D999" s="186" t="str">
        <x:v>084691-SILVER</x:v>
      </x:c>
      <x:c r="E999" s="186" t="str">
        <x:v>SILVER - COMMODITY EXCHANGE INC.</x:v>
      </x:c>
      <x:c r="F999" s="186" t="n">
        <x:v>173679</x:v>
      </x:c>
      <x:c r="G999" s="186" t="n">
        <x:v>5089</x:v>
      </x:c>
      <x:c r="H999" s="186" t="n">
        <x:v>34916</x:v>
      </x:c>
      <x:c r="I999" s="186" t="n">
        <x:f>G999-H999</x:f>
        <x:v>-29827</x:v>
      </x:c>
      <x:c r="J999" s="186" t="n">
        <x:v>27795</x:v>
      </x:c>
      <x:c r="K999" s="186" t="n">
        <x:v>77195</x:v>
      </x:c>
      <x:c r="L999" s="186" t="n">
        <x:f>J999-K999</x:f>
        <x:v>-49400</x:v>
      </x:c>
      <x:c r="M999" s="186" t="n">
        <x:v>60294</x:v>
      </x:c>
      <x:c r="N999" s="186" t="n">
        <x:v>16280</x:v>
      </x:c>
      <x:c r="O999" s="186" t="n">
        <x:f>M999-N999</x:f>
        <x:v>44014</x:v>
      </x:c>
      <x:c r="P999" s="186" t="n">
        <x:v>25384</x:v>
      </x:c>
      <x:c r="Q999" s="186" t="n">
        <x:v>8778</x:v>
      </x:c>
      <x:c r="R999" s="186" t="n">
        <x:f>P999-Q999</x:f>
        <x:v>16606</x:v>
      </x:c>
      <x:c r="S999" s="186" t="n">
        <x:v>31942</x:v>
      </x:c>
      <x:c r="T999" s="186" t="n">
        <x:v>13335</x:v>
      </x:c>
      <x:c r="U999" s="186" t="n">
        <x:f>S999-T999</x:f>
        <x:v>18607</x:v>
      </x:c>
      <x:c r="V999" s="196" t="n">
        <x:f>IFERROR(O999/F999,"")</x:f>
        <x:v>0.2534215420402006</x:v>
      </x:c>
      <x:c r="W999" s="196" t="n">
        <x:f>IFERROR(I999/F999,"")</x:f>
        <x:v>-0.17173636421213848</x:v>
      </x:c>
    </x:row>
    <x:row r="1000">
      <x:c r="A1000" s="186" t="str">
        <x:v>Gold</x:v>
      </x:c>
      <x:c r="B1000" s="187" t="n">
        <x:v>45867</x:v>
      </x:c>
      <x:c r="C1000" s="187" t="n">
        <x:v>45870</x:v>
      </x:c>
      <x:c r="D1000" s="186" t="str">
        <x:v>088691-GOLD</x:v>
      </x:c>
      <x:c r="E1000" s="186" t="str">
        <x:v>GOLD - COMMODITY EXCHANGE INC.</x:v>
      </x:c>
      <x:c r="F1000" s="186" t="n">
        <x:v>445259</x:v>
      </x:c>
      <x:c r="G1000" s="186" t="n">
        <x:v>12294</x:v>
      </x:c>
      <x:c r="H1000" s="186" t="n">
        <x:v>60464</x:v>
      </x:c>
      <x:c r="I1000" s="186" t="n">
        <x:f>G1000-H1000</x:f>
        <x:v>-48170</x:v>
      </x:c>
      <x:c r="J1000" s="186" t="n">
        <x:v>39149</x:v>
      </x:c>
      <x:c r="K1000" s="186" t="n">
        <x:v>250058</x:v>
      </x:c>
      <x:c r="L1000" s="186" t="n">
        <x:f>J1000-K1000</x:f>
        <x:v>-210909</x:v>
      </x:c>
      <x:c r="M1000" s="186" t="n">
        <x:v>170918</x:v>
      </x:c>
      <x:c r="N1000" s="186" t="n">
        <x:v>36662</x:v>
      </x:c>
      <x:c r="O1000" s="186" t="n">
        <x:f>M1000-N1000</x:f>
        <x:v>134256</x:v>
      </x:c>
      <x:c r="P1000" s="186" t="n">
        <x:v>110323</x:v>
      </x:c>
      <x:c r="Q1000" s="186" t="n">
        <x:v>20983</x:v>
      </x:c>
      <x:c r="R1000" s="186" t="n">
        <x:f>P1000-Q1000</x:f>
        <x:v>89340</x:v>
      </x:c>
      <x:c r="S1000" s="186" t="n">
        <x:v>53216</x:v>
      </x:c>
      <x:c r="T1000" s="186" t="n">
        <x:v>17733</x:v>
      </x:c>
      <x:c r="U1000" s="186" t="n">
        <x:f>S1000-T1000</x:f>
        <x:v>35483</x:v>
      </x:c>
      <x:c r="V1000" s="196" t="n">
        <x:f>IFERROR(O1000/F1000,"")</x:f>
        <x:v>0.3015233830197705</x:v>
      </x:c>
      <x:c r="W1000" s="196" t="n">
        <x:f>IFERROR(I1000/F1000,"")</x:f>
        <x:v>-0.10818422536096968</x:v>
      </x:c>
    </x:row>
    <x:row r="1001">
      <x:c r="A1001" s="186" t="str">
        <x:v>Silver</x:v>
      </x:c>
      <x:c r="B1001" s="187" t="n">
        <x:v>45867</x:v>
      </x:c>
      <x:c r="C1001" s="187" t="n">
        <x:v>45870</x:v>
      </x:c>
      <x:c r="D1001" s="186" t="str">
        <x:v>084691-SILVER</x:v>
      </x:c>
      <x:c r="E1001" s="186" t="str">
        <x:v>SILVER - COMMODITY EXCHANGE INC.</x:v>
      </x:c>
      <x:c r="F1001" s="186" t="n">
        <x:v>170329</x:v>
      </x:c>
      <x:c r="G1001" s="186" t="n">
        <x:v>5925</x:v>
      </x:c>
      <x:c r="H1001" s="186" t="n">
        <x:v>36147</x:v>
      </x:c>
      <x:c r="I1001" s="186" t="n">
        <x:f>G1001-H1001</x:f>
        <x:v>-30222</x:v>
      </x:c>
      <x:c r="J1001" s="186" t="n">
        <x:v>27289</x:v>
      </x:c>
      <x:c r="K1001" s="186" t="n">
        <x:v>75996</x:v>
      </x:c>
      <x:c r="L1001" s="186" t="n">
        <x:f>J1001-K1001</x:f>
        <x:v>-48707</x:v>
      </x:c>
      <x:c r="M1001" s="186" t="n">
        <x:v>57762</x:v>
      </x:c>
      <x:c r="N1001" s="186" t="n">
        <x:v>14738</x:v>
      </x:c>
      <x:c r="O1001" s="186" t="n">
        <x:f>M1001-N1001</x:f>
        <x:v>43024</x:v>
      </x:c>
      <x:c r="P1001" s="186" t="n">
        <x:v>22731</x:v>
      </x:c>
      <x:c r="Q1001" s="186" t="n">
        <x:v>6348</x:v>
      </x:c>
      <x:c r="R1001" s="186" t="n">
        <x:f>P1001-Q1001</x:f>
        <x:v>16383</x:v>
      </x:c>
      <x:c r="S1001" s="186" t="n">
        <x:v>30592</x:v>
      </x:c>
      <x:c r="T1001" s="186" t="n">
        <x:v>11070</x:v>
      </x:c>
      <x:c r="U1001" s="186" t="n">
        <x:f>S1001-T1001</x:f>
        <x:v>19522</x:v>
      </x:c>
      <x:c r="V1001" s="196" t="n">
        <x:f>IFERROR(O1001/F1001,"")</x:f>
        <x:v>0.2525935102067176</x:v>
      </x:c>
      <x:c r="W1001" s="196" t="n">
        <x:f>IFERROR(I1001/F1001,"")</x:f>
        <x:v>-0.1774330853818199</x:v>
      </x:c>
    </x:row>
    <x:row r="1002">
      <x:c r="A1002" s="186" t="str">
        <x:v>Gold</x:v>
      </x:c>
      <x:c r="B1002" s="187" t="n">
        <x:v>45874</x:v>
      </x:c>
      <x:c r="C1002" s="187" t="n">
        <x:v>45877</x:v>
      </x:c>
      <x:c r="D1002" s="186" t="str">
        <x:v>088691-GOLD</x:v>
      </x:c>
      <x:c r="E1002" s="186" t="str">
        <x:v>GOLD - COMMODITY EXCHANGE INC.</x:v>
      </x:c>
      <x:c r="F1002" s="186" t="n">
        <x:v>449647</x:v>
      </x:c>
      <x:c r="G1002" s="186" t="n">
        <x:v>21760</x:v>
      </x:c>
      <x:c r="H1002" s="186" t="n">
        <x:v>55777</x:v>
      </x:c>
      <x:c r="I1002" s="186" t="n">
        <x:f>G1002-H1002</x:f>
        <x:v>-34017</x:v>
      </x:c>
      <x:c r="J1002" s="186" t="n">
        <x:v>36874</x:v>
      </x:c>
      <x:c r="K1002" s="186" t="n">
        <x:v>273003</x:v>
      </x:c>
      <x:c r="L1002" s="186" t="n">
        <x:f>J1002-K1002</x:f>
        <x:v>-236129</x:v>
      </x:c>
      <x:c r="M1002" s="186" t="n">
        <x:v>186304</x:v>
      </x:c>
      <x:c r="N1002" s="186" t="n">
        <x:v>32317</x:v>
      </x:c>
      <x:c r="O1002" s="186" t="n">
        <x:f>M1002-N1002</x:f>
        <x:v>153987</x:v>
      </x:c>
      <x:c r="P1002" s="186" t="n">
        <x:v>105890</x:v>
      </x:c>
      <x:c r="Q1002" s="186" t="n">
        <x:v>22827</x:v>
      </x:c>
      <x:c r="R1002" s="186" t="n">
        <x:f>P1002-Q1002</x:f>
        <x:v>83063</x:v>
      </x:c>
      <x:c r="S1002" s="186" t="n">
        <x:v>52597</x:v>
      </x:c>
      <x:c r="T1002" s="186" t="n">
        <x:v>19501</x:v>
      </x:c>
      <x:c r="U1002" s="186" t="n">
        <x:f>S1002-T1002</x:f>
        <x:v>33096</x:v>
      </x:c>
      <x:c r="V1002" s="196" t="n">
        <x:f>IFERROR(O1002/F1002,"")</x:f>
        <x:v>0.3424619757276263</x:v>
      </x:c>
      <x:c r="W1002" s="196" t="n">
        <x:f>IFERROR(I1002/F1002,"")</x:f>
        <x:v>-0.07565267865681301</x:v>
      </x:c>
    </x:row>
    <x:row r="1003">
      <x:c r="A1003" s="186" t="str">
        <x:v>Silver</x:v>
      </x:c>
      <x:c r="B1003" s="187" t="n">
        <x:v>45874</x:v>
      </x:c>
      <x:c r="C1003" s="187" t="n">
        <x:v>45877</x:v>
      </x:c>
      <x:c r="D1003" s="186" t="str">
        <x:v>084691-SILVER</x:v>
      </x:c>
      <x:c r="E1003" s="186" t="str">
        <x:v>SILVER - COMMODITY EXCHANGE INC.</x:v>
      </x:c>
      <x:c r="F1003" s="186" t="n">
        <x:v>161262</x:v>
      </x:c>
      <x:c r="G1003" s="186" t="n">
        <x:v>4912</x:v>
      </x:c>
      <x:c r="H1003" s="186" t="n">
        <x:v>33723</x:v>
      </x:c>
      <x:c r="I1003" s="186" t="n">
        <x:f>G1003-H1003</x:f>
        <x:v>-28811</x:v>
      </x:c>
      <x:c r="J1003" s="186" t="n">
        <x:v>27335</x:v>
      </x:c>
      <x:c r="K1003" s="186" t="n">
        <x:v>70752</x:v>
      </x:c>
      <x:c r="L1003" s="186" t="n">
        <x:f>J1003-K1003</x:f>
        <x:v>-43417</x:v>
      </x:c>
      <x:c r="M1003" s="186" t="n">
        <x:v>45934</x:v>
      </x:c>
      <x:c r="N1003" s="186" t="n">
        <x:v>16111</x:v>
      </x:c>
      <x:c r="O1003" s="186" t="n">
        <x:f>M1003-N1003</x:f>
        <x:v>29823</x:v>
      </x:c>
      <x:c r="P1003" s="186" t="n">
        <x:v>25300</x:v>
      </x:c>
      <x:c r="Q1003" s="186" t="n">
        <x:v>4465</x:v>
      </x:c>
      <x:c r="R1003" s="186" t="n">
        <x:f>P1003-Q1003</x:f>
        <x:v>20835</x:v>
      </x:c>
      <x:c r="S1003" s="186" t="n">
        <x:v>31007</x:v>
      </x:c>
      <x:c r="T1003" s="186" t="n">
        <x:v>9437</x:v>
      </x:c>
      <x:c r="U1003" s="186" t="n">
        <x:f>S1003-T1003</x:f>
        <x:v>21570</x:v>
      </x:c>
      <x:c r="V1003" s="196" t="n">
        <x:f>IFERROR(O1003/F1003,"")</x:f>
        <x:v>0.1849350745990996</x:v>
      </x:c>
      <x:c r="W1003" s="196" t="n">
        <x:f>IFERROR(I1003/F1003,"")</x:f>
        <x:v>-0.17865957262095225</x:v>
      </x:c>
    </x:row>
    <x:row r="1004">
      <x:c r="A1004" s="186" t="str">
        <x:v>Gold</x:v>
      </x:c>
      <x:c r="B1004" s="187" t="n">
        <x:v>45881</x:v>
      </x:c>
      <x:c r="C1004" s="187" t="n">
        <x:v>45884</x:v>
      </x:c>
      <x:c r="D1004" s="186" t="str">
        <x:v>088691-GOLD</x:v>
      </x:c>
      <x:c r="E1004" s="186" t="str">
        <x:v>GOLD - COMMODITY EXCHANGE INC.</x:v>
      </x:c>
      <x:c r="F1004" s="186" t="n">
        <x:v>446152</x:v>
      </x:c>
      <x:c r="G1004" s="186" t="n">
        <x:v>9324</x:v>
      </x:c>
      <x:c r="H1004" s="186" t="n">
        <x:v>49074</x:v>
      </x:c>
      <x:c r="I1004" s="186" t="n">
        <x:f>G1004-H1004</x:f>
        <x:v>-39750</x:v>
      </x:c>
      <x:c r="J1004" s="186" t="n">
        <x:v>35951</x:v>
      </x:c>
      <x:c r="K1004" s="186" t="n">
        <x:v>259266</x:v>
      </x:c>
      <x:c r="L1004" s="186" t="n">
        <x:f>J1004-K1004</x:f>
        <x:v>-223315</x:v>
      </x:c>
      <x:c r="M1004" s="186" t="n">
        <x:v>182337</x:v>
      </x:c>
      <x:c r="N1004" s="186" t="n">
        <x:v>34050</x:v>
      </x:c>
      <x:c r="O1004" s="186" t="n">
        <x:f>M1004-N1004</x:f>
        <x:v>148287</x:v>
      </x:c>
      <x:c r="P1004" s="186" t="n">
        <x:v>105778</x:v>
      </x:c>
      <x:c r="Q1004" s="186" t="n">
        <x:v>24580</x:v>
      </x:c>
      <x:c r="R1004" s="186" t="n">
        <x:f>P1004-Q1004</x:f>
        <x:v>81198</x:v>
      </x:c>
      <x:c r="S1004" s="186" t="n">
        <x:v>53656</x:v>
      </x:c>
      <x:c r="T1004" s="186" t="n">
        <x:v>20076</x:v>
      </x:c>
      <x:c r="U1004" s="186" t="n">
        <x:f>S1004-T1004</x:f>
        <x:v>33580</x:v>
      </x:c>
      <x:c r="V1004" s="196" t="n">
        <x:f>IFERROR(O1004/F1004,"")</x:f>
        <x:v>0.33236878911223083</x:v>
      </x:c>
      <x:c r="W1004" s="196" t="n">
        <x:f>IFERROR(I1004/F1004,"")</x:f>
        <x:v>-0.08909519625598451</x:v>
      </x:c>
    </x:row>
    <x:row r="1005">
      <x:c r="A1005" s="186" t="str">
        <x:v>Silver</x:v>
      </x:c>
      <x:c r="B1005" s="187" t="n">
        <x:v>45881</x:v>
      </x:c>
      <x:c r="C1005" s="187" t="n">
        <x:v>45884</x:v>
      </x:c>
      <x:c r="D1005" s="186" t="str">
        <x:v>084691-SILVER</x:v>
      </x:c>
      <x:c r="E1005" s="186" t="str">
        <x:v>SILVER - COMMODITY EXCHANGE INC.</x:v>
      </x:c>
      <x:c r="F1005" s="186" t="n">
        <x:v>156432</x:v>
      </x:c>
      <x:c r="G1005" s="186" t="n">
        <x:v>5167</x:v>
      </x:c>
      <x:c r="H1005" s="186" t="n">
        <x:v>28177</x:v>
      </x:c>
      <x:c r="I1005" s="186" t="n">
        <x:f>G1005-H1005</x:f>
        <x:v>-23010</x:v>
      </x:c>
      <x:c r="J1005" s="186" t="n">
        <x:v>26529</x:v>
      </x:c>
      <x:c r="K1005" s="186" t="n">
        <x:v>69940</x:v>
      </x:c>
      <x:c r="L1005" s="186" t="n">
        <x:f>J1005-K1005</x:f>
        <x:v>-43411</x:v>
      </x:c>
      <x:c r="M1005" s="186" t="n">
        <x:v>43854</x:v>
      </x:c>
      <x:c r="N1005" s="186" t="n">
        <x:v>16574</x:v>
      </x:c>
      <x:c r="O1005" s="186" t="n">
        <x:f>M1005-N1005</x:f>
        <x:v>27280</x:v>
      </x:c>
      <x:c r="P1005" s="186" t="n">
        <x:v>22398</x:v>
      </x:c>
      <x:c r="Q1005" s="186" t="n">
        <x:v>5410</x:v>
      </x:c>
      <x:c r="R1005" s="186" t="n">
        <x:f>P1005-Q1005</x:f>
        <x:v>16988</x:v>
      </x:c>
      <x:c r="S1005" s="186" t="n">
        <x:v>32647</x:v>
      </x:c>
      <x:c r="T1005" s="186" t="n">
        <x:v>10494</x:v>
      </x:c>
      <x:c r="U1005" s="186" t="n">
        <x:f>S1005-T1005</x:f>
        <x:v>22153</x:v>
      </x:c>
      <x:c r="V1005" s="196" t="n">
        <x:f>IFERROR(O1005/F1005,"")</x:f>
        <x:v>0.17438887184207835</x:v>
      </x:c>
      <x:c r="W1005" s="196" t="n">
        <x:f>IFERROR(I1005/F1005,"")</x:f>
        <x:v>-0.14709266646210495</x:v>
      </x:c>
    </x:row>
    <x:row r="1006">
      <x:c r="A1006" s="186" t="str">
        <x:v>Gold</x:v>
      </x:c>
      <x:c r="B1006" s="187" t="n">
        <x:v>45888</x:v>
      </x:c>
      <x:c r="C1006" s="187" t="n">
        <x:v>45891</x:v>
      </x:c>
      <x:c r="D1006" s="186" t="str">
        <x:v>088691-GOLD</x:v>
      </x:c>
      <x:c r="E1006" s="186" t="str">
        <x:v>GOLD - COMMODITY EXCHANGE INC.</x:v>
      </x:c>
      <x:c r="F1006" s="186" t="n">
        <x:v>438541</x:v>
      </x:c>
      <x:c r="G1006" s="186" t="n">
        <x:v>9389</x:v>
      </x:c>
      <x:c r="H1006" s="186" t="n">
        <x:v>49394</x:v>
      </x:c>
      <x:c r="I1006" s="186" t="n">
        <x:f>G1006-H1006</x:f>
        <x:v>-40005</x:v>
      </x:c>
      <x:c r="J1006" s="186" t="n">
        <x:v>39607</x:v>
      </x:c>
      <x:c r="K1006" s="186" t="n">
        <x:v>249567</x:v>
      </x:c>
      <x:c r="L1006" s="186" t="n">
        <x:f>J1006-K1006</x:f>
        <x:v>-209960</x:v>
      </x:c>
      <x:c r="M1006" s="186" t="n">
        <x:v>173388</x:v>
      </x:c>
      <x:c r="N1006" s="186" t="n">
        <x:v>36003</x:v>
      </x:c>
      <x:c r="O1006" s="186" t="n">
        <x:f>M1006-N1006</x:f>
        <x:v>137385</x:v>
      </x:c>
      <x:c r="P1006" s="186" t="n">
        <x:v>101889</x:v>
      </x:c>
      <x:c r="Q1006" s="186" t="n">
        <x:v>26684</x:v>
      </x:c>
      <x:c r="R1006" s="186" t="n">
        <x:f>P1006-Q1006</x:f>
        <x:v>75205</x:v>
      </x:c>
      <x:c r="S1006" s="186" t="n">
        <x:v>56098</x:v>
      </x:c>
      <x:c r="T1006" s="186" t="n">
        <x:v>18723</x:v>
      </x:c>
      <x:c r="U1006" s="186" t="n">
        <x:f>S1006-T1006</x:f>
        <x:v>37375</x:v>
      </x:c>
      <x:c r="V1006" s="196" t="n">
        <x:f>IFERROR(O1006/F1006,"")</x:f>
        <x:v>0.31327743586118517</x:v>
      </x:c>
      <x:c r="W1006" s="196" t="n">
        <x:f>IFERROR(I1006/F1006,"")</x:f>
        <x:v>-0.09122294152656193</x:v>
      </x:c>
    </x:row>
    <x:row r="1007">
      <x:c r="A1007" s="186" t="str">
        <x:v>Silver</x:v>
      </x:c>
      <x:c r="B1007" s="187" t="n">
        <x:v>45888</x:v>
      </x:c>
      <x:c r="C1007" s="187" t="n">
        <x:v>45891</x:v>
      </x:c>
      <x:c r="D1007" s="186" t="str">
        <x:v>084691-SILVER</x:v>
      </x:c>
      <x:c r="E1007" s="186" t="str">
        <x:v>SILVER - COMMODITY EXCHANGE INC.</x:v>
      </x:c>
      <x:c r="F1007" s="186" t="n">
        <x:v>158477</x:v>
      </x:c>
      <x:c r="G1007" s="186" t="n">
        <x:v>6416</x:v>
      </x:c>
      <x:c r="H1007" s="186" t="n">
        <x:v>28993</x:v>
      </x:c>
      <x:c r="I1007" s="186" t="n">
        <x:f>G1007-H1007</x:f>
        <x:v>-22577</x:v>
      </x:c>
      <x:c r="J1007" s="186" t="n">
        <x:v>26843</x:v>
      </x:c>
      <x:c r="K1007" s="186" t="n">
        <x:v>70941</x:v>
      </x:c>
      <x:c r="L1007" s="186" t="n">
        <x:f>J1007-K1007</x:f>
        <x:v>-44098</x:v>
      </x:c>
      <x:c r="M1007" s="186" t="n">
        <x:v>44397</x:v>
      </x:c>
      <x:c r="N1007" s="186" t="n">
        <x:v>16351</x:v>
      </x:c>
      <x:c r="O1007" s="186" t="n">
        <x:f>M1007-N1007</x:f>
        <x:v>28046</x:v>
      </x:c>
      <x:c r="P1007" s="186" t="n">
        <x:v>23705</x:v>
      </x:c>
      <x:c r="Q1007" s="186" t="n">
        <x:v>5202</x:v>
      </x:c>
      <x:c r="R1007" s="186" t="n">
        <x:f>P1007-Q1007</x:f>
        <x:v>18503</x:v>
      </x:c>
      <x:c r="S1007" s="186" t="n">
        <x:v>31016</x:v>
      </x:c>
      <x:c r="T1007" s="186" t="n">
        <x:v>10890</x:v>
      </x:c>
      <x:c r="U1007" s="186" t="n">
        <x:f>S1007-T1007</x:f>
        <x:v>20126</x:v>
      </x:c>
      <x:c r="V1007" s="196" t="n">
        <x:f>IFERROR(O1007/F1007,"")</x:f>
        <x:v>0.17697205272689412</x:v>
      </x:c>
      <x:c r="W1007" s="196" t="n">
        <x:f>IFERROR(I1007/F1007,"")</x:f>
        <x:v>-0.14246231314323213</x:v>
      </x:c>
    </x:row>
    <x:row r="1008">
      <x:c r="A1008" s="186" t="str">
        <x:v>Gold</x:v>
      </x:c>
      <x:c r="B1008" s="187" t="n">
        <x:v>45895</x:v>
      </x:c>
      <x:c r="C1008" s="187" t="n">
        <x:v>45898</x:v>
      </x:c>
      <x:c r="D1008" s="186" t="str">
        <x:v>088691-GOLD</x:v>
      </x:c>
      <x:c r="E1008" s="186" t="str">
        <x:v>GOLD - COMMODITY EXCHANGE INC.</x:v>
      </x:c>
      <x:c r="F1008" s="186" t="n">
        <x:v>443760</x:v>
      </x:c>
      <x:c r="G1008" s="186" t="n">
        <x:v>9620</x:v>
      </x:c>
      <x:c r="H1008" s="186" t="n">
        <x:v>51948</x:v>
      </x:c>
      <x:c r="I1008" s="186" t="n">
        <x:f>G1008-H1008</x:f>
        <x:v>-42328</x:v>
      </x:c>
      <x:c r="J1008" s="186" t="n">
        <x:v>45622</x:v>
      </x:c>
      <x:c r="K1008" s="186" t="n">
        <x:v>254259</x:v>
      </x:c>
      <x:c r="L1008" s="186" t="n">
        <x:f>J1008-K1008</x:f>
        <x:v>-208637</x:v>
      </x:c>
      <x:c r="M1008" s="186" t="n">
        <x:v>175494</x:v>
      </x:c>
      <x:c r="N1008" s="186" t="n">
        <x:v>33577</x:v>
      </x:c>
      <x:c r="O1008" s="186" t="n">
        <x:f>M1008-N1008</x:f>
        <x:v>141917</x:v>
      </x:c>
      <x:c r="P1008" s="186" t="n">
        <x:v>100273</x:v>
      </x:c>
      <x:c r="Q1008" s="186" t="n">
        <x:v>27879</x:v>
      </x:c>
      <x:c r="R1008" s="186" t="n">
        <x:f>P1008-Q1008</x:f>
        <x:v>72394</x:v>
      </x:c>
      <x:c r="S1008" s="186" t="n">
        <x:v>56712</x:v>
      </x:c>
      <x:c r="T1008" s="186" t="n">
        <x:v>20058</x:v>
      </x:c>
      <x:c r="U1008" s="186" t="n">
        <x:f>S1008-T1008</x:f>
        <x:v>36654</x:v>
      </x:c>
      <x:c r="V1008" s="196" t="n">
        <x:f>IFERROR(O1008/F1008,"")</x:f>
        <x:v>0.31980575085631874</x:v>
      </x:c>
      <x:c r="W1008" s="196" t="n">
        <x:f>IFERROR(I1008/F1008,"")</x:f>
        <x:v>-0.09538489273481161</x:v>
      </x:c>
    </x:row>
    <x:row r="1009">
      <x:c r="A1009" s="186" t="str">
        <x:v>Silver</x:v>
      </x:c>
      <x:c r="B1009" s="187" t="n">
        <x:v>45895</x:v>
      </x:c>
      <x:c r="C1009" s="187" t="n">
        <x:v>45898</x:v>
      </x:c>
      <x:c r="D1009" s="186" t="str">
        <x:v>084691-SILVER</x:v>
      </x:c>
      <x:c r="E1009" s="186" t="str">
        <x:v>SILVER - COMMODITY EXCHANGE INC.</x:v>
      </x:c>
      <x:c r="F1009" s="186" t="n">
        <x:v>158630</x:v>
      </x:c>
      <x:c r="G1009" s="186" t="n">
        <x:v>5134</x:v>
      </x:c>
      <x:c r="H1009" s="186" t="n">
        <x:v>29632</x:v>
      </x:c>
      <x:c r="I1009" s="186" t="n">
        <x:f>G1009-H1009</x:f>
        <x:v>-24498</x:v>
      </x:c>
      <x:c r="J1009" s="186" t="n">
        <x:v>26956</x:v>
      </x:c>
      <x:c r="K1009" s="186" t="n">
        <x:v>70743</x:v>
      </x:c>
      <x:c r="L1009" s="186" t="n">
        <x:f>J1009-K1009</x:f>
        <x:v>-43787</x:v>
      </x:c>
      <x:c r="M1009" s="186" t="n">
        <x:v>48499</x:v>
      </x:c>
      <x:c r="N1009" s="186" t="n">
        <x:v>15528</x:v>
      </x:c>
      <x:c r="O1009" s="186" t="n">
        <x:f>M1009-N1009</x:f>
        <x:v>32971</x:v>
      </x:c>
      <x:c r="P1009" s="186" t="n">
        <x:v>19728</x:v>
      </x:c>
      <x:c r="Q1009" s="186" t="n">
        <x:v>6233</x:v>
      </x:c>
      <x:c r="R1009" s="186" t="n">
        <x:f>P1009-Q1009</x:f>
        <x:v>13495</x:v>
      </x:c>
      <x:c r="S1009" s="186" t="n">
        <x:v>32659</x:v>
      </x:c>
      <x:c r="T1009" s="186" t="n">
        <x:v>10840</x:v>
      </x:c>
      <x:c r="U1009" s="186" t="n">
        <x:f>S1009-T1009</x:f>
        <x:v>21819</x:v>
      </x:c>
      <x:c r="V1009" s="196" t="n">
        <x:f>IFERROR(O1009/F1009,"")</x:f>
        <x:v>0.20784845237344765</x:v>
      </x:c>
      <x:c r="W1009" s="196" t="n">
        <x:f>IFERROR(I1009/F1009,"")</x:f>
        <x:v>-0.15443484838933366</x:v>
      </x:c>
    </x:row>
    <x:row r="1010">
      <x:c r="A1010" s="186" t="str">
        <x:v>Gold</x:v>
      </x:c>
      <x:c r="B1010" s="187" t="n">
        <x:v>45902</x:v>
      </x:c>
      <x:c r="C1010" s="187" t="n">
        <x:v>45905</x:v>
      </x:c>
      <x:c r="D1010" s="186" t="str">
        <x:v>088691-GOLD</x:v>
      </x:c>
      <x:c r="E1010" s="186" t="str">
        <x:v>GOLD - COMMODITY EXCHANGE INC.</x:v>
      </x:c>
      <x:c r="F1010" s="186" t="n">
        <x:v>492908</x:v>
      </x:c>
      <x:c r="G1010" s="186" t="n">
        <x:v>8209</x:v>
      </x:c>
      <x:c r="H1010" s="186" t="n">
        <x:v>63511</x:v>
      </x:c>
      <x:c r="I1010" s="186" t="n">
        <x:f>G1010-H1010</x:f>
        <x:v>-55302</x:v>
      </x:c>
      <x:c r="J1010" s="186" t="n">
        <x:v>47568</x:v>
      </x:c>
      <x:c r="K1010" s="186" t="n">
        <x:v>266164</x:v>
      </x:c>
      <x:c r="L1010" s="186" t="n">
        <x:f>J1010-K1010</x:f>
        <x:v>-218596</x:v>
      </x:c>
      <x:c r="M1010" s="186" t="n">
        <x:v>196127</x:v>
      </x:c>
      <x:c r="N1010" s="186" t="n">
        <x:v>34625</x:v>
      </x:c>
      <x:c r="O1010" s="186" t="n">
        <x:f>M1010-N1010</x:f>
        <x:v>161502</x:v>
      </x:c>
      <x:c r="P1010" s="186" t="n">
        <x:v>119669</x:v>
      </x:c>
      <x:c r="Q1010" s="186" t="n">
        <x:v>31641</x:v>
      </x:c>
      <x:c r="R1010" s="186" t="n">
        <x:f>P1010-Q1010</x:f>
        <x:v>88028</x:v>
      </x:c>
      <x:c r="S1010" s="186" t="n">
        <x:v>56635</x:v>
      </x:c>
      <x:c r="T1010" s="186" t="n">
        <x:v>32267</x:v>
      </x:c>
      <x:c r="U1010" s="186" t="n">
        <x:f>S1010-T1010</x:f>
        <x:v>24368</x:v>
      </x:c>
      <x:c r="V1010" s="196" t="n">
        <x:f>IFERROR(O1010/F1010,"")</x:f>
        <x:v>0.3276514075649006</x:v>
      </x:c>
      <x:c r="W1010" s="196" t="n">
        <x:f>IFERROR(I1010/F1010,"")</x:f>
        <x:v>-0.11219537925941556</x:v>
      </x:c>
    </x:row>
    <x:row r="1011">
      <x:c r="A1011" s="186" t="str">
        <x:v>Silver</x:v>
      </x:c>
      <x:c r="B1011" s="187" t="n">
        <x:v>45902</x:v>
      </x:c>
      <x:c r="C1011" s="187" t="n">
        <x:v>45905</x:v>
      </x:c>
      <x:c r="D1011" s="186" t="str">
        <x:v>084691-SILVER</x:v>
      </x:c>
      <x:c r="E1011" s="186" t="str">
        <x:v>SILVER - COMMODITY EXCHANGE INC.</x:v>
      </x:c>
      <x:c r="F1011" s="186" t="n">
        <x:v>158368</x:v>
      </x:c>
      <x:c r="G1011" s="186" t="n">
        <x:v>3512</x:v>
      </x:c>
      <x:c r="H1011" s="186" t="n">
        <x:v>33233</x:v>
      </x:c>
      <x:c r="I1011" s="186" t="n">
        <x:f>G1011-H1011</x:f>
        <x:v>-29721</x:v>
      </x:c>
      <x:c r="J1011" s="186" t="n">
        <x:v>26644</x:v>
      </x:c>
      <x:c r="K1011" s="186" t="n">
        <x:v>71120</x:v>
      </x:c>
      <x:c r="L1011" s="186" t="n">
        <x:f>J1011-K1011</x:f>
        <x:v>-44476</x:v>
      </x:c>
      <x:c r="M1011" s="186" t="n">
        <x:v>51293</x:v>
      </x:c>
      <x:c r="N1011" s="186" t="n">
        <x:v>12523</x:v>
      </x:c>
      <x:c r="O1011" s="186" t="n">
        <x:f>M1011-N1011</x:f>
        <x:v>38770</x:v>
      </x:c>
      <x:c r="P1011" s="186" t="n">
        <x:v>23173</x:v>
      </x:c>
      <x:c r="Q1011" s="186" t="n">
        <x:v>6020</x:v>
      </x:c>
      <x:c r="R1011" s="186" t="n">
        <x:f>P1011-Q1011</x:f>
        <x:v>17153</x:v>
      </x:c>
      <x:c r="S1011" s="186" t="n">
        <x:v>33008</x:v>
      </x:c>
      <x:c r="T1011" s="186" t="n">
        <x:v>14734</x:v>
      </x:c>
      <x:c r="U1011" s="186" t="n">
        <x:f>S1011-T1011</x:f>
        <x:v>18274</x:v>
      </x:c>
      <x:c r="V1011" s="196" t="n">
        <x:f>IFERROR(O1011/F1011,"")</x:f>
        <x:v>0.24480955748636088</x:v>
      </x:c>
      <x:c r="W1011" s="196" t="n">
        <x:f>IFERROR(I1011/F1011,"")</x:f>
        <x:v>-0.18767048898767427</x:v>
      </x:c>
    </x:row>
    <x:row r="1012">
      <x:c r="A1012" s="186" t="str">
        <x:v>Gold</x:v>
      </x:c>
      <x:c r="B1012" s="187" t="n">
        <x:v>45909</x:v>
      </x:c>
      <x:c r="C1012" s="187" t="n">
        <x:v>45912</x:v>
      </x:c>
      <x:c r="D1012" s="186" t="str">
        <x:v>088691-GOLD</x:v>
      </x:c>
      <x:c r="E1012" s="186" t="str">
        <x:v>GOLD - COMMODITY EXCHANGE INC.</x:v>
      </x:c>
      <x:c r="F1012" s="186" t="n">
        <x:v>509625</x:v>
      </x:c>
      <x:c r="G1012" s="186" t="n">
        <x:v>9864</x:v>
      </x:c>
      <x:c r="H1012" s="186" t="n">
        <x:v>72418</x:v>
      </x:c>
      <x:c r="I1012" s="186" t="n">
        <x:f>G1012-H1012</x:f>
        <x:v>-62554</x:v>
      </x:c>
      <x:c r="J1012" s="186" t="n">
        <x:v>48287</x:v>
      </x:c>
      <x:c r="K1012" s="186" t="n">
        <x:v>259108</x:v>
      </x:c>
      <x:c r="L1012" s="186" t="n">
        <x:f>J1012-K1012</x:f>
        <x:v>-210821</x:v>
      </x:c>
      <x:c r="M1012" s="186" t="n">
        <x:v>198907</x:v>
      </x:c>
      <x:c r="N1012" s="186" t="n">
        <x:v>35388</x:v>
      </x:c>
      <x:c r="O1012" s="186" t="n">
        <x:f>M1012-N1012</x:f>
        <x:v>163519</x:v>
      </x:c>
      <x:c r="P1012" s="186" t="n">
        <x:v>125968</x:v>
      </x:c>
      <x:c r="Q1012" s="186" t="n">
        <x:v>27747</x:v>
      </x:c>
      <x:c r="R1012" s="186" t="n">
        <x:f>P1012-Q1012</x:f>
        <x:v>98221</x:v>
      </x:c>
      <x:c r="S1012" s="186" t="n">
        <x:v>58990</x:v>
      </x:c>
      <x:c r="T1012" s="186" t="n">
        <x:v>47355</x:v>
      </x:c>
      <x:c r="U1012" s="186" t="n">
        <x:f>S1012-T1012</x:f>
        <x:v>11635</x:v>
      </x:c>
      <x:c r="V1012" s="196" t="n">
        <x:f>IFERROR(O1012/F1012,"")</x:f>
        <x:v>0.3208614177090998</x:v>
      </x:c>
      <x:c r="W1012" s="196" t="n">
        <x:f>IFERROR(I1012/F1012,"")</x:f>
        <x:v>-0.12274515575177827</x:v>
      </x:c>
    </x:row>
    <x:row r="1013">
      <x:c r="A1013" s="186" t="str">
        <x:v>Silver</x:v>
      </x:c>
      <x:c r="B1013" s="187" t="n">
        <x:v>45909</x:v>
      </x:c>
      <x:c r="C1013" s="187" t="n">
        <x:v>45912</x:v>
      </x:c>
      <x:c r="D1013" s="186" t="str">
        <x:v>084691-SILVER</x:v>
      </x:c>
      <x:c r="E1013" s="186" t="str">
        <x:v>SILVER - COMMODITY EXCHANGE INC.</x:v>
      </x:c>
      <x:c r="F1013" s="186" t="n">
        <x:v>156703</x:v>
      </x:c>
      <x:c r="G1013" s="186" t="n">
        <x:v>3805</x:v>
      </x:c>
      <x:c r="H1013" s="186" t="n">
        <x:v>31749</x:v>
      </x:c>
      <x:c r="I1013" s="186" t="n">
        <x:f>G1013-H1013</x:f>
        <x:v>-27944</x:v>
      </x:c>
      <x:c r="J1013" s="186" t="n">
        <x:v>26251</x:v>
      </x:c>
      <x:c r="K1013" s="186" t="n">
        <x:v>71709</x:v>
      </x:c>
      <x:c r="L1013" s="186" t="n">
        <x:f>J1013-K1013</x:f>
        <x:v>-45458</x:v>
      </x:c>
      <x:c r="M1013" s="186" t="n">
        <x:v>49390</x:v>
      </x:c>
      <x:c r="N1013" s="186" t="n">
        <x:v>13535</x:v>
      </x:c>
      <x:c r="O1013" s="186" t="n">
        <x:f>M1013-N1013</x:f>
        <x:v>35855</x:v>
      </x:c>
      <x:c r="P1013" s="186" t="n">
        <x:v>23060</x:v>
      </x:c>
      <x:c r="Q1013" s="186" t="n">
        <x:v>4978</x:v>
      </x:c>
      <x:c r="R1013" s="186" t="n">
        <x:f>P1013-Q1013</x:f>
        <x:v>18082</x:v>
      </x:c>
      <x:c r="S1013" s="186" t="n">
        <x:v>32191</x:v>
      </x:c>
      <x:c r="T1013" s="186" t="n">
        <x:v>12726</x:v>
      </x:c>
      <x:c r="U1013" s="186" t="n">
        <x:f>S1013-T1013</x:f>
        <x:v>19465</x:v>
      </x:c>
      <x:c r="V1013" s="196" t="n">
        <x:f>IFERROR(O1013/F1013,"")</x:f>
        <x:v>0.2288086379967199</x:v>
      </x:c>
      <x:c r="W1013" s="196" t="n">
        <x:f>IFERROR(I1013/F1013,"")</x:f>
        <x:v>-0.17832460131586506</x:v>
      </x:c>
    </x:row>
    <x:row r="1014">
      <x:c r="A1014" s="186" t="str">
        <x:v>Gold</x:v>
      </x:c>
      <x:c r="B1014" s="187" t="n">
        <x:v>45916</x:v>
      </x:c>
      <x:c r="C1014" s="187" t="n">
        <x:v>45919</x:v>
      </x:c>
      <x:c r="D1014" s="186" t="str">
        <x:v>088691-GOLD</x:v>
      </x:c>
      <x:c r="E1014" s="186" t="str">
        <x:v>GOLD - COMMODITY EXCHANGE INC.</x:v>
      </x:c>
      <x:c r="F1014" s="186" t="n">
        <x:v>516221</x:v>
      </x:c>
      <x:c r="G1014" s="186" t="n">
        <x:v>10992</x:v>
      </x:c>
      <x:c r="H1014" s="186" t="n">
        <x:v>76376</x:v>
      </x:c>
      <x:c r="I1014" s="186" t="n">
        <x:f>G1014-H1014</x:f>
        <x:v>-65384</x:v>
      </x:c>
      <x:c r="J1014" s="186" t="n">
        <x:v>46465</x:v>
      </x:c>
      <x:c r="K1014" s="186" t="n">
        <x:v>283452</x:v>
      </x:c>
      <x:c r="L1014" s="186" t="n">
        <x:f>J1014-K1014</x:f>
        <x:v>-236987</x:v>
      </x:c>
      <x:c r="M1014" s="186" t="n">
        <x:v>195347</x:v>
      </x:c>
      <x:c r="N1014" s="186" t="n">
        <x:v>36376</x:v>
      </x:c>
      <x:c r="O1014" s="186" t="n">
        <x:f>M1014-N1014</x:f>
        <x:v>158971</x:v>
      </x:c>
      <x:c r="P1014" s="186" t="n">
        <x:v>131431</x:v>
      </x:c>
      <x:c r="Q1014" s="186" t="n">
        <x:v>23992</x:v>
      </x:c>
      <x:c r="R1014" s="186" t="n">
        <x:f>P1014-Q1014</x:f>
        <x:v>107439</x:v>
      </x:c>
      <x:c r="S1014" s="186" t="n">
        <x:v>60872</x:v>
      </x:c>
      <x:c r="T1014" s="186" t="n">
        <x:v>24911</x:v>
      </x:c>
      <x:c r="U1014" s="186" t="n">
        <x:f>S1014-T1014</x:f>
        <x:v>35961</x:v>
      </x:c>
      <x:c r="V1014" s="196" t="n">
        <x:f>IFERROR(O1014/F1014,"")</x:f>
        <x:v>0.3079514394028914</x:v>
      </x:c>
      <x:c r="W1014" s="196" t="n">
        <x:f>IFERROR(I1014/F1014,"")</x:f>
        <x:v>-0.12665893096173925</x:v>
      </x:c>
    </x:row>
    <x:row r="1015">
      <x:c r="A1015" s="186" t="str">
        <x:v>Silver</x:v>
      </x:c>
      <x:c r="B1015" s="187" t="n">
        <x:v>45916</x:v>
      </x:c>
      <x:c r="C1015" s="187" t="n">
        <x:v>45919</x:v>
      </x:c>
      <x:c r="D1015" s="186" t="str">
        <x:v>084691-SILVER</x:v>
      </x:c>
      <x:c r="E1015" s="186" t="str">
        <x:v>SILVER - COMMODITY EXCHANGE INC.</x:v>
      </x:c>
      <x:c r="F1015" s="186" t="n">
        <x:v>162954</x:v>
      </x:c>
      <x:c r="G1015" s="186" t="n">
        <x:v>4519</x:v>
      </x:c>
      <x:c r="H1015" s="186" t="n">
        <x:v>32444</x:v>
      </x:c>
      <x:c r="I1015" s="186" t="n">
        <x:f>G1015-H1015</x:f>
        <x:v>-27925</x:v>
      </x:c>
      <x:c r="J1015" s="186" t="n">
        <x:v>27171</x:v>
      </x:c>
      <x:c r="K1015" s="186" t="n">
        <x:v>70635</x:v>
      </x:c>
      <x:c r="L1015" s="186" t="n">
        <x:f>J1015-K1015</x:f>
        <x:v>-43464</x:v>
      </x:c>
      <x:c r="M1015" s="186" t="n">
        <x:v>51259</x:v>
      </x:c>
      <x:c r="N1015" s="186" t="n">
        <x:v>15453</x:v>
      </x:c>
      <x:c r="O1015" s="186" t="n">
        <x:f>M1015-N1015</x:f>
        <x:v>35806</x:v>
      </x:c>
      <x:c r="P1015" s="186" t="n">
        <x:v>20364</x:v>
      </x:c>
      <x:c r="Q1015" s="186" t="n">
        <x:v>4632</x:v>
      </x:c>
      <x:c r="R1015" s="186" t="n">
        <x:f>P1015-Q1015</x:f>
        <x:v>15732</x:v>
      </x:c>
      <x:c r="S1015" s="186" t="n">
        <x:v>32407</x:v>
      </x:c>
      <x:c r="T1015" s="186" t="n">
        <x:v>12556</x:v>
      </x:c>
      <x:c r="U1015" s="186" t="n">
        <x:f>S1015-T1015</x:f>
        <x:v>19851</x:v>
      </x:c>
      <x:c r="V1015" s="196" t="n">
        <x:f>IFERROR(O1015/F1015,"")</x:f>
        <x:v>0.2197307215533218</x:v>
      </x:c>
      <x:c r="W1015" s="196" t="n">
        <x:f>IFERROR(I1015/F1015,"")</x:f>
        <x:v>-0.17136737975134086</x:v>
      </x:c>
    </x:row>
    <x:row r="1016">
      <x:c r="A1016" s="186" t="str">
        <x:v>Gold</x:v>
      </x:c>
      <x:c r="B1016" s="187" t="n">
        <x:v>45923</x:v>
      </x:c>
      <x:c r="C1016" s="187" t="n">
        <x:v>45926</x:v>
      </x:c>
      <x:c r="D1016" s="186" t="str">
        <x:v>088691-GOLD</x:v>
      </x:c>
      <x:c r="E1016" s="186" t="str">
        <x:v>GOLD - COMMODITY EXCHANGE INC.</x:v>
      </x:c>
      <x:c r="F1016" s="186" t="n">
        <x:v>528789</x:v>
      </x:c>
      <x:c r="G1016" s="186" t="n">
        <x:v>11851</x:v>
      </x:c>
      <x:c r="H1016" s="186" t="n">
        <x:v>79003</x:v>
      </x:c>
      <x:c r="I1016" s="186" t="n">
        <x:f>G1016-H1016</x:f>
        <x:v>-67152</x:v>
      </x:c>
      <x:c r="J1016" s="186" t="n">
        <x:v>49618</x:v>
      </x:c>
      <x:c r="K1016" s="186" t="n">
        <x:v>280869</x:v>
      </x:c>
      <x:c r="L1016" s="186" t="n">
        <x:f>J1016-K1016</x:f>
        <x:v>-231251</x:v>
      </x:c>
      <x:c r="M1016" s="186" t="n">
        <x:v>198826</x:v>
      </x:c>
      <x:c r="N1016" s="186" t="n">
        <x:v>38277</x:v>
      </x:c>
      <x:c r="O1016" s="186" t="n">
        <x:f>M1016-N1016</x:f>
        <x:v>160549</x:v>
      </x:c>
      <x:c r="P1016" s="186" t="n">
        <x:v>133982</x:v>
      </x:c>
      <x:c r="Q1016" s="186" t="n">
        <x:v>27782</x:v>
      </x:c>
      <x:c r="R1016" s="186" t="n">
        <x:f>P1016-Q1016</x:f>
        <x:v>106200</x:v>
      </x:c>
      <x:c r="S1016" s="186" t="n">
        <x:v>57683</x:v>
      </x:c>
      <x:c r="T1016" s="186" t="n">
        <x:v>26029</x:v>
      </x:c>
      <x:c r="U1016" s="186" t="n">
        <x:f>S1016-T1016</x:f>
        <x:v>31654</x:v>
      </x:c>
      <x:c r="V1016" s="196" t="n">
        <x:f>IFERROR(O1016/F1016,"")</x:f>
        <x:v>0.30361637628619353</x:v>
      </x:c>
      <x:c r="W1016" s="196" t="n">
        <x:f>IFERROR(I1016/F1016,"")</x:f>
        <x:v>-0.12699205165009106</x:v>
      </x:c>
    </x:row>
    <x:row r="1017">
      <x:c r="A1017" s="186" t="str">
        <x:v>Silver</x:v>
      </x:c>
      <x:c r="B1017" s="187" t="n">
        <x:v>45923</x:v>
      </x:c>
      <x:c r="C1017" s="187" t="n">
        <x:v>45926</x:v>
      </x:c>
      <x:c r="D1017" s="186" t="str">
        <x:v>084691-SILVER</x:v>
      </x:c>
      <x:c r="E1017" s="186" t="str">
        <x:v>SILVER - COMMODITY EXCHANGE INC.</x:v>
      </x:c>
      <x:c r="F1017" s="186" t="n">
        <x:v>165805</x:v>
      </x:c>
      <x:c r="G1017" s="186" t="n">
        <x:v>4263</x:v>
      </x:c>
      <x:c r="H1017" s="186" t="n">
        <x:v>33086</x:v>
      </x:c>
      <x:c r="I1017" s="186" t="n">
        <x:f>G1017-H1017</x:f>
        <x:v>-28823</x:v>
      </x:c>
      <x:c r="J1017" s="186" t="n">
        <x:v>25785</x:v>
      </x:c>
      <x:c r="K1017" s="186" t="n">
        <x:v>69717</x:v>
      </x:c>
      <x:c r="L1017" s="186" t="n">
        <x:f>J1017-K1017</x:f>
        <x:v>-43932</x:v>
      </x:c>
      <x:c r="M1017" s="186" t="n">
        <x:v>51225</x:v>
      </x:c>
      <x:c r="N1017" s="186" t="n">
        <x:v>14126</x:v>
      </x:c>
      <x:c r="O1017" s="186" t="n">
        <x:f>M1017-N1017</x:f>
        <x:v>37099</x:v>
      </x:c>
      <x:c r="P1017" s="186" t="n">
        <x:v>21093</x:v>
      </x:c>
      <x:c r="Q1017" s="186" t="n">
        <x:v>5916</x:v>
      </x:c>
      <x:c r="R1017" s="186" t="n">
        <x:f>P1017-Q1017</x:f>
        <x:v>15177</x:v>
      </x:c>
      <x:c r="S1017" s="186" t="n">
        <x:v>33158</x:v>
      </x:c>
      <x:c r="T1017" s="186" t="n">
        <x:v>12679</x:v>
      </x:c>
      <x:c r="U1017" s="186" t="n">
        <x:f>S1017-T1017</x:f>
        <x:v>20479</x:v>
      </x:c>
      <x:c r="V1017" s="196" t="n">
        <x:f>IFERROR(O1017/F1017,"")</x:f>
        <x:v>0.2237507915925334</x:v>
      </x:c>
      <x:c r="W1017" s="196" t="n">
        <x:f>IFERROR(I1017/F1017,"")</x:f>
        <x:v>-0.17383673592473087</x:v>
      </x:c>
    </x:row>
    <x:row r="1018">
      <x:c r="A1018" s="186" t="str">
        <x:v>Gold</x:v>
      </x:c>
      <x:c r="B1018" s="187" t="n">
        <x:v>45930</x:v>
      </x:c>
      <x:c r="C1018" s="187" t="n">
        <x:v>45933</x:v>
      </x:c>
      <x:c r="D1018" s="186" t="str">
        <x:v>088691-GOLD</x:v>
      </x:c>
      <x:c r="E1018" s="186" t="str">
        <x:v>GOLD - COMMODITY EXCHANGE INC.</x:v>
      </x:c>
      <x:c r="F1018" s="186" t="n">
        <x:v>493748</x:v>
      </x:c>
      <x:c r="G1018" s="186" t="n">
        <x:v>10432</x:v>
      </x:c>
      <x:c r="H1018" s="186" t="n">
        <x:v>75829</x:v>
      </x:c>
      <x:c r="I1018" s="186" t="n">
        <x:f>G1018-H1018</x:f>
        <x:v>-65397</x:v>
      </x:c>
      <x:c r="J1018" s="186" t="n">
        <x:v>41038</x:v>
      </x:c>
      <x:c r="K1018" s="186" t="n">
        <x:v>263877</x:v>
      </x:c>
      <x:c r="L1018" s="186" t="n">
        <x:f>J1018-K1018</x:f>
        <x:v>-222839</x:v>
      </x:c>
      <x:c r="M1018" s="186" t="n">
        <x:v>184199</x:v>
      </x:c>
      <x:c r="N1018" s="186" t="n">
        <x:v>38972</x:v>
      </x:c>
      <x:c r="O1018" s="186" t="n">
        <x:f>M1018-N1018</x:f>
        <x:v>145227</x:v>
      </x:c>
      <x:c r="P1018" s="186" t="n">
        <x:v>134605</x:v>
      </x:c>
      <x:c r="Q1018" s="186" t="n">
        <x:v>26924</x:v>
      </x:c>
      <x:c r="R1018" s="186" t="n">
        <x:f>P1018-Q1018</x:f>
        <x:v>107681</x:v>
      </x:c>
      <x:c r="S1018" s="186" t="n">
        <x:v>57524</x:v>
      </x:c>
      <x:c r="T1018" s="186" t="n">
        <x:v>22196</x:v>
      </x:c>
      <x:c r="U1018" s="186" t="n">
        <x:f>S1018-T1018</x:f>
        <x:v>35328</x:v>
      </x:c>
      <x:c r="V1018" s="196" t="n">
        <x:f>IFERROR(O1018/F1018,"")</x:f>
        <x:v>0.2941318243314403</x:v>
      </x:c>
      <x:c r="W1018" s="196" t="n">
        <x:f>IFERROR(I1018/F1018,"")</x:f>
        <x:v>-0.13245015676012864</x:v>
      </x:c>
    </x:row>
    <x:row r="1019">
      <x:c r="A1019" s="186" t="str">
        <x:v>Silver</x:v>
      </x:c>
      <x:c r="B1019" s="187" t="n">
        <x:v>45930</x:v>
      </x:c>
      <x:c r="C1019" s="187" t="n">
        <x:v>45933</x:v>
      </x:c>
      <x:c r="D1019" s="186" t="str">
        <x:v>084691-SILVER</x:v>
      </x:c>
      <x:c r="E1019" s="186" t="str">
        <x:v>SILVER - COMMODITY EXCHANGE INC.</x:v>
      </x:c>
      <x:c r="F1019" s="186" t="n">
        <x:v>163837</x:v>
      </x:c>
      <x:c r="G1019" s="186" t="n">
        <x:v>4632</x:v>
      </x:c>
      <x:c r="H1019" s="186" t="n">
        <x:v>31455</x:v>
      </x:c>
      <x:c r="I1019" s="186" t="n">
        <x:f>G1019-H1019</x:f>
        <x:v>-26823</x:v>
      </x:c>
      <x:c r="J1019" s="186" t="n">
        <x:v>26410</x:v>
      </x:c>
      <x:c r="K1019" s="186" t="n">
        <x:v>70677</x:v>
      </x:c>
      <x:c r="L1019" s="186" t="n">
        <x:f>J1019-K1019</x:f>
        <x:v>-44267</x:v>
      </x:c>
      <x:c r="M1019" s="186" t="n">
        <x:v>49827</x:v>
      </x:c>
      <x:c r="N1019" s="186" t="n">
        <x:v>14906</x:v>
      </x:c>
      <x:c r="O1019" s="186" t="n">
        <x:f>M1019-N1019</x:f>
        <x:v>34921</x:v>
      </x:c>
      <x:c r="P1019" s="186" t="n">
        <x:v>20235</x:v>
      </x:c>
      <x:c r="Q1019" s="186" t="n">
        <x:v>5417</x:v>
      </x:c>
      <x:c r="R1019" s="186" t="n">
        <x:f>P1019-Q1019</x:f>
        <x:v>14818</x:v>
      </x:c>
      <x:c r="S1019" s="186" t="n">
        <x:v>34563</x:v>
      </x:c>
      <x:c r="T1019" s="186" t="n">
        <x:v>13212</x:v>
      </x:c>
      <x:c r="U1019" s="186" t="n">
        <x:f>S1019-T1019</x:f>
        <x:v>21351</x:v>
      </x:c>
      <x:c r="V1019" s="196" t="n">
        <x:f>IFERROR(O1019/F1019,"")</x:f>
        <x:v>0.21314477193796272</x:v>
      </x:c>
      <x:c r="W1019" s="196" t="n">
        <x:f>IFERROR(I1019/F1019,"")</x:f>
        <x:v>-0.16371759736811586</x:v>
      </x:c>
    </x:row>
    <x:row r="1020">
      <x:c r="A1020" s="186" t="str">
        <x:v>Gold</x:v>
      </x:c>
      <x:c r="B1020" s="187" t="n">
        <x:v>45937</x:v>
      </x:c>
      <x:c r="C1020" s="187" t="n">
        <x:v>45940</x:v>
      </x:c>
      <x:c r="D1020" s="186" t="str">
        <x:v>088691-GOLD</x:v>
      </x:c>
      <x:c r="E1020" s="186" t="str">
        <x:v>GOLD - COMMODITY EXCHANGE INC.</x:v>
      </x:c>
      <x:c r="F1020" s="186" t="n">
        <x:v>485559</x:v>
      </x:c>
      <x:c r="G1020" s="186" t="n">
        <x:v>12169</x:v>
      </x:c>
      <x:c r="H1020" s="186" t="n">
        <x:v>77521</x:v>
      </x:c>
      <x:c r="I1020" s="186" t="n">
        <x:f>G1020-H1020</x:f>
        <x:v>-65352</x:v>
      </x:c>
      <x:c r="J1020" s="186" t="n">
        <x:v>45558</x:v>
      </x:c>
      <x:c r="K1020" s="186" t="n">
        <x:v>243978</x:v>
      </x:c>
      <x:c r="L1020" s="186" t="n">
        <x:f>J1020-K1020</x:f>
        <x:v>-198420</x:v>
      </x:c>
      <x:c r="M1020" s="186" t="n">
        <x:v>170587</x:v>
      </x:c>
      <x:c r="N1020" s="186" t="n">
        <x:v>40828</x:v>
      </x:c>
      <x:c r="O1020" s="186" t="n">
        <x:f>M1020-N1020</x:f>
        <x:v>129759</x:v>
      </x:c>
      <x:c r="P1020" s="186" t="n">
        <x:v>130211</x:v>
      </x:c>
      <x:c r="Q1020" s="186" t="n">
        <x:v>28014</x:v>
      </x:c>
      <x:c r="R1020" s="186" t="n">
        <x:f>P1020-Q1020</x:f>
        <x:v>102197</x:v>
      </x:c>
      <x:c r="S1020" s="186" t="n">
        <x:v>56574</x:v>
      </x:c>
      <x:c r="T1020" s="186" t="n">
        <x:v>24758</x:v>
      </x:c>
      <x:c r="U1020" s="186" t="n">
        <x:f>S1020-T1020</x:f>
        <x:v>31816</x:v>
      </x:c>
      <x:c r="V1020" s="196" t="n">
        <x:f>IFERROR(O1020/F1020,"")</x:f>
        <x:v>0.2672363193762241</x:v>
      </x:c>
      <x:c r="W1020" s="196" t="n">
        <x:f>IFERROR(I1020/F1020,"")</x:f>
        <x:v>-0.13459126491322373</x:v>
      </x:c>
    </x:row>
    <x:row r="1021">
      <x:c r="A1021" s="186" t="str">
        <x:v>Silver</x:v>
      </x:c>
      <x:c r="B1021" s="187" t="n">
        <x:v>45937</x:v>
      </x:c>
      <x:c r="C1021" s="187" t="n">
        <x:v>45940</x:v>
      </x:c>
      <x:c r="D1021" s="186" t="str">
        <x:v>084691-SILVER</x:v>
      </x:c>
      <x:c r="E1021" s="186" t="str">
        <x:v>SILVER - COMMODITY EXCHANGE INC.</x:v>
      </x:c>
      <x:c r="F1021" s="186" t="n">
        <x:v>166474</x:v>
      </x:c>
      <x:c r="G1021" s="186" t="n">
        <x:v>7747</x:v>
      </x:c>
      <x:c r="H1021" s="186" t="n">
        <x:v>31785</x:v>
      </x:c>
      <x:c r="I1021" s="186" t="n">
        <x:f>G1021-H1021</x:f>
        <x:v>-24038</x:v>
      </x:c>
      <x:c r="J1021" s="186" t="n">
        <x:v>26843</x:v>
      </x:c>
      <x:c r="K1021" s="186" t="n">
        <x:v>71491</x:v>
      </x:c>
      <x:c r="L1021" s="186" t="n">
        <x:f>J1021-K1021</x:f>
        <x:v>-44648</x:v>
      </x:c>
      <x:c r="M1021" s="186" t="n">
        <x:v>43186</x:v>
      </x:c>
      <x:c r="N1021" s="186" t="n">
        <x:v>15693</x:v>
      </x:c>
      <x:c r="O1021" s="186" t="n">
        <x:f>M1021-N1021</x:f>
        <x:v>27493</x:v>
      </x:c>
      <x:c r="P1021" s="186" t="n">
        <x:v>24482</x:v>
      </x:c>
      <x:c r="Q1021" s="186" t="n">
        <x:v>5758</x:v>
      </x:c>
      <x:c r="R1021" s="186" t="n">
        <x:f>P1021-Q1021</x:f>
        <x:v>18724</x:v>
      </x:c>
      <x:c r="S1021" s="186" t="n">
        <x:v>35343</x:v>
      </x:c>
      <x:c r="T1021" s="186" t="n">
        <x:v>12874</x:v>
      </x:c>
      <x:c r="U1021" s="186" t="n">
        <x:f>S1021-T1021</x:f>
        <x:v>22469</x:v>
      </x:c>
      <x:c r="V1021" s="196" t="n">
        <x:f>IFERROR(O1021/F1021,"")</x:f>
        <x:v>0.16514891214243665</x:v>
      </x:c>
      <x:c r="W1021" s="196" t="n">
        <x:f>IFERROR(I1021/F1021,"")</x:f>
        <x:v>-0.14439492052813052</x:v>
      </x:c>
    </x:row>
    <x:row r="1022">
      <x:c r="A1022" s="186" t="str">
        <x:v>Gold</x:v>
      </x:c>
      <x:c r="B1022" s="187" t="n">
        <x:v>45944</x:v>
      </x:c>
      <x:c r="C1022" s="187" t="n">
        <x:v>45947</x:v>
      </x:c>
      <x:c r="D1022" s="186" t="str">
        <x:v>088691-GOLD</x:v>
      </x:c>
      <x:c r="E1022" s="186" t="str">
        <x:v>GOLD - COMMODITY EXCHANGE INC.</x:v>
      </x:c>
      <x:c r="F1022" s="186" t="n">
        <x:v>485788</x:v>
      </x:c>
      <x:c r="G1022" s="186" t="n">
        <x:v>14094</x:v>
      </x:c>
      <x:c r="H1022" s="186" t="n">
        <x:v>75551</x:v>
      </x:c>
      <x:c r="I1022" s="186" t="n">
        <x:f>G1022-H1022</x:f>
        <x:v>-61457</x:v>
      </x:c>
      <x:c r="J1022" s="186" t="n">
        <x:v>51318</x:v>
      </x:c>
      <x:c r="K1022" s="186" t="n">
        <x:v>226728</x:v>
      </x:c>
      <x:c r="L1022" s="186" t="n">
        <x:f>J1022-K1022</x:f>
        <x:v>-175410</x:v>
      </x:c>
      <x:c r="M1022" s="186" t="n">
        <x:v>152187</x:v>
      </x:c>
      <x:c r="N1022" s="186" t="n">
        <x:v>43877</x:v>
      </x:c>
      <x:c r="O1022" s="186" t="n">
        <x:f>M1022-N1022</x:f>
        <x:v>108310</x:v>
      </x:c>
      <x:c r="P1022" s="186" t="n">
        <x:v>126218</x:v>
      </x:c>
      <x:c r="Q1022" s="186" t="n">
        <x:v>30612</x:v>
      </x:c>
      <x:c r="R1022" s="186" t="n">
        <x:f>P1022-Q1022</x:f>
        <x:v>95606</x:v>
      </x:c>
      <x:c r="S1022" s="186" t="n">
        <x:v>59259</x:v>
      </x:c>
      <x:c r="T1022" s="186" t="n">
        <x:v>26308</x:v>
      </x:c>
      <x:c r="U1022" s="186" t="n">
        <x:f>S1022-T1022</x:f>
        <x:v>32951</x:v>
      </x:c>
      <x:c r="V1022" s="196" t="n">
        <x:f>IFERROR(O1022/F1022,"")</x:f>
        <x:v>0.22295733941554752</x:v>
      </x:c>
      <x:c r="W1022" s="196" t="n">
        <x:f>IFERROR(I1022/F1022,"")</x:f>
        <x:v>-0.12650991790657654</x:v>
      </x:c>
    </x:row>
    <x:row r="1023">
      <x:c r="A1023" s="186" t="str">
        <x:v>Silver</x:v>
      </x:c>
      <x:c r="B1023" s="187" t="n">
        <x:v>45944</x:v>
      </x:c>
      <x:c r="C1023" s="187" t="n">
        <x:v>45947</x:v>
      </x:c>
      <x:c r="D1023" s="186" t="str">
        <x:v>084691-SILVER</x:v>
      </x:c>
      <x:c r="E1023" s="186" t="str">
        <x:v>SILVER - COMMODITY EXCHANGE INC.</x:v>
      </x:c>
      <x:c r="F1023" s="186" t="n">
        <x:v>172415</x:v>
      </x:c>
      <x:c r="G1023" s="186" t="n">
        <x:v>5829</x:v>
      </x:c>
      <x:c r="H1023" s="186" t="n">
        <x:v>31842</x:v>
      </x:c>
      <x:c r="I1023" s="186" t="n">
        <x:f>G1023-H1023</x:f>
        <x:v>-26013</x:v>
      </x:c>
      <x:c r="J1023" s="186" t="n">
        <x:v>27083</x:v>
      </x:c>
      <x:c r="K1023" s="186" t="n">
        <x:v>65725</x:v>
      </x:c>
      <x:c r="L1023" s="186" t="n">
        <x:f>J1023-K1023</x:f>
        <x:v>-38642</x:v>
      </x:c>
      <x:c r="M1023" s="186" t="n">
        <x:v>39304</x:v>
      </x:c>
      <x:c r="N1023" s="186" t="n">
        <x:v>16266</x:v>
      </x:c>
      <x:c r="O1023" s="186" t="n">
        <x:f>M1023-N1023</x:f>
        <x:v>23038</x:v>
      </x:c>
      <x:c r="P1023" s="186" t="n">
        <x:v>27737</x:v>
      </x:c>
      <x:c r="Q1023" s="186" t="n">
        <x:v>7594</x:v>
      </x:c>
      <x:c r="R1023" s="186" t="n">
        <x:f>P1023-Q1023</x:f>
        <x:v>20143</x:v>
      </x:c>
      <x:c r="S1023" s="186" t="n">
        <x:v>34733</x:v>
      </x:c>
      <x:c r="T1023" s="186" t="n">
        <x:v>13259</x:v>
      </x:c>
      <x:c r="U1023" s="186" t="n">
        <x:f>S1023-T1023</x:f>
        <x:v>21474</x:v>
      </x:c>
      <x:c r="V1023" s="196" t="n">
        <x:f>IFERROR(O1023/F1023,"")</x:f>
        <x:v>0.13361946466374736</x:v>
      </x:c>
      <x:c r="W1023" s="196" t="n">
        <x:f>IFERROR(I1023/F1023,"")</x:f>
        <x:v>-0.15087434387959284</x:v>
      </x:c>
    </x:row>
    <x:row r="1024">
      <x:c r="A1024" s="186" t="str">
        <x:v>Gold</x:v>
      </x:c>
      <x:c r="B1024" s="187" t="n">
        <x:v>45951</x:v>
      </x:c>
      <x:c r="C1024" s="187" t="n">
        <x:v>45954</x:v>
      </x:c>
      <x:c r="D1024" s="186" t="str">
        <x:v>088691-GOLD</x:v>
      </x:c>
      <x:c r="E1024" s="186" t="str">
        <x:v>GOLD - COMMODITY EXCHANGE INC.</x:v>
      </x:c>
      <x:c r="F1024" s="186" t="n">
        <x:v>472421</x:v>
      </x:c>
      <x:c r="G1024" s="186" t="n">
        <x:v>13924</x:v>
      </x:c>
      <x:c r="H1024" s="186" t="n">
        <x:v>71702</x:v>
      </x:c>
      <x:c r="I1024" s="186" t="n">
        <x:f>G1024-H1024</x:f>
        <x:v>-57778</x:v>
      </x:c>
      <x:c r="J1024" s="186" t="n">
        <x:v>56832</x:v>
      </x:c>
      <x:c r="K1024" s="186" t="n">
        <x:v>209171</x:v>
      </x:c>
      <x:c r="L1024" s="186" t="n">
        <x:f>J1024-K1024</x:f>
        <x:v>-152339</x:v>
      </x:c>
      <x:c r="M1024" s="186" t="n">
        <x:v>135503</x:v>
      </x:c>
      <x:c r="N1024" s="186" t="n">
        <x:v>43276</x:v>
      </x:c>
      <x:c r="O1024" s="186" t="n">
        <x:f>M1024-N1024</x:f>
        <x:v>92227</x:v>
      </x:c>
      <x:c r="P1024" s="186" t="n">
        <x:v>118348</x:v>
      </x:c>
      <x:c r="Q1024" s="186" t="n">
        <x:v>33966</x:v>
      </x:c>
      <x:c r="R1024" s="186" t="n">
        <x:f>P1024-Q1024</x:f>
        <x:v>84382</x:v>
      </x:c>
      <x:c r="S1024" s="186" t="n">
        <x:v>55921</x:v>
      </x:c>
      <x:c r="T1024" s="186" t="n">
        <x:v>22413</x:v>
      </x:c>
      <x:c r="U1024" s="186" t="n">
        <x:f>S1024-T1024</x:f>
        <x:v>33508</x:v>
      </x:c>
      <x:c r="V1024" s="196" t="n">
        <x:f>IFERROR(O1024/F1024,"")</x:f>
        <x:v>0.19522205829122752</x:v>
      </x:c>
      <x:c r="W1024" s="196" t="n">
        <x:f>IFERROR(I1024/F1024,"")</x:f>
        <x:v>-0.12230192984647169</x:v>
      </x:c>
    </x:row>
    <x:row r="1025">
      <x:c r="A1025" s="186" t="str">
        <x:v>Silver</x:v>
      </x:c>
      <x:c r="B1025" s="187" t="n">
        <x:v>45951</x:v>
      </x:c>
      <x:c r="C1025" s="187" t="n">
        <x:v>45954</x:v>
      </x:c>
      <x:c r="D1025" s="186" t="str">
        <x:v>084691-SILVER</x:v>
      </x:c>
      <x:c r="E1025" s="186" t="str">
        <x:v>SILVER - COMMODITY EXCHANGE INC.</x:v>
      </x:c>
      <x:c r="F1025" s="186" t="n">
        <x:v>169418</x:v>
      </x:c>
      <x:c r="G1025" s="186" t="n">
        <x:v>6979</x:v>
      </x:c>
      <x:c r="H1025" s="186" t="n">
        <x:v>30469</x:v>
      </x:c>
      <x:c r="I1025" s="186" t="n">
        <x:f>G1025-H1025</x:f>
        <x:v>-23490</x:v>
      </x:c>
      <x:c r="J1025" s="186" t="n">
        <x:v>26654</x:v>
      </x:c>
      <x:c r="K1025" s="186" t="n">
        <x:v>60401</x:v>
      </x:c>
      <x:c r="L1025" s="186" t="n">
        <x:f>J1025-K1025</x:f>
        <x:v>-33747</x:v>
      </x:c>
      <x:c r="M1025" s="186" t="n">
        <x:v>33198</x:v>
      </x:c>
      <x:c r="N1025" s="186" t="n">
        <x:v>15986</x:v>
      </x:c>
      <x:c r="O1025" s="186" t="n">
        <x:f>M1025-N1025</x:f>
        <x:v>17212</x:v>
      </x:c>
      <x:c r="P1025" s="186" t="n">
        <x:v>27706</x:v>
      </x:c>
      <x:c r="Q1025" s="186" t="n">
        <x:v>7659</x:v>
      </x:c>
      <x:c r="R1025" s="186" t="n">
        <x:f>P1025-Q1025</x:f>
        <x:v>20047</x:v>
      </x:c>
      <x:c r="S1025" s="186" t="n">
        <x:v>32290</x:v>
      </x:c>
      <x:c r="T1025" s="186" t="n">
        <x:v>12312</x:v>
      </x:c>
      <x:c r="U1025" s="186" t="n">
        <x:f>S1025-T1025</x:f>
        <x:v>19978</x:v>
      </x:c>
      <x:c r="V1025" s="196" t="n">
        <x:f>IFERROR(O1025/F1025,"")</x:f>
        <x:v>0.10159487185541087</x:v>
      </x:c>
      <x:c r="W1025" s="196" t="n">
        <x:f>IFERROR(I1025/F1025,"")</x:f>
        <x:v>-0.13865114686751112</x:v>
      </x:c>
    </x:row>
    <x:row r="1026">
      <x:c r="A1026" s="186" t="str">
        <x:v>Gold</x:v>
      </x:c>
      <x:c r="B1026" s="187" t="n">
        <x:v>45958</x:v>
      </x:c>
      <x:c r="C1026" s="187" t="n">
        <x:v>45961</x:v>
      </x:c>
      <x:c r="D1026" s="186" t="str">
        <x:v>088691-GOLD</x:v>
      </x:c>
      <x:c r="E1026" s="186" t="str">
        <x:v>GOLD - COMMODITY EXCHANGE INC.</x:v>
      </x:c>
      <x:c r="F1026" s="186" t="n">
        <x:v>457122</x:v>
      </x:c>
      <x:c r="G1026" s="186" t="n">
        <x:v>12403</x:v>
      </x:c>
      <x:c r="H1026" s="186" t="n">
        <x:v>70597</x:v>
      </x:c>
      <x:c r="I1026" s="186" t="n">
        <x:f>G1026-H1026</x:f>
        <x:v>-58194</x:v>
      </x:c>
      <x:c r="J1026" s="186" t="n">
        <x:v>48310</x:v>
      </x:c>
      <x:c r="K1026" s="186" t="n">
        <x:v>227143</x:v>
      </x:c>
      <x:c r="L1026" s="186" t="n">
        <x:f>J1026-K1026</x:f>
        <x:v>-178833</x:v>
      </x:c>
      <x:c r="M1026" s="186" t="n">
        <x:v>138605</x:v>
      </x:c>
      <x:c r="N1026" s="186" t="n">
        <x:v>34446</x:v>
      </x:c>
      <x:c r="O1026" s="186" t="n">
        <x:f>M1026-N1026</x:f>
        <x:v>104159</x:v>
      </x:c>
      <x:c r="P1026" s="186" t="n">
        <x:v>127703</x:v>
      </x:c>
      <x:c r="Q1026" s="186" t="n">
        <x:v>27198</x:v>
      </x:c>
      <x:c r="R1026" s="186" t="n">
        <x:f>P1026-Q1026</x:f>
        <x:v>100505</x:v>
      </x:c>
      <x:c r="S1026" s="186" t="n">
        <x:v>52742</x:v>
      </x:c>
      <x:c r="T1026" s="186" t="n">
        <x:v>20379</x:v>
      </x:c>
      <x:c r="U1026" s="186" t="n">
        <x:f>S1026-T1026</x:f>
        <x:v>32363</x:v>
      </x:c>
      <x:c r="V1026" s="196" t="n">
        <x:f>IFERROR(O1026/F1026,"")</x:f>
        <x:v>0.22785820853076422</x:v>
      </x:c>
      <x:c r="W1026" s="196" t="n">
        <x:f>IFERROR(I1026/F1026,"")</x:f>
        <x:v>-0.12730518329898802</x:v>
      </x:c>
    </x:row>
    <x:row r="1027">
      <x:c r="A1027" s="186" t="str">
        <x:v>Silver</x:v>
      </x:c>
      <x:c r="B1027" s="187" t="n">
        <x:v>45958</x:v>
      </x:c>
      <x:c r="C1027" s="187" t="n">
        <x:v>45961</x:v>
      </x:c>
      <x:c r="D1027" s="186" t="str">
        <x:v>084691-SILVER</x:v>
      </x:c>
      <x:c r="E1027" s="186" t="str">
        <x:v>SILVER - COMMODITY EXCHANGE INC.</x:v>
      </x:c>
      <x:c r="F1027" s="186" t="n">
        <x:v>158187</x:v>
      </x:c>
      <x:c r="G1027" s="186" t="n">
        <x:v>6258</x:v>
      </x:c>
      <x:c r="H1027" s="186" t="n">
        <x:v>29778</x:v>
      </x:c>
      <x:c r="I1027" s="186" t="n">
        <x:f>G1027-H1027</x:f>
        <x:v>-23520</x:v>
      </x:c>
      <x:c r="J1027" s="186" t="n">
        <x:v>26294</x:v>
      </x:c>
      <x:c r="K1027" s="186" t="n">
        <x:v>58359</x:v>
      </x:c>
      <x:c r="L1027" s="186" t="n">
        <x:f>J1027-K1027</x:f>
        <x:v>-32065</x:v>
      </x:c>
      <x:c r="M1027" s="186" t="n">
        <x:v>34227</x:v>
      </x:c>
      <x:c r="N1027" s="186" t="n">
        <x:v>12328</x:v>
      </x:c>
      <x:c r="O1027" s="186" t="n">
        <x:f>M1027-N1027</x:f>
        <x:v>21899</x:v>
      </x:c>
      <x:c r="P1027" s="186" t="n">
        <x:v>21732</x:v>
      </x:c>
      <x:c r="Q1027" s="186" t="n">
        <x:v>6512</x:v>
      </x:c>
      <x:c r="R1027" s="186" t="n">
        <x:f>P1027-Q1027</x:f>
        <x:v>15220</x:v>
      </x:c>
      <x:c r="S1027" s="186" t="n">
        <x:v>31225</x:v>
      </x:c>
      <x:c r="T1027" s="186" t="n">
        <x:v>12759</x:v>
      </x:c>
      <x:c r="U1027" s="186" t="n">
        <x:f>S1027-T1027</x:f>
        <x:v>18466</x:v>
      </x:c>
      <x:c r="V1027" s="196" t="n">
        <x:f>IFERROR(O1027/F1027,"")</x:f>
        <x:v>0.1384374190040901</x:v>
      </x:c>
      <x:c r="W1027" s="196" t="n">
        <x:f>IFERROR(I1027/F1027,"")</x:f>
        <x:v>-0.14868478446395722</x:v>
      </x:c>
    </x:row>
    <x:row r="1028">
      <x:c r="A1028" s="186" t="str">
        <x:v>Gold</x:v>
      </x:c>
      <x:c r="B1028" s="187" t="n">
        <x:v>45965</x:v>
      </x:c>
      <x:c r="C1028" s="187" t="n">
        <x:v>45968</x:v>
      </x:c>
      <x:c r="D1028" s="186" t="str">
        <x:v>088691-GOLD</x:v>
      </x:c>
      <x:c r="E1028" s="186" t="str">
        <x:v>GOLD - COMMODITY EXCHANGE INC.</x:v>
      </x:c>
      <x:c r="F1028" s="186" t="n">
        <x:v>450399</x:v>
      </x:c>
      <x:c r="G1028" s="186" t="n">
        <x:v>9805</x:v>
      </x:c>
      <x:c r="H1028" s="186" t="n">
        <x:v>69256</x:v>
      </x:c>
      <x:c r="I1028" s="186" t="n">
        <x:f>G1028-H1028</x:f>
        <x:v>-59451</x:v>
      </x:c>
      <x:c r="J1028" s="186" t="n">
        <x:v>47195</x:v>
      </x:c>
      <x:c r="K1028" s="186" t="n">
        <x:v>224286</x:v>
      </x:c>
      <x:c r="L1028" s="186" t="n">
        <x:f>J1028-K1028</x:f>
        <x:v>-177091</x:v>
      </x:c>
      <x:c r="M1028" s="186" t="n">
        <x:v>130688</x:v>
      </x:c>
      <x:c r="N1028" s="186" t="n">
        <x:v>30143</x:v>
      </x:c>
      <x:c r="O1028" s="186" t="n">
        <x:f>M1028-N1028</x:f>
        <x:v>100545</x:v>
      </x:c>
      <x:c r="P1028" s="186" t="n">
        <x:v>125884</x:v>
      </x:c>
      <x:c r="Q1028" s="186" t="n">
        <x:v>24122</x:v>
      </x:c>
      <x:c r="R1028" s="186" t="n">
        <x:f>P1028-Q1028</x:f>
        <x:v>101762</x:v>
      </x:c>
      <x:c r="S1028" s="186" t="n">
        <x:v>53661</x:v>
      </x:c>
      <x:c r="T1028" s="186" t="n">
        <x:v>19426</x:v>
      </x:c>
      <x:c r="U1028" s="186" t="n">
        <x:f>S1028-T1028</x:f>
        <x:v>34235</x:v>
      </x:c>
      <x:c r="V1028" s="196" t="n">
        <x:f>IFERROR(O1028/F1028,"")</x:f>
        <x:v>0.22323539794715352</x:v>
      </x:c>
      <x:c r="W1028" s="196" t="n">
        <x:f>IFERROR(I1028/F1028,"")</x:f>
        <x:v>-0.1319962966169996</x:v>
      </x:c>
    </x:row>
    <x:row r="1029">
      <x:c r="A1029" s="186" t="str">
        <x:v>Silver</x:v>
      </x:c>
      <x:c r="B1029" s="187" t="n">
        <x:v>45965</x:v>
      </x:c>
      <x:c r="C1029" s="187" t="n">
        <x:v>45968</x:v>
      </x:c>
      <x:c r="D1029" s="186" t="str">
        <x:v>084691-SILVER</x:v>
      </x:c>
      <x:c r="E1029" s="186" t="str">
        <x:v>SILVER - COMMODITY EXCHANGE INC.</x:v>
      </x:c>
      <x:c r="F1029" s="186" t="n">
        <x:v>155257</x:v>
      </x:c>
      <x:c r="G1029" s="186" t="n">
        <x:v>6639</x:v>
      </x:c>
      <x:c r="H1029" s="186" t="n">
        <x:v>29246</x:v>
      </x:c>
      <x:c r="I1029" s="186" t="n">
        <x:f>G1029-H1029</x:f>
        <x:v>-22607</x:v>
      </x:c>
      <x:c r="J1029" s="186" t="n">
        <x:v>26076</x:v>
      </x:c>
      <x:c r="K1029" s="186" t="n">
        <x:v>56133</x:v>
      </x:c>
      <x:c r="L1029" s="186" t="n">
        <x:f>J1029-K1029</x:f>
        <x:v>-30057</x:v>
      </x:c>
      <x:c r="M1029" s="186" t="n">
        <x:v>33478</x:v>
      </x:c>
      <x:c r="N1029" s="186" t="n">
        <x:v>14321</x:v>
      </x:c>
      <x:c r="O1029" s="186" t="n">
        <x:f>M1029-N1029</x:f>
        <x:v>19157</x:v>
      </x:c>
      <x:c r="P1029" s="186" t="n">
        <x:v>20688</x:v>
      </x:c>
      <x:c r="Q1029" s="186" t="n">
        <x:v>6624</x:v>
      </x:c>
      <x:c r="R1029" s="186" t="n">
        <x:f>P1029-Q1029</x:f>
        <x:v>14064</x:v>
      </x:c>
      <x:c r="S1029" s="186" t="n">
        <x:v>31131</x:v>
      </x:c>
      <x:c r="T1029" s="186" t="n">
        <x:v>11688</x:v>
      </x:c>
      <x:c r="U1029" s="186" t="n">
        <x:f>S1029-T1029</x:f>
        <x:v>19443</x:v>
      </x:c>
      <x:c r="V1029" s="196" t="n">
        <x:f>IFERROR(O1029/F1029,"")</x:f>
        <x:v>0.12338896152830468</x:v>
      </x:c>
      <x:c r="W1029" s="196" t="n">
        <x:f>IFERROR(I1029/F1029,"")</x:f>
        <x:v>-0.14561018182755045</x:v>
      </x:c>
    </x:row>
    <x:row r="1030">
      <x:c r="A1030" s="186" t="str">
        <x:v>Gold</x:v>
      </x:c>
      <x:c r="B1030" s="187" t="n">
        <x:v>45971</x:v>
      </x:c>
      <x:c r="C1030" s="187" t="n">
        <x:v>45974</x:v>
      </x:c>
      <x:c r="D1030" s="186" t="str">
        <x:v>088691-GOLD</x:v>
      </x:c>
      <x:c r="E1030" s="186" t="str">
        <x:v>GOLD - COMMODITY EXCHANGE INC.</x:v>
      </x:c>
      <x:c r="F1030" s="186" t="n">
        <x:v>459997</x:v>
      </x:c>
      <x:c r="G1030" s="186" t="n">
        <x:v>9875</x:v>
      </x:c>
      <x:c r="H1030" s="186" t="n">
        <x:v>68621</x:v>
      </x:c>
      <x:c r="I1030" s="186" t="n">
        <x:f>G1030-H1030</x:f>
        <x:v>-58746</x:v>
      </x:c>
      <x:c r="J1030" s="186" t="n">
        <x:v>43176</x:v>
      </x:c>
      <x:c r="K1030" s="186" t="n">
        <x:v>229253</x:v>
      </x:c>
      <x:c r="L1030" s="186" t="n">
        <x:f>J1030-K1030</x:f>
        <x:v>-186077</x:v>
      </x:c>
      <x:c r="M1030" s="186" t="n">
        <x:v>134155</x:v>
      </x:c>
      <x:c r="N1030" s="186" t="n">
        <x:v>30068</x:v>
      </x:c>
      <x:c r="O1030" s="186" t="n">
        <x:f>M1030-N1030</x:f>
        <x:v>104087</x:v>
      </x:c>
      <x:c r="P1030" s="186" t="n">
        <x:v>131761</x:v>
      </x:c>
      <x:c r="Q1030" s="186" t="n">
        <x:v>28779</x:v>
      </x:c>
      <x:c r="R1030" s="186" t="n">
        <x:f>P1030-Q1030</x:f>
        <x:v>102982</x:v>
      </x:c>
      <x:c r="S1030" s="186" t="n">
        <x:v>56742</x:v>
      </x:c>
      <x:c r="T1030" s="186" t="n">
        <x:v>18988</x:v>
      </x:c>
      <x:c r="U1030" s="186" t="n">
        <x:f>S1030-T1030</x:f>
        <x:v>37754</x:v>
      </x:c>
      <x:c r="V1030" s="196" t="n">
        <x:f>IFERROR(O1030/F1030,"")</x:f>
        <x:v>0.2262775626797566</x:v>
      </x:c>
      <x:c r="W1030" s="196" t="n">
        <x:f>IFERROR(I1030/F1030,"")</x:f>
        <x:v>-0.12770952854040352</x:v>
      </x:c>
    </x:row>
    <x:row r="1031">
      <x:c r="A1031" s="186" t="str">
        <x:v>Silver</x:v>
      </x:c>
      <x:c r="B1031" s="187" t="n">
        <x:v>45971</x:v>
      </x:c>
      <x:c r="C1031" s="187" t="n">
        <x:v>45974</x:v>
      </x:c>
      <x:c r="D1031" s="186" t="str">
        <x:v>084691-SILVER</x:v>
      </x:c>
      <x:c r="E1031" s="186" t="str">
        <x:v>SILVER - COMMODITY EXCHANGE INC.</x:v>
      </x:c>
      <x:c r="F1031" s="186" t="n">
        <x:v>159649</x:v>
      </x:c>
      <x:c r="G1031" s="186" t="n">
        <x:v>7790</x:v>
      </x:c>
      <x:c r="H1031" s="186" t="n">
        <x:v>30915</x:v>
      </x:c>
      <x:c r="I1031" s="186" t="n">
        <x:f>G1031-H1031</x:f>
        <x:v>-23125</x:v>
      </x:c>
      <x:c r="J1031" s="186" t="n">
        <x:v>26794</x:v>
      </x:c>
      <x:c r="K1031" s="186" t="n">
        <x:v>55885</x:v>
      </x:c>
      <x:c r="L1031" s="186" t="n">
        <x:f>J1031-K1031</x:f>
        <x:v>-29091</x:v>
      </x:c>
      <x:c r="M1031" s="186" t="n">
        <x:v>35613</x:v>
      </x:c>
      <x:c r="N1031" s="186" t="n">
        <x:v>12958</x:v>
      </x:c>
      <x:c r="O1031" s="186" t="n">
        <x:f>M1031-N1031</x:f>
        <x:v>22655</x:v>
      </x:c>
      <x:c r="P1031" s="186" t="n">
        <x:v>19425</x:v>
      </x:c>
      <x:c r="Q1031" s="186" t="n">
        <x:v>9094</x:v>
      </x:c>
      <x:c r="R1031" s="186" t="n">
        <x:f>P1031-Q1031</x:f>
        <x:v>10331</x:v>
      </x:c>
      <x:c r="S1031" s="186" t="n">
        <x:v>32015</x:v>
      </x:c>
      <x:c r="T1031" s="186" t="n">
        <x:v>12785</x:v>
      </x:c>
      <x:c r="U1031" s="186" t="n">
        <x:f>S1031-T1031</x:f>
        <x:v>19230</x:v>
      </x:c>
      <x:c r="V1031" s="196" t="n">
        <x:f>IFERROR(O1031/F1031,"")</x:f>
        <x:v>0.14190505421267907</x:v>
      </x:c>
      <x:c r="W1031" s="196" t="n">
        <x:f>IFERROR(I1031/F1031,"")</x:f>
        <x:v>-0.14484901252121843</x:v>
      </x:c>
    </x:row>
    <x:row r="1032">
      <x:c r="A1032" s="186" t="str">
        <x:v>Gold</x:v>
      </x:c>
      <x:c r="B1032" s="187" t="n">
        <x:v>45979</x:v>
      </x:c>
      <x:c r="C1032" s="187" t="n">
        <x:v>45982</x:v>
      </x:c>
      <x:c r="D1032" s="186" t="str">
        <x:v>088691-GOLD</x:v>
      </x:c>
      <x:c r="E1032" s="186" t="str">
        <x:v>GOLD - COMMODITY EXCHANGE INC.</x:v>
      </x:c>
      <x:c r="F1032" s="186" t="n">
        <x:v>471953</x:v>
      </x:c>
      <x:c r="G1032" s="186" t="n">
        <x:v>10061</x:v>
      </x:c>
      <x:c r="H1032" s="186" t="n">
        <x:v>68958</x:v>
      </x:c>
      <x:c r="I1032" s="186" t="n">
        <x:f>G1032-H1032</x:f>
        <x:v>-58897</x:v>
      </x:c>
      <x:c r="J1032" s="186" t="n">
        <x:v>44947</x:v>
      </x:c>
      <x:c r="K1032" s="186" t="n">
        <x:v>231635</x:v>
      </x:c>
      <x:c r="L1032" s="186" t="n">
        <x:f>J1032-K1032</x:f>
        <x:v>-186688</x:v>
      </x:c>
      <x:c r="M1032" s="186" t="n">
        <x:v>130222</x:v>
      </x:c>
      <x:c r="N1032" s="186" t="n">
        <x:v>32017</x:v>
      </x:c>
      <x:c r="O1032" s="186" t="n">
        <x:f>M1032-N1032</x:f>
        <x:v>98205</x:v>
      </x:c>
      <x:c r="P1032" s="186" t="n">
        <x:v>139334</x:v>
      </x:c>
      <x:c r="Q1032" s="186" t="n">
        <x:v>27200</x:v>
      </x:c>
      <x:c r="R1032" s="186" t="n">
        <x:f>P1032-Q1032</x:f>
        <x:v>112134</x:v>
      </x:c>
      <x:c r="S1032" s="186" t="n">
        <x:v>54239</x:v>
      </x:c>
      <x:c r="T1032" s="186" t="n">
        <x:v>18993</x:v>
      </x:c>
      <x:c r="U1032" s="186" t="n">
        <x:f>S1032-T1032</x:f>
        <x:v>35246</x:v>
      </x:c>
      <x:c r="V1032" s="196" t="n">
        <x:f>IFERROR(O1032/F1032,"")</x:f>
        <x:v>0.20808216072363137</x:v>
      </x:c>
      <x:c r="W1032" s="196" t="n">
        <x:f>IFERROR(I1032/F1032,"")</x:f>
        <x:v>-0.12479420620273629</x:v>
      </x:c>
    </x:row>
    <x:row r="1033">
      <x:c r="A1033" s="186" t="str">
        <x:v>Silver</x:v>
      </x:c>
      <x:c r="B1033" s="187" t="n">
        <x:v>45979</x:v>
      </x:c>
      <x:c r="C1033" s="187" t="n">
        <x:v>45982</x:v>
      </x:c>
      <x:c r="D1033" s="186" t="str">
        <x:v>084691-SILVER</x:v>
      </x:c>
      <x:c r="E1033" s="186" t="str">
        <x:v>SILVER - COMMODITY EXCHANGE INC.</x:v>
      </x:c>
      <x:c r="F1033" s="186" t="n">
        <x:v>153295</x:v>
      </x:c>
      <x:c r="G1033" s="186" t="n">
        <x:v>7596</x:v>
      </x:c>
      <x:c r="H1033" s="186" t="n">
        <x:v>31148</x:v>
      </x:c>
      <x:c r="I1033" s="186" t="n">
        <x:f>G1033-H1033</x:f>
        <x:v>-23552</x:v>
      </x:c>
      <x:c r="J1033" s="186" t="n">
        <x:v>27632</x:v>
      </x:c>
      <x:c r="K1033" s="186" t="n">
        <x:v>57506</x:v>
      </x:c>
      <x:c r="L1033" s="186" t="n">
        <x:f>J1033-K1033</x:f>
        <x:v>-29874</x:v>
      </x:c>
      <x:c r="M1033" s="186" t="n">
        <x:v>33544</x:v>
      </x:c>
      <x:c r="N1033" s="186" t="n">
        <x:v>13310</x:v>
      </x:c>
      <x:c r="O1033" s="186" t="n">
        <x:f>M1033-N1033</x:f>
        <x:v>20234</x:v>
      </x:c>
      <x:c r="P1033" s="186" t="n">
        <x:v>20991</x:v>
      </x:c>
      <x:c r="Q1033" s="186" t="n">
        <x:v>7209</x:v>
      </x:c>
      <x:c r="R1033" s="186" t="n">
        <x:f>P1033-Q1033</x:f>
        <x:v>13782</x:v>
      </x:c>
      <x:c r="S1033" s="186" t="n">
        <x:v>31002</x:v>
      </x:c>
      <x:c r="T1033" s="186" t="n">
        <x:v>11592</x:v>
      </x:c>
      <x:c r="U1033" s="186" t="n">
        <x:f>S1033-T1033</x:f>
        <x:v>19410</x:v>
      </x:c>
      <x:c r="V1033" s="196" t="n">
        <x:f>IFERROR(O1033/F1033,"")</x:f>
        <x:v>0.13199386803222546</x:v>
      </x:c>
      <x:c r="W1033" s="196" t="n">
        <x:f>IFERROR(I1033/F1033,"")</x:f>
        <x:v>-0.1536384096024006</x:v>
      </x:c>
    </x:row>
    <x:row r="1034">
      <x:c r="A1034" s="186" t="str">
        <x:v>Gold</x:v>
      </x:c>
      <x:c r="B1034" s="187" t="n">
        <x:v>45986</x:v>
      </x:c>
      <x:c r="C1034" s="187" t="n">
        <x:v>45989</x:v>
      </x:c>
      <x:c r="D1034" s="186" t="str">
        <x:v>088691-GOLD</x:v>
      </x:c>
      <x:c r="E1034" s="186" t="str">
        <x:v>GOLD - COMMODITY EXCHANGE INC.</x:v>
      </x:c>
      <x:c r="F1034" s="186" t="n">
        <x:v>432946</x:v>
      </x:c>
      <x:c r="G1034" s="186" t="n">
        <x:v>9950</x:v>
      </x:c>
      <x:c r="H1034" s="186" t="n">
        <x:v>56642</x:v>
      </x:c>
      <x:c r="I1034" s="186" t="n">
        <x:f>G1034-H1034</x:f>
        <x:v>-46692</x:v>
      </x:c>
      <x:c r="J1034" s="186" t="n">
        <x:v>39044</x:v>
      </x:c>
      <x:c r="K1034" s="186" t="n">
        <x:v>233755</x:v>
      </x:c>
      <x:c r="L1034" s="186" t="n">
        <x:f>J1034-K1034</x:f>
        <x:v>-194711</x:v>
      </x:c>
      <x:c r="M1034" s="186" t="n">
        <x:v>136979</x:v>
      </x:c>
      <x:c r="N1034" s="186" t="n">
        <x:v>27670</x:v>
      </x:c>
      <x:c r="O1034" s="186" t="n">
        <x:f>M1034-N1034</x:f>
        <x:v>109309</x:v>
      </x:c>
      <x:c r="P1034" s="186" t="n">
        <x:v>116287</x:v>
      </x:c>
      <x:c r="Q1034" s="186" t="n">
        <x:v>21008</x:v>
      </x:c>
      <x:c r="R1034" s="186" t="n">
        <x:f>P1034-Q1034</x:f>
        <x:v>95279</x:v>
      </x:c>
      <x:c r="S1034" s="186" t="n">
        <x:v>53773</x:v>
      </x:c>
      <x:c r="T1034" s="186" t="n">
        <x:v>16958</x:v>
      </x:c>
      <x:c r="U1034" s="186" t="n">
        <x:f>S1034-T1034</x:f>
        <x:v>36815</x:v>
      </x:c>
      <x:c r="V1034" s="196" t="n">
        <x:f>IFERROR(O1034/F1034,"")</x:f>
        <x:v>0.25247721424842823</x:v>
      </x:c>
      <x:c r="W1034" s="196" t="n">
        <x:f>IFERROR(I1034/F1034,"")</x:f>
        <x:v>-0.10784716800709557</x:v>
      </x:c>
    </x:row>
    <x:row r="1035">
      <x:c r="A1035" s="186" t="str">
        <x:v>Silver</x:v>
      </x:c>
      <x:c r="B1035" s="187" t="n">
        <x:v>45986</x:v>
      </x:c>
      <x:c r="C1035" s="187" t="n">
        <x:v>45989</x:v>
      </x:c>
      <x:c r="D1035" s="186" t="str">
        <x:v>084691-SILVER</x:v>
      </x:c>
      <x:c r="E1035" s="186" t="str">
        <x:v>SILVER - COMMODITY EXCHANGE INC.</x:v>
      </x:c>
      <x:c r="F1035" s="186" t="n">
        <x:v>144541</x:v>
      </x:c>
      <x:c r="G1035" s="186" t="n">
        <x:v>5209</x:v>
      </x:c>
      <x:c r="H1035" s="186" t="n">
        <x:v>29402</x:v>
      </x:c>
      <x:c r="I1035" s="186" t="n">
        <x:f>G1035-H1035</x:f>
        <x:v>-24193</x:v>
      </x:c>
      <x:c r="J1035" s="186" t="n">
        <x:v>28340</x:v>
      </x:c>
      <x:c r="K1035" s="186" t="n">
        <x:v>57415</x:v>
      </x:c>
      <x:c r="L1035" s="186" t="n">
        <x:f>J1035-K1035</x:f>
        <x:v>-29075</x:v>
      </x:c>
      <x:c r="M1035" s="186" t="n">
        <x:v>32630</x:v>
      </x:c>
      <x:c r="N1035" s="186" t="n">
        <x:v>13569</x:v>
      </x:c>
      <x:c r="O1035" s="186" t="n">
        <x:f>M1035-N1035</x:f>
        <x:v>19061</x:v>
      </x:c>
      <x:c r="P1035" s="186" t="n">
        <x:v>19372</x:v>
      </x:c>
      <x:c r="Q1035" s="186" t="n">
        <x:v>6245</x:v>
      </x:c>
      <x:c r="R1035" s="186" t="n">
        <x:f>P1035-Q1035</x:f>
        <x:v>13127</x:v>
      </x:c>
      <x:c r="S1035" s="186" t="n">
        <x:v>30759</x:v>
      </x:c>
      <x:c r="T1035" s="186" t="n">
        <x:v>9679</x:v>
      </x:c>
      <x:c r="U1035" s="186" t="n">
        <x:f>S1035-T1035</x:f>
        <x:v>21080</x:v>
      </x:c>
      <x:c r="V1035" s="196" t="n">
        <x:f>IFERROR(O1035/F1035,"")</x:f>
        <x:v>0.13187261745802228</x:v>
      </x:c>
      <x:c r="W1035" s="196" t="n">
        <x:f>IFERROR(I1035/F1035,"")</x:f>
        <x:v>-0.16737811416829826</x:v>
      </x:c>
    </x:row>
    <x:row r="1036">
      <x:c r="A1036" s="186" t="str">
        <x:v>Gold</x:v>
      </x:c>
      <x:c r="B1036" s="187" t="n">
        <x:v>45993</x:v>
      </x:c>
      <x:c r="C1036" s="187" t="n">
        <x:v>45996</x:v>
      </x:c>
      <x:c r="D1036" s="186" t="str">
        <x:v>088691-GOLD</x:v>
      </x:c>
      <x:c r="E1036" s="186" t="str">
        <x:v>GOLD - COMMODITY EXCHANGE INC.</x:v>
      </x:c>
      <x:c r="F1036" s="186" t="n">
        <x:v>418490</x:v>
      </x:c>
      <x:c r="G1036" s="186" t="n">
        <x:v>10094</x:v>
      </x:c>
      <x:c r="H1036" s="186" t="n">
        <x:v>58801</x:v>
      </x:c>
      <x:c r="I1036" s="186" t="n">
        <x:f>G1036-H1036</x:f>
        <x:v>-48707</x:v>
      </x:c>
      <x:c r="J1036" s="186" t="n">
        <x:v>33860</x:v>
      </x:c>
      <x:c r="K1036" s="186" t="n">
        <x:v>240501</x:v>
      </x:c>
      <x:c r="L1036" s="186" t="n">
        <x:f>J1036-K1036</x:f>
        <x:v>-206641</x:v>
      </x:c>
      <x:c r="M1036" s="186" t="n">
        <x:v>140143</x:v>
      </x:c>
      <x:c r="N1036" s="186" t="n">
        <x:v>19819</x:v>
      </x:c>
      <x:c r="O1036" s="186" t="n">
        <x:f>M1036-N1036</x:f>
        <x:v>120324</x:v>
      </x:c>
      <x:c r="P1036" s="186" t="n">
        <x:v>121188</x:v>
      </x:c>
      <x:c r="Q1036" s="186" t="n">
        <x:v>23952</x:v>
      </x:c>
      <x:c r="R1036" s="186" t="n">
        <x:f>P1036-Q1036</x:f>
        <x:v>97236</x:v>
      </x:c>
      <x:c r="S1036" s="186" t="n">
        <x:v>55812</x:v>
      </x:c>
      <x:c r="T1036" s="186" t="n">
        <x:v>18024</x:v>
      </x:c>
      <x:c r="U1036" s="186" t="n">
        <x:f>S1036-T1036</x:f>
        <x:v>37788</x:v>
      </x:c>
      <x:c r="V1036" s="196" t="n">
        <x:f>IFERROR(O1036/F1036,"")</x:f>
        <x:v>0.2875194150397859</x:v>
      </x:c>
      <x:c r="W1036" s="196" t="n">
        <x:f>IFERROR(I1036/F1036,"")</x:f>
        <x:v>-0.11638748835097613</x:v>
      </x:c>
    </x:row>
    <x:row r="1037">
      <x:c r="A1037" s="186" t="str">
        <x:v>Silver</x:v>
      </x:c>
      <x:c r="B1037" s="187" t="n">
        <x:v>45993</x:v>
      </x:c>
      <x:c r="C1037" s="187" t="n">
        <x:v>45996</x:v>
      </x:c>
      <x:c r="D1037" s="186" t="str">
        <x:v>084691-SILVER</x:v>
      </x:c>
      <x:c r="E1037" s="186" t="str">
        <x:v>SILVER - COMMODITY EXCHANGE INC.</x:v>
      </x:c>
      <x:c r="F1037" s="186" t="n">
        <x:v>150832</x:v>
      </x:c>
      <x:c r="G1037" s="186" t="n">
        <x:v>3990</x:v>
      </x:c>
      <x:c r="H1037" s="186" t="n">
        <x:v>30729</x:v>
      </x:c>
      <x:c r="I1037" s="186" t="n">
        <x:f>G1037-H1037</x:f>
        <x:v>-26739</x:v>
      </x:c>
      <x:c r="J1037" s="186" t="n">
        <x:v>30893</x:v>
      </x:c>
      <x:c r="K1037" s="186" t="n">
        <x:v>60793</x:v>
      </x:c>
      <x:c r="L1037" s="186" t="n">
        <x:f>J1037-K1037</x:f>
        <x:v>-29900</x:v>
      </x:c>
      <x:c r="M1037" s="186" t="n">
        <x:v>34765</x:v>
      </x:c>
      <x:c r="N1037" s="186" t="n">
        <x:v>15791</x:v>
      </x:c>
      <x:c r="O1037" s="186" t="n">
        <x:f>M1037-N1037</x:f>
        <x:v>18974</x:v>
      </x:c>
      <x:c r="P1037" s="186" t="n">
        <x:v>24810</x:v>
      </x:c>
      <x:c r="Q1037" s="186" t="n">
        <x:v>5265</x:v>
      </x:c>
      <x:c r="R1037" s="186" t="n">
        <x:f>P1037-Q1037</x:f>
        <x:v>19545</x:v>
      </x:c>
      <x:c r="S1037" s="186" t="n">
        <x:v>31832</x:v>
      </x:c>
      <x:c r="T1037" s="186" t="n">
        <x:v>13712</x:v>
      </x:c>
      <x:c r="U1037" s="186" t="n">
        <x:f>S1037-T1037</x:f>
        <x:v>18120</x:v>
      </x:c>
      <x:c r="V1037" s="196" t="n">
        <x:f>IFERROR(O1037/F1037,"")</x:f>
        <x:v>0.12579558714331177</x:v>
      </x:c>
      <x:c r="W1037" s="196" t="n">
        <x:f>IFERROR(I1037/F1037,"")</x:f>
        <x:v>-0.17727670520844382</x:v>
      </x:c>
    </x:row>
    <x:row r="1038">
      <x:c r="A1038" s="186" t="str">
        <x:v>Gold</x:v>
      </x:c>
      <x:c r="B1038" s="187" t="n">
        <x:v>46000</x:v>
      </x:c>
      <x:c r="C1038" s="187" t="n">
        <x:v>46003</x:v>
      </x:c>
      <x:c r="D1038" s="186" t="str">
        <x:v>088691-GOLD</x:v>
      </x:c>
      <x:c r="E1038" s="186" t="str">
        <x:v>GOLD - COMMODITY EXCHANGE INC.</x:v>
      </x:c>
      <x:c r="F1038" s="186" t="n">
        <x:v>432569</x:v>
      </x:c>
      <x:c r="G1038" s="186" t="n">
        <x:v>10463</x:v>
      </x:c>
      <x:c r="H1038" s="186" t="n">
        <x:v>59856</x:v>
      </x:c>
      <x:c r="I1038" s="186" t="n">
        <x:f>G1038-H1038</x:f>
        <x:v>-49393</x:v>
      </x:c>
      <x:c r="J1038" s="186" t="n">
        <x:v>34556</x:v>
      </x:c>
      <x:c r="K1038" s="186" t="n">
        <x:v>247742</x:v>
      </x:c>
      <x:c r="L1038" s="186" t="n">
        <x:f>J1038-K1038</x:f>
        <x:v>-213186</x:v>
      </x:c>
      <x:c r="M1038" s="186" t="n">
        <x:v>143383</x:v>
      </x:c>
      <x:c r="N1038" s="186" t="n">
        <x:v>19835</x:v>
      </x:c>
      <x:c r="O1038" s="186" t="n">
        <x:f>M1038-N1038</x:f>
        <x:v>123548</x:v>
      </x:c>
      <x:c r="P1038" s="186" t="n">
        <x:v>125102</x:v>
      </x:c>
      <x:c r="Q1038" s="186" t="n">
        <x:v>24764</x:v>
      </x:c>
      <x:c r="R1038" s="186" t="n">
        <x:f>P1038-Q1038</x:f>
        <x:v>100338</x:v>
      </x:c>
      <x:c r="S1038" s="186" t="n">
        <x:v>55485</x:v>
      </x:c>
      <x:c r="T1038" s="186" t="n">
        <x:v>16792</x:v>
      </x:c>
      <x:c r="U1038" s="186" t="n">
        <x:f>S1038-T1038</x:f>
        <x:v>38693</x:v>
      </x:c>
      <x:c r="V1038" s="196" t="n">
        <x:f>IFERROR(O1038/F1038,"")</x:f>
        <x:v>0.2856145493551318</x:v>
      </x:c>
      <x:c r="W1038" s="196" t="n">
        <x:f>IFERROR(I1038/F1038,"")</x:f>
        <x:v>-0.11418525137030161</x:v>
      </x:c>
    </x:row>
    <x:row r="1039">
      <x:c r="A1039" s="186" t="str">
        <x:v>Silver</x:v>
      </x:c>
      <x:c r="B1039" s="187" t="n">
        <x:v>46000</x:v>
      </x:c>
      <x:c r="C1039" s="187" t="n">
        <x:v>46003</x:v>
      </x:c>
      <x:c r="D1039" s="186" t="str">
        <x:v>084691-SILVER</x:v>
      </x:c>
      <x:c r="E1039" s="186" t="str">
        <x:v>SILVER - COMMODITY EXCHANGE INC.</x:v>
      </x:c>
      <x:c r="F1039" s="186" t="n">
        <x:v>154762</x:v>
      </x:c>
      <x:c r="G1039" s="186" t="n">
        <x:v>3756</x:v>
      </x:c>
      <x:c r="H1039" s="186" t="n">
        <x:v>32593</x:v>
      </x:c>
      <x:c r="I1039" s="186" t="n">
        <x:f>G1039-H1039</x:f>
        <x:v>-28837</x:v>
      </x:c>
      <x:c r="J1039" s="186" t="n">
        <x:v>30251</x:v>
      </x:c>
      <x:c r="K1039" s="186" t="n">
        <x:v>62241</x:v>
      </x:c>
      <x:c r="L1039" s="186" t="n">
        <x:f>J1039-K1039</x:f>
        <x:v>-31990</x:v>
      </x:c>
      <x:c r="M1039" s="186" t="n">
        <x:v>39798</x:v>
      </x:c>
      <x:c r="N1039" s="186" t="n">
        <x:v>14023</x:v>
      </x:c>
      <x:c r="O1039" s="186" t="n">
        <x:f>M1039-N1039</x:f>
        <x:v>25775</x:v>
      </x:c>
      <x:c r="P1039" s="186" t="n">
        <x:v>26160</x:v>
      </x:c>
      <x:c r="Q1039" s="186" t="n">
        <x:v>7226</x:v>
      </x:c>
      <x:c r="R1039" s="186" t="n">
        <x:f>P1039-Q1039</x:f>
        <x:v>18934</x:v>
      </x:c>
      <x:c r="S1039" s="186" t="n">
        <x:v>30633</x:v>
      </x:c>
      <x:c r="T1039" s="186" t="n">
        <x:v>14515</x:v>
      </x:c>
      <x:c r="U1039" s="186" t="n">
        <x:f>S1039-T1039</x:f>
        <x:v>16118</x:v>
      </x:c>
      <x:c r="V1039" s="196" t="n">
        <x:f>IFERROR(O1039/F1039,"")</x:f>
        <x:v>0.1665460513562761</x:v>
      </x:c>
      <x:c r="W1039" s="196" t="n">
        <x:f>IFERROR(I1039/F1039,"")</x:f>
        <x:v>-0.18633126994998772</x:v>
      </x:c>
    </x:row>
    <x:row r="1040">
      <x:c r="A1040" s="186" t="str">
        <x:v>Gold</x:v>
      </x:c>
      <x:c r="B1040" s="187" t="n">
        <x:v>46007</x:v>
      </x:c>
      <x:c r="C1040" s="187" t="n">
        <x:v>46010</x:v>
      </x:c>
      <x:c r="D1040" s="186" t="str">
        <x:v>088691-GOLD</x:v>
      </x:c>
      <x:c r="E1040" s="186" t="str">
        <x:v>GOLD - COMMODITY EXCHANGE INC.</x:v>
      </x:c>
      <x:c r="F1040" s="186" t="n">
        <x:v>471093</x:v>
      </x:c>
      <x:c r="G1040" s="186" t="n">
        <x:v>16057</x:v>
      </x:c>
      <x:c r="H1040" s="186" t="n">
        <x:v>60306</x:v>
      </x:c>
      <x:c r="I1040" s="186" t="n">
        <x:f>G1040-H1040</x:f>
        <x:v>-44249</x:v>
      </x:c>
      <x:c r="J1040" s="186" t="n">
        <x:v>31970</x:v>
      </x:c>
      <x:c r="K1040" s="186" t="n">
        <x:v>262079</x:v>
      </x:c>
      <x:c r="L1040" s="186" t="n">
        <x:f>J1040-K1040</x:f>
        <x:v>-230109</x:v>
      </x:c>
      <x:c r="M1040" s="186" t="n">
        <x:v>152873</x:v>
      </x:c>
      <x:c r="N1040" s="186" t="n">
        <x:v>20277</x:v>
      </x:c>
      <x:c r="O1040" s="186" t="n">
        <x:f>M1040-N1040</x:f>
        <x:v>132596</x:v>
      </x:c>
      <x:c r="P1040" s="186" t="n">
        <x:v>128047</x:v>
      </x:c>
      <x:c r="Q1040" s="186" t="n">
        <x:v>26665</x:v>
      </x:c>
      <x:c r="R1040" s="186" t="n">
        <x:f>P1040-Q1040</x:f>
        <x:v>101382</x:v>
      </x:c>
      <x:c r="S1040" s="186" t="n">
        <x:v>58795</x:v>
      </x:c>
      <x:c r="T1040" s="186" t="n">
        <x:v>18415</x:v>
      </x:c>
      <x:c r="U1040" s="186" t="n">
        <x:f>S1040-T1040</x:f>
        <x:v>40380</x:v>
      </x:c>
      <x:c r="V1040" s="196" t="n">
        <x:f>IFERROR(O1040/F1040,"")</x:f>
        <x:v>0.28146459403981805</x:v>
      </x:c>
      <x:c r="W1040" s="196" t="n">
        <x:f>IFERROR(I1040/F1040,"")</x:f>
        <x:v>-0.09392837507668338</x:v>
      </x:c>
    </x:row>
    <x:row r="1041">
      <x:c r="A1041" s="186" t="str">
        <x:v>Silver</x:v>
      </x:c>
      <x:c r="B1041" s="187" t="n">
        <x:v>46007</x:v>
      </x:c>
      <x:c r="C1041" s="187" t="n">
        <x:v>46010</x:v>
      </x:c>
      <x:c r="D1041" s="186" t="str">
        <x:v>084691-SILVER</x:v>
      </x:c>
      <x:c r="E1041" s="186" t="str">
        <x:v>SILVER - COMMODITY EXCHANGE INC.</x:v>
      </x:c>
      <x:c r="F1041" s="186" t="n">
        <x:v>152921</x:v>
      </x:c>
      <x:c r="G1041" s="186" t="n">
        <x:v>5246</x:v>
      </x:c>
      <x:c r="H1041" s="186" t="n">
        <x:v>30619</x:v>
      </x:c>
      <x:c r="I1041" s="186" t="n">
        <x:f>G1041-H1041</x:f>
        <x:v>-25373</x:v>
      </x:c>
      <x:c r="J1041" s="186" t="n">
        <x:v>31436</x:v>
      </x:c>
      <x:c r="K1041" s="186" t="n">
        <x:v>61254</x:v>
      </x:c>
      <x:c r="L1041" s="186" t="n">
        <x:f>J1041-K1041</x:f>
        <x:v>-29818</x:v>
      </x:c>
      <x:c r="M1041" s="186" t="n">
        <x:v>36424</x:v>
      </x:c>
      <x:c r="N1041" s="186" t="n">
        <x:v>14537</x:v>
      </x:c>
      <x:c r="O1041" s="186" t="n">
        <x:f>M1041-N1041</x:f>
        <x:v>21887</x:v>
      </x:c>
      <x:c r="P1041" s="186" t="n">
        <x:v>19610</x:v>
      </x:c>
      <x:c r="Q1041" s="186" t="n">
        <x:v>5145</x:v>
      </x:c>
      <x:c r="R1041" s="186" t="n">
        <x:f>P1041-Q1041</x:f>
        <x:v>14465</x:v>
      </x:c>
      <x:c r="S1041" s="186" t="n">
        <x:v>31271</x:v>
      </x:c>
      <x:c r="T1041" s="186" t="n">
        <x:v>12432</x:v>
      </x:c>
      <x:c r="U1041" s="186" t="n">
        <x:f>S1041-T1041</x:f>
        <x:v>18839</x:v>
      </x:c>
      <x:c r="V1041" s="196" t="n">
        <x:f>IFERROR(O1041/F1041,"")</x:f>
        <x:v>0.14312618933959365</x:v>
      </x:c>
      <x:c r="W1041" s="196" t="n">
        <x:f>IFERROR(I1041/F1041,"")</x:f>
        <x:v>-0.16592227359224698</x:v>
      </x:c>
    </x:row>
    <x:row r="1042">
      <x:c r="A1042" s="186" t="str">
        <x:v>Gold</x:v>
      </x:c>
      <x:c r="B1042" s="187" t="n">
        <x:v>46014</x:v>
      </x:c>
      <x:c r="C1042" s="187" t="n">
        <x:v>46017</x:v>
      </x:c>
      <x:c r="D1042" s="186" t="str">
        <x:v>088691-GOLD</x:v>
      </x:c>
      <x:c r="E1042" s="186" t="str">
        <x:v>GOLD - COMMODITY EXCHANGE INC.</x:v>
      </x:c>
      <x:c r="F1042" s="186" t="n">
        <x:v>492103</x:v>
      </x:c>
      <x:c r="G1042" s="186" t="n">
        <x:v>17158</x:v>
      </x:c>
      <x:c r="H1042" s="186" t="n">
        <x:v>68442</x:v>
      </x:c>
      <x:c r="I1042" s="186" t="n">
        <x:f>G1042-H1042</x:f>
        <x:v>-51284</x:v>
      </x:c>
      <x:c r="J1042" s="186" t="n">
        <x:v>30143</x:v>
      </x:c>
      <x:c r="K1042" s="186" t="n">
        <x:v>262385</x:v>
      </x:c>
      <x:c r="L1042" s="186" t="n">
        <x:f>J1042-K1042</x:f>
        <x:v>-232242</x:v>
      </x:c>
      <x:c r="M1042" s="186" t="n">
        <x:v>160581</x:v>
      </x:c>
      <x:c r="N1042" s="186" t="n">
        <x:v>24311</x:v>
      </x:c>
      <x:c r="O1042" s="186" t="n">
        <x:f>M1042-N1042</x:f>
        <x:v>136270</x:v>
      </x:c>
      <x:c r="P1042" s="186" t="n">
        <x:v>129580</x:v>
      </x:c>
      <x:c r="Q1042" s="186" t="n">
        <x:v>25150</x:v>
      </x:c>
      <x:c r="R1042" s="186" t="n">
        <x:f>P1042-Q1042</x:f>
        <x:v>104430</x:v>
      </x:c>
      <x:c r="S1042" s="186" t="n">
        <x:v>62268</x:v>
      </x:c>
      <x:c r="T1042" s="186" t="n">
        <x:v>19442</x:v>
      </x:c>
      <x:c r="U1042" s="186" t="n">
        <x:f>S1042-T1042</x:f>
        <x:v>42826</x:v>
      </x:c>
      <x:c r="V1042" s="196" t="n">
        <x:f>IFERROR(O1042/F1042,"")</x:f>
        <x:v>0.27691357297151203</x:v>
      </x:c>
      <x:c r="W1042" s="196" t="n">
        <x:f>IFERROR(I1042/F1042,"")</x:f>
        <x:v>-0.10421395520856407</x:v>
      </x:c>
    </x:row>
    <x:row r="1043">
      <x:c r="A1043" s="186" t="str">
        <x:v>Silver</x:v>
      </x:c>
      <x:c r="B1043" s="187" t="n">
        <x:v>46014</x:v>
      </x:c>
      <x:c r="C1043" s="187" t="n">
        <x:v>46017</x:v>
      </x:c>
      <x:c r="D1043" s="186" t="str">
        <x:v>084691-SILVER</x:v>
      </x:c>
      <x:c r="E1043" s="186" t="str">
        <x:v>SILVER - COMMODITY EXCHANGE INC.</x:v>
      </x:c>
      <x:c r="F1043" s="186" t="n">
        <x:v>155710</x:v>
      </x:c>
      <x:c r="G1043" s="186" t="n">
        <x:v>5833</x:v>
      </x:c>
      <x:c r="H1043" s="186" t="n">
        <x:v>30062</x:v>
      </x:c>
      <x:c r="I1043" s="186" t="n">
        <x:f>G1043-H1043</x:f>
        <x:v>-24229</x:v>
      </x:c>
      <x:c r="J1043" s="186" t="n">
        <x:v>30687</x:v>
      </x:c>
      <x:c r="K1043" s="186" t="n">
        <x:v>60725</x:v>
      </x:c>
      <x:c r="L1043" s="186" t="n">
        <x:f>J1043-K1043</x:f>
        <x:v>-30038</x:v>
      </x:c>
      <x:c r="M1043" s="186" t="n">
        <x:v>35026</x:v>
      </x:c>
      <x:c r="N1043" s="186" t="n">
        <x:v>13418</x:v>
      </x:c>
      <x:c r="O1043" s="186" t="n">
        <x:f>M1043-N1043</x:f>
        <x:v>21608</x:v>
      </x:c>
      <x:c r="P1043" s="186" t="n">
        <x:v>20217</x:v>
      </x:c>
      <x:c r="Q1043" s="186" t="n">
        <x:v>5941</x:v>
      </x:c>
      <x:c r="R1043" s="186" t="n">
        <x:f>P1043-Q1043</x:f>
        <x:v>14276</x:v>
      </x:c>
      <x:c r="S1043" s="186" t="n">
        <x:v>31956</x:v>
      </x:c>
      <x:c r="T1043" s="186" t="n">
        <x:v>13573</x:v>
      </x:c>
      <x:c r="U1043" s="186" t="n">
        <x:f>S1043-T1043</x:f>
        <x:v>18383</x:v>
      </x:c>
      <x:c r="V1043" s="196" t="n">
        <x:f>IFERROR(O1043/F1043,"")</x:f>
        <x:v>0.1387707918566566</x:v>
      </x:c>
      <x:c r="W1043" s="196" t="n">
        <x:f>IFERROR(I1043/F1043,"")</x:f>
        <x:v>-0.15560336523023569</x:v>
      </x:c>
    </x:row>
    <x:row r="1044">
      <x:c r="A1044" s="186" t="str">
        <x:v>Gold</x:v>
      </x:c>
      <x:c r="B1044" s="187" t="n">
        <x:v>46021</x:v>
      </x:c>
      <x:c r="C1044" s="187" t="n">
        <x:v>46024</x:v>
      </x:c>
      <x:c r="D1044" s="186" t="str">
        <x:v>088691-GOLD</x:v>
      </x:c>
      <x:c r="E1044" s="186" t="str">
        <x:v>GOLD - COMMODITY EXCHANGE INC.</x:v>
      </x:c>
      <x:c r="F1044" s="186" t="n">
        <x:v>481866</x:v>
      </x:c>
      <x:c r="G1044" s="186" t="n">
        <x:v>12958</x:v>
      </x:c>
      <x:c r="H1044" s="186" t="n">
        <x:v>67439</x:v>
      </x:c>
      <x:c r="I1044" s="186" t="n">
        <x:f>G1044-H1044</x:f>
        <x:v>-54481</x:v>
      </x:c>
      <x:c r="J1044" s="186" t="n">
        <x:v>37010</x:v>
      </x:c>
      <x:c r="K1044" s="186" t="n">
        <x:v>257775</x:v>
      </x:c>
      <x:c r="L1044" s="186" t="n">
        <x:f>J1044-K1044</x:f>
        <x:v>-220765</x:v>
      </x:c>
      <x:c r="M1044" s="186" t="n">
        <x:v>148642</x:v>
      </x:c>
      <x:c r="N1044" s="186" t="n">
        <x:v>22602</x:v>
      </x:c>
      <x:c r="O1044" s="186" t="n">
        <x:f>M1044-N1044</x:f>
        <x:v>126040</x:v>
      </x:c>
      <x:c r="P1044" s="186" t="n">
        <x:v>126950</x:v>
      </x:c>
      <x:c r="Q1044" s="186" t="n">
        <x:v>21817</x:v>
      </x:c>
      <x:c r="R1044" s="186" t="n">
        <x:f>P1044-Q1044</x:f>
        <x:v>105133</x:v>
      </x:c>
      <x:c r="S1044" s="186" t="n">
        <x:v>60217</x:v>
      </x:c>
      <x:c r="T1044" s="186" t="n">
        <x:v>16144</x:v>
      </x:c>
      <x:c r="U1044" s="186" t="n">
        <x:f>S1044-T1044</x:f>
        <x:v>44073</x:v>
      </x:c>
      <x:c r="V1044" s="196" t="n">
        <x:f>IFERROR(O1044/F1044,"")</x:f>
        <x:v>0.2615664935895041</x:v>
      </x:c>
      <x:c r="W1044" s="196" t="n">
        <x:f>IFERROR(I1044/F1044,"")</x:f>
        <x:v>-0.1130625526598681</x:v>
      </x:c>
    </x:row>
    <x:row r="1045">
      <x:c r="A1045" s="186" t="str">
        <x:v>Silver</x:v>
      </x:c>
      <x:c r="B1045" s="187" t="n">
        <x:v>46021</x:v>
      </x:c>
      <x:c r="C1045" s="187" t="n">
        <x:v>46024</x:v>
      </x:c>
      <x:c r="D1045" s="186" t="str">
        <x:v>084691-SILVER</x:v>
      </x:c>
      <x:c r="E1045" s="186" t="str">
        <x:v>SILVER - COMMODITY EXCHANGE INC.</x:v>
      </x:c>
      <x:c r="F1045" s="186" t="n">
        <x:v>157391</x:v>
      </x:c>
      <x:c r="G1045" s="186" t="n">
        <x:v>4680</x:v>
      </x:c>
      <x:c r="H1045" s="186" t="n">
        <x:v>30754</x:v>
      </x:c>
      <x:c r="I1045" s="186" t="n">
        <x:f>G1045-H1045</x:f>
        <x:v>-26074</x:v>
      </x:c>
      <x:c r="J1045" s="186" t="n">
        <x:v>33079</x:v>
      </x:c>
      <x:c r="K1045" s="186" t="n">
        <x:v>57267</x:v>
      </x:c>
      <x:c r="L1045" s="186" t="n">
        <x:f>J1045-K1045</x:f>
        <x:v>-24188</x:v>
      </x:c>
      <x:c r="M1045" s="186" t="n">
        <x:v>29100</x:v>
      </x:c>
      <x:c r="N1045" s="186" t="n">
        <x:v>15092</x:v>
      </x:c>
      <x:c r="O1045" s="186" t="n">
        <x:f>M1045-N1045</x:f>
        <x:v>14008</x:v>
      </x:c>
      <x:c r="P1045" s="186" t="n">
        <x:v>21406</x:v>
      </x:c>
      <x:c r="Q1045" s="186" t="n">
        <x:v>5351</x:v>
      </x:c>
      <x:c r="R1045" s="186" t="n">
        <x:f>P1045-Q1045</x:f>
        <x:v>16055</x:v>
      </x:c>
      <x:c r="S1045" s="186" t="n">
        <x:v>31855</x:v>
      </x:c>
      <x:c r="T1045" s="186" t="n">
        <x:v>11656</x:v>
      </x:c>
      <x:c r="U1045" s="186" t="n">
        <x:f>S1045-T1045</x:f>
        <x:v>20199</x:v>
      </x:c>
      <x:c r="V1045" s="196" t="n">
        <x:f>IFERROR(O1045/F1045,"")</x:f>
        <x:v>0.08900127707429269</x:v>
      </x:c>
      <x:c r="W1045" s="196" t="n">
        <x:f>IFERROR(I1045/F1045,"")</x:f>
        <x:v>-0.16566385625607563</x:v>
      </x:c>
    </x:row>
    <x:row r="1046">
      <x:c r="A1046" s="186" t="str">
        <x:v>Gold</x:v>
      </x:c>
      <x:c r="B1046" s="187" t="n">
        <x:v>46028</x:v>
      </x:c>
      <x:c r="C1046" s="187" t="n">
        <x:v>46031</x:v>
      </x:c>
      <x:c r="D1046" s="186" t="str">
        <x:v>088691-GOLD</x:v>
      </x:c>
      <x:c r="E1046" s="186" t="str">
        <x:v>GOLD - COMMODITY EXCHANGE INC.</x:v>
      </x:c>
      <x:c r="F1046" s="186" t="n">
        <x:v>488116</x:v>
      </x:c>
      <x:c r="G1046" s="186" t="n">
        <x:v>13454</x:v>
      </x:c>
      <x:c r="H1046" s="186" t="n">
        <x:v>63996</x:v>
      </x:c>
      <x:c r="I1046" s="186" t="n">
        <x:f>G1046-H1046</x:f>
        <x:v>-50542</x:v>
      </x:c>
      <x:c r="J1046" s="186" t="n">
        <x:v>37456</x:v>
      </x:c>
      <x:c r="K1046" s="186" t="n">
        <x:v>258949</x:v>
      </x:c>
      <x:c r="L1046" s="186" t="n">
        <x:f>J1046-K1046</x:f>
        <x:v>-221493</x:v>
      </x:c>
      <x:c r="M1046" s="186" t="n">
        <x:v>146445</x:v>
      </x:c>
      <x:c r="N1046" s="186" t="n">
        <x:v>23232</x:v>
      </x:c>
      <x:c r="O1046" s="186" t="n">
        <x:f>M1046-N1046</x:f>
        <x:v>123213</x:v>
      </x:c>
      <x:c r="P1046" s="186" t="n">
        <x:v>127990</x:v>
      </x:c>
      <x:c r="Q1046" s="186" t="n">
        <x:v>23571</x:v>
      </x:c>
      <x:c r="R1046" s="186" t="n">
        <x:f>P1046-Q1046</x:f>
        <x:v>104419</x:v>
      </x:c>
      <x:c r="S1046" s="186" t="n">
        <x:v>60118</x:v>
      </x:c>
      <x:c r="T1046" s="186" t="n">
        <x:v>15715</x:v>
      </x:c>
      <x:c r="U1046" s="186" t="n">
        <x:f>S1046-T1046</x:f>
        <x:v>44403</x:v>
      </x:c>
      <x:c r="V1046" s="196" t="n">
        <x:f>IFERROR(O1046/F1046,"")</x:f>
        <x:v>0.25242565291856855</x:v>
      </x:c>
      <x:c r="W1046" s="196" t="n">
        <x:f>IFERROR(I1046/F1046,"")</x:f>
        <x:v>-0.10354505896139442</x:v>
      </x:c>
    </x:row>
    <x:row r="1047">
      <x:c r="A1047" s="186" t="str">
        <x:v>Silver</x:v>
      </x:c>
      <x:c r="B1047" s="187" t="n">
        <x:v>46028</x:v>
      </x:c>
      <x:c r="C1047" s="187" t="n">
        <x:v>46031</x:v>
      </x:c>
      <x:c r="D1047" s="186" t="str">
        <x:v>084691-SILVER</x:v>
      </x:c>
      <x:c r="E1047" s="186" t="str">
        <x:v>SILVER - COMMODITY EXCHANGE INC.</x:v>
      </x:c>
      <x:c r="F1047" s="186" t="n">
        <x:v>153240</x:v>
      </x:c>
      <x:c r="G1047" s="186" t="n">
        <x:v>5147</x:v>
      </x:c>
      <x:c r="H1047" s="186" t="n">
        <x:v>30692</x:v>
      </x:c>
      <x:c r="I1047" s="186" t="n">
        <x:f>G1047-H1047</x:f>
        <x:v>-25545</x:v>
      </x:c>
      <x:c r="J1047" s="186" t="n">
        <x:v>31774</x:v>
      </x:c>
      <x:c r="K1047" s="186" t="n">
        <x:v>57920</x:v>
      </x:c>
      <x:c r="L1047" s="186" t="n">
        <x:f>J1047-K1047</x:f>
        <x:v>-26146</x:v>
      </x:c>
      <x:c r="M1047" s="186" t="n">
        <x:v>26978</x:v>
      </x:c>
      <x:c r="N1047" s="186" t="n">
        <x:v>11156</x:v>
      </x:c>
      <x:c r="O1047" s="186" t="n">
        <x:f>M1047-N1047</x:f>
        <x:v>15822</x:v>
      </x:c>
      <x:c r="P1047" s="186" t="n">
        <x:v>20406</x:v>
      </x:c>
      <x:c r="Q1047" s="186" t="n">
        <x:v>6957</x:v>
      </x:c>
      <x:c r="R1047" s="186" t="n">
        <x:f>P1047-Q1047</x:f>
        <x:v>13449</x:v>
      </x:c>
      <x:c r="S1047" s="186" t="n">
        <x:v>33815</x:v>
      </x:c>
      <x:c r="T1047" s="186" t="n">
        <x:v>11395</x:v>
      </x:c>
      <x:c r="U1047" s="186" t="n">
        <x:f>S1047-T1047</x:f>
        <x:v>22420</x:v>
      </x:c>
      <x:c r="V1047" s="196" t="n">
        <x:f>IFERROR(O1047/F1047,"")</x:f>
        <x:v>0.10324980422866092</x:v>
      </x:c>
      <x:c r="W1047" s="196" t="n">
        <x:f>IFERROR(I1047/F1047,"")</x:f>
        <x:v>-0.16669929522317933</x:v>
      </x:c>
    </x:row>
    <x:row r="1048">
      <x:c r="A1048" s="186" t="str">
        <x:v>Gold</x:v>
      </x:c>
      <x:c r="B1048" s="187" t="n">
        <x:v>46035</x:v>
      </x:c>
      <x:c r="C1048" s="187" t="n">
        <x:v>46038</x:v>
      </x:c>
      <x:c r="D1048" s="186" t="str">
        <x:v>088691-GOLD</x:v>
      </x:c>
      <x:c r="E1048" s="186" t="str">
        <x:v>GOLD - COMMODITY EXCHANGE INC.</x:v>
      </x:c>
      <x:c r="F1048" s="186" t="n">
        <x:v>527455</x:v>
      </x:c>
      <x:c r="G1048" s="186" t="n">
        <x:v>13998</x:v>
      </x:c>
      <x:c r="H1048" s="186" t="n">
        <x:v>65163</x:v>
      </x:c>
      <x:c r="I1048" s="186" t="n">
        <x:f>G1048-H1048</x:f>
        <x:v>-51165</x:v>
      </x:c>
      <x:c r="J1048" s="186" t="n">
        <x:v>31166</x:v>
      </x:c>
      <x:c r="K1048" s="186" t="n">
        <x:v>277107</x:v>
      </x:c>
      <x:c r="L1048" s="186" t="n">
        <x:f>J1048-K1048</x:f>
        <x:v>-245941</x:v>
      </x:c>
      <x:c r="M1048" s="186" t="n">
        <x:v>158825</x:v>
      </x:c>
      <x:c r="N1048" s="186" t="n">
        <x:v>24080</x:v>
      </x:c>
      <x:c r="O1048" s="186" t="n">
        <x:f>M1048-N1048</x:f>
        <x:v>134745</x:v>
      </x:c>
      <x:c r="P1048" s="186" t="n">
        <x:v>137358</x:v>
      </x:c>
      <x:c r="Q1048" s="186" t="n">
        <x:v>20865</x:v>
      </x:c>
      <x:c r="R1048" s="186" t="n">
        <x:f>P1048-Q1048</x:f>
        <x:v>116493</x:v>
      </x:c>
      <x:c r="S1048" s="186" t="n">
        <x:v>66220</x:v>
      </x:c>
      <x:c r="T1048" s="186" t="n">
        <x:v>20352</x:v>
      </x:c>
      <x:c r="U1048" s="186" t="n">
        <x:f>S1048-T1048</x:f>
        <x:v>45868</x:v>
      </x:c>
      <x:c r="V1048" s="196" t="n">
        <x:f>IFERROR(O1048/F1048,"")</x:f>
        <x:v>0.2554625513076945</x:v>
      </x:c>
      <x:c r="W1048" s="196" t="n">
        <x:f>IFERROR(I1048/F1048,"")</x:f>
        <x:v>-0.09700353584665991</x:v>
      </x:c>
    </x:row>
    <x:row r="1049">
      <x:c r="A1049" s="186" t="str">
        <x:v>Silver</x:v>
      </x:c>
      <x:c r="B1049" s="187" t="n">
        <x:v>46035</x:v>
      </x:c>
      <x:c r="C1049" s="187" t="n">
        <x:v>46038</x:v>
      </x:c>
      <x:c r="D1049" s="186" t="str">
        <x:v>084691-SILVER</x:v>
      </x:c>
      <x:c r="E1049" s="186" t="str">
        <x:v>SILVER - COMMODITY EXCHANGE INC.</x:v>
      </x:c>
      <x:c r="F1049" s="186" t="n">
        <x:v>151513</x:v>
      </x:c>
      <x:c r="G1049" s="186" t="n">
        <x:v>2910</x:v>
      </x:c>
      <x:c r="H1049" s="186" t="n">
        <x:v>28421</x:v>
      </x:c>
      <x:c r="I1049" s="186" t="n">
        <x:f>G1049-H1049</x:f>
        <x:v>-25511</x:v>
      </x:c>
      <x:c r="J1049" s="186" t="n">
        <x:v>25833</x:v>
      </x:c>
      <x:c r="K1049" s="186" t="n">
        <x:v>55614</x:v>
      </x:c>
      <x:c r="L1049" s="186" t="n">
        <x:f>J1049-K1049</x:f>
        <x:v>-29781</x:v>
      </x:c>
      <x:c r="M1049" s="186" t="n">
        <x:v>22800</x:v>
      </x:c>
      <x:c r="N1049" s="186" t="n">
        <x:v>9008</x:v>
      </x:c>
      <x:c r="O1049" s="186" t="n">
        <x:f>M1049-N1049</x:f>
        <x:v>13792</x:v>
      </x:c>
      <x:c r="P1049" s="186" t="n">
        <x:v>24537</x:v>
      </x:c>
      <x:c r="Q1049" s="186" t="n">
        <x:v>6269</x:v>
      </x:c>
      <x:c r="R1049" s="186" t="n">
        <x:f>P1049-Q1049</x:f>
        <x:v>18268</x:v>
      </x:c>
      <x:c r="S1049" s="186" t="n">
        <x:v>35516</x:v>
      </x:c>
      <x:c r="T1049" s="186" t="n">
        <x:v>12284</x:v>
      </x:c>
      <x:c r="U1049" s="186" t="n">
        <x:f>S1049-T1049</x:f>
        <x:v>23232</x:v>
      </x:c>
      <x:c r="V1049" s="196" t="n">
        <x:f>IFERROR(O1049/F1049,"")</x:f>
        <x:v>0.09102849260459499</x:v>
      </x:c>
      <x:c r="W1049" s="196" t="n">
        <x:f>IFERROR(I1049/F1049,"")</x:f>
        <x:v>-0.16837499092487113</x:v>
      </x:c>
    </x:row>
    <x:row r="1050">
      <x:c r="A1050" s="186" t="str">
        <x:v>Gold</x:v>
      </x:c>
      <x:c r="B1050" s="187" t="n">
        <x:v>46042</x:v>
      </x:c>
      <x:c r="C1050" s="187" t="n">
        <x:v>46045</x:v>
      </x:c>
      <x:c r="D1050" s="186" t="str">
        <x:v>088691-GOLD</x:v>
      </x:c>
      <x:c r="E1050" s="186" t="str">
        <x:v>GOLD - COMMODITY EXCHANGE INC.</x:v>
      </x:c>
      <x:c r="F1050" s="186" t="n">
        <x:v>528004</x:v>
      </x:c>
      <x:c r="G1050" s="186" t="n">
        <x:v>18731</x:v>
      </x:c>
      <x:c r="H1050" s="186" t="n">
        <x:v>61020</x:v>
      </x:c>
      <x:c r="I1050" s="186" t="n">
        <x:f>G1050-H1050</x:f>
        <x:v>-42289</x:v>
      </x:c>
      <x:c r="J1050" s="186" t="n">
        <x:v>29522</x:v>
      </x:c>
      <x:c r="K1050" s="186" t="n">
        <x:v>276922</x:v>
      </x:c>
      <x:c r="L1050" s="186" t="n">
        <x:f>J1050-K1050</x:f>
        <x:v>-247400</x:v>
      </x:c>
      <x:c r="M1050" s="186" t="n">
        <x:v>163668</x:v>
      </x:c>
      <x:c r="N1050" s="186" t="n">
        <x:v>26224</x:v>
      </x:c>
      <x:c r="O1050" s="186" t="n">
        <x:f>M1050-N1050</x:f>
        <x:v>137444</x:v>
      </x:c>
      <x:c r="P1050" s="186" t="n">
        <x:v>132104</x:v>
      </x:c>
      <x:c r="Q1050" s="186" t="n">
        <x:v>24778</x:v>
      </x:c>
      <x:c r="R1050" s="186" t="n">
        <x:f>P1050-Q1050</x:f>
        <x:v>107326</x:v>
      </x:c>
      <x:c r="S1050" s="186" t="n">
        <x:v>62136</x:v>
      </x:c>
      <x:c r="T1050" s="186" t="n">
        <x:v>17217</x:v>
      </x:c>
      <x:c r="U1050" s="186" t="n">
        <x:f>S1050-T1050</x:f>
        <x:v>44919</x:v>
      </x:c>
      <x:c r="V1050" s="196" t="n">
        <x:f>IFERROR(O1050/F1050,"")</x:f>
        <x:v>0.2603086340254998</x:v>
      </x:c>
      <x:c r="W1050" s="196" t="n">
        <x:f>IFERROR(I1050/F1050,"")</x:f>
        <x:v>-0.08009219627124037</x:v>
      </x:c>
    </x:row>
    <x:row r="1051">
      <x:c r="A1051" s="186" t="str">
        <x:v>Silver</x:v>
      </x:c>
      <x:c r="B1051" s="187" t="n">
        <x:v>46042</x:v>
      </x:c>
      <x:c r="C1051" s="187" t="n">
        <x:v>46045</x:v>
      </x:c>
      <x:c r="D1051" s="186" t="str">
        <x:v>084691-SILVER</x:v>
      </x:c>
      <x:c r="E1051" s="186" t="str">
        <x:v>SILVER - COMMODITY EXCHANGE INC.</x:v>
      </x:c>
      <x:c r="F1051" s="186" t="n">
        <x:v>152020</x:v>
      </x:c>
      <x:c r="G1051" s="186" t="n">
        <x:v>4976</x:v>
      </x:c>
      <x:c r="H1051" s="186" t="n">
        <x:v>24732</x:v>
      </x:c>
      <x:c r="I1051" s="186" t="n">
        <x:f>G1051-H1051</x:f>
        <x:v>-19756</x:v>
      </x:c>
      <x:c r="J1051" s="186" t="n">
        <x:v>26235</x:v>
      </x:c>
      <x:c r="K1051" s="186" t="n">
        <x:v>52868</x:v>
      </x:c>
      <x:c r="L1051" s="186" t="n">
        <x:f>J1051-K1051</x:f>
        <x:v>-26633</x:v>
      </x:c>
      <x:c r="M1051" s="186" t="n">
        <x:v>20613</x:v>
      </x:c>
      <x:c r="N1051" s="186" t="n">
        <x:v>10667</x:v>
      </x:c>
      <x:c r="O1051" s="186" t="n">
        <x:f>M1051-N1051</x:f>
        <x:v>9946</x:v>
      </x:c>
      <x:c r="P1051" s="186" t="n">
        <x:v>22352</x:v>
      </x:c>
      <x:c r="Q1051" s="186" t="n">
        <x:v>7084</x:v>
      </x:c>
      <x:c r="R1051" s="186" t="n">
        <x:f>P1051-Q1051</x:f>
        <x:v>15268</x:v>
      </x:c>
      <x:c r="S1051" s="186" t="n">
        <x:v>35608</x:v>
      </x:c>
      <x:c r="T1051" s="186" t="n">
        <x:v>14433</x:v>
      </x:c>
      <x:c r="U1051" s="186" t="n">
        <x:f>S1051-T1051</x:f>
        <x:v>21175</x:v>
      </x:c>
      <x:c r="V1051" s="196" t="n">
        <x:f>IFERROR(O1051/F1051,"")</x:f>
        <x:v>0.06542560189448757</x:v>
      </x:c>
      <x:c r="W1051" s="196" t="n">
        <x:f>IFERROR(I1051/F1051,"")</x:f>
        <x:v>-0.12995658465991317</x:v>
      </x:c>
    </x:row>
    <x:row r="1052">
      <x:c r="A1052" s="186" t="str">
        <x:v>Gold</x:v>
      </x:c>
      <x:c r="B1052" s="187" t="n">
        <x:v>46049</x:v>
      </x:c>
      <x:c r="C1052" s="187" t="n">
        <x:v>46052</x:v>
      </x:c>
      <x:c r="D1052" s="186" t="str">
        <x:v>088691-GOLD</x:v>
      </x:c>
      <x:c r="E1052" s="186" t="str">
        <x:v>GOLD - COMMODITY EXCHANGE INC.</x:v>
      </x:c>
      <x:c r="F1052" s="186" t="n">
        <x:v>488463</x:v>
      </x:c>
      <x:c r="G1052" s="186" t="n">
        <x:v>14609</x:v>
      </x:c>
      <x:c r="H1052" s="186" t="n">
        <x:v>55198</x:v>
      </x:c>
      <x:c r="I1052" s="186" t="n">
        <x:f>G1052-H1052</x:f>
        <x:v>-40589</x:v>
      </x:c>
      <x:c r="J1052" s="186" t="n">
        <x:v>34124</x:v>
      </x:c>
      <x:c r="K1052" s="186" t="n">
        <x:v>241820</x:v>
      </x:c>
      <x:c r="L1052" s="186" t="n">
        <x:f>J1052-K1052</x:f>
        <x:v>-207696</x:v>
      </x:c>
      <x:c r="M1052" s="186" t="n">
        <x:v>143321</x:v>
      </x:c>
      <x:c r="N1052" s="186" t="n">
        <x:v>25162</x:v>
      </x:c>
      <x:c r="O1052" s="186" t="n">
        <x:f>M1052-N1052</x:f>
        <x:v>118159</x:v>
      </x:c>
      <x:c r="P1052" s="186" t="n">
        <x:v>108779</x:v>
      </x:c>
      <x:c r="Q1052" s="186" t="n">
        <x:v>21542</x:v>
      </x:c>
      <x:c r="R1052" s="186" t="n">
        <x:f>P1052-Q1052</x:f>
        <x:v>87237</x:v>
      </x:c>
      <x:c r="S1052" s="186" t="n">
        <x:v>62677</x:v>
      </x:c>
      <x:c r="T1052" s="186" t="n">
        <x:v>19788</x:v>
      </x:c>
      <x:c r="U1052" s="186" t="n">
        <x:f>S1052-T1052</x:f>
        <x:v>42889</x:v>
      </x:c>
      <x:c r="V1052" s="196" t="n">
        <x:f>IFERROR(O1052/F1052,"")</x:f>
        <x:v>0.2418995911665776</x:v>
      </x:c>
      <x:c r="W1052" s="196" t="n">
        <x:f>IFERROR(I1052/F1052,"")</x:f>
        <x:v>-0.08309534191944938</x:v>
      </x:c>
    </x:row>
    <x:row r="1053">
      <x:c r="A1053" s="186" t="str">
        <x:v>Silver</x:v>
      </x:c>
      <x:c r="B1053" s="187" t="n">
        <x:v>46049</x:v>
      </x:c>
      <x:c r="C1053" s="187" t="n">
        <x:v>46052</x:v>
      </x:c>
      <x:c r="D1053" s="186" t="str">
        <x:v>084691-SILVER</x:v>
      </x:c>
      <x:c r="E1053" s="186" t="str">
        <x:v>SILVER - COMMODITY EXCHANGE INC.</x:v>
      </x:c>
      <x:c r="F1053" s="186" t="n">
        <x:v>156637</x:v>
      </x:c>
      <x:c r="G1053" s="186" t="n">
        <x:v>5895</x:v>
      </x:c>
      <x:c r="H1053" s="186" t="n">
        <x:v>27108</x:v>
      </x:c>
      <x:c r="I1053" s="186" t="n">
        <x:f>G1053-H1053</x:f>
        <x:v>-21213</x:v>
      </x:c>
      <x:c r="J1053" s="186" t="n">
        <x:v>28500</x:v>
      </x:c>
      <x:c r="K1053" s="186" t="n">
        <x:v>51343</x:v>
      </x:c>
      <x:c r="L1053" s="186" t="n">
        <x:f>J1053-K1053</x:f>
        <x:v>-22843</x:v>
      </x:c>
      <x:c r="M1053" s="186" t="n">
        <x:v>19423</x:v>
      </x:c>
      <x:c r="N1053" s="186" t="n">
        <x:v>11724</x:v>
      </x:c>
      <x:c r="O1053" s="186" t="n">
        <x:f>M1053-N1053</x:f>
        <x:v>7699</x:v>
      </x:c>
      <x:c r="P1053" s="186" t="n">
        <x:v>24052</x:v>
      </x:c>
      <x:c r="Q1053" s="186" t="n">
        <x:v>8048</x:v>
      </x:c>
      <x:c r="R1053" s="186" t="n">
        <x:f>P1053-Q1053</x:f>
        <x:v>16004</x:v>
      </x:c>
      <x:c r="S1053" s="186" t="n">
        <x:v>34444</x:v>
      </x:c>
      <x:c r="T1053" s="186" t="n">
        <x:v>14091</x:v>
      </x:c>
      <x:c r="U1053" s="186" t="n">
        <x:f>S1053-T1053</x:f>
        <x:v>20353</x:v>
      </x:c>
      <x:c r="V1053" s="196" t="n">
        <x:f>IFERROR(O1053/F1053,"")</x:f>
        <x:v>0.049151860671488856</x:v>
      </x:c>
      <x:c r="W1053" s="196" t="n">
        <x:f>IFERROR(I1053/F1053,"")</x:f>
        <x:v>-0.13542777249308913</x:v>
      </x:c>
    </x:row>
    <x:row r="1054">
      <x:c r="A1054" s="186" t="str">
        <x:v>Gold</x:v>
      </x:c>
      <x:c r="B1054" s="187" t="n">
        <x:v>46056</x:v>
      </x:c>
      <x:c r="C1054" s="187" t="n">
        <x:v>46059</x:v>
      </x:c>
      <x:c r="D1054" s="186" t="str">
        <x:v>088691-GOLD</x:v>
      </x:c>
      <x:c r="E1054" s="186" t="str">
        <x:v>GOLD - COMMODITY EXCHANGE INC.</x:v>
      </x:c>
      <x:c r="F1054" s="186" t="n">
        <x:v>409694</x:v>
      </x:c>
      <x:c r="G1054" s="186" t="n">
        <x:v>14072</x:v>
      </x:c>
      <x:c r="H1054" s="186" t="n">
        <x:v>38706</x:v>
      </x:c>
      <x:c r="I1054" s="186" t="n">
        <x:f>G1054-H1054</x:f>
        <x:v>-24634</x:v>
      </x:c>
      <x:c r="J1054" s="186" t="n">
        <x:v>40303</x:v>
      </x:c>
      <x:c r="K1054" s="186" t="n">
        <x:v>223447</x:v>
      </x:c>
      <x:c r="L1054" s="186" t="n">
        <x:f>J1054-K1054</x:f>
        <x:v>-183144</x:v>
      </x:c>
      <x:c r="M1054" s="186" t="n">
        <x:v>118936</x:v>
      </x:c>
      <x:c r="N1054" s="186" t="n">
        <x:v>26864</x:v>
      </x:c>
      <x:c r="O1054" s="186" t="n">
        <x:f>M1054-N1054</x:f>
        <x:v>92072</x:v>
      </x:c>
      <x:c r="P1054" s="186" t="n">
        <x:v>95572</x:v>
      </x:c>
      <x:c r="Q1054" s="186" t="n">
        <x:v>22040</x:v>
      </x:c>
      <x:c r="R1054" s="186" t="n">
        <x:f>P1054-Q1054</x:f>
        <x:v>73532</x:v>
      </x:c>
      <x:c r="S1054" s="186" t="n">
        <x:v>56610</x:v>
      </x:c>
      <x:c r="T1054" s="186" t="n">
        <x:v>14436</x:v>
      </x:c>
      <x:c r="U1054" s="186" t="n">
        <x:f>S1054-T1054</x:f>
        <x:v>42174</x:v>
      </x:c>
      <x:c r="V1054" s="196" t="n">
        <x:f>IFERROR(O1054/F1054,"")</x:f>
        <x:v>0.22473358164874271</x:v>
      </x:c>
      <x:c r="W1054" s="196" t="n">
        <x:f>IFERROR(I1054/F1054,"")</x:f>
        <x:v>-0.060127802701528454</x:v>
      </x:c>
    </x:row>
    <x:row r="1055">
      <x:c r="A1055" s="186" t="str">
        <x:v>Silver</x:v>
      </x:c>
      <x:c r="B1055" s="187" t="n">
        <x:v>46056</x:v>
      </x:c>
      <x:c r="C1055" s="187" t="n">
        <x:v>46059</x:v>
      </x:c>
      <x:c r="D1055" s="186" t="str">
        <x:v>084691-SILVER</x:v>
      </x:c>
      <x:c r="E1055" s="186" t="str">
        <x:v>SILVER - COMMODITY EXCHANGE INC.</x:v>
      </x:c>
      <x:c r="F1055" s="186" t="n">
        <x:v>143180</x:v>
      </x:c>
      <x:c r="G1055" s="186" t="n">
        <x:v>4847</x:v>
      </x:c>
      <x:c r="H1055" s="186" t="n">
        <x:v>23114</x:v>
      </x:c>
      <x:c r="I1055" s="186" t="n">
        <x:f>G1055-H1055</x:f>
        <x:v>-18267</x:v>
      </x:c>
      <x:c r="J1055" s="186" t="n">
        <x:v>21173</x:v>
      </x:c>
      <x:c r="K1055" s="186" t="n">
        <x:v>48631</x:v>
      </x:c>
      <x:c r="L1055" s="186" t="n">
        <x:f>J1055-K1055</x:f>
        <x:v>-27458</x:v>
      </x:c>
      <x:c r="M1055" s="186" t="n">
        <x:v>13189</x:v>
      </x:c>
      <x:c r="N1055" s="186" t="n">
        <x:v>8206</x:v>
      </x:c>
      <x:c r="O1055" s="186" t="n">
        <x:f>M1055-N1055</x:f>
        <x:v>4983</x:v>
      </x:c>
      <x:c r="P1055" s="186" t="n">
        <x:v>25694</x:v>
      </x:c>
      <x:c r="Q1055" s="186" t="n">
        <x:v>4800</x:v>
      </x:c>
      <x:c r="R1055" s="186" t="n">
        <x:f>P1055-Q1055</x:f>
        <x:v>20894</x:v>
      </x:c>
      <x:c r="S1055" s="186" t="n">
        <x:v>32469</x:v>
      </x:c>
      <x:c r="T1055" s="186" t="n">
        <x:v>12621</x:v>
      </x:c>
      <x:c r="U1055" s="186" t="n">
        <x:f>S1055-T1055</x:f>
        <x:v>19848</x:v>
      </x:c>
      <x:c r="V1055" s="196" t="n">
        <x:f>IFERROR(O1055/F1055,"")</x:f>
        <x:v>0.03480234669646599</x:v>
      </x:c>
      <x:c r="W1055" s="196" t="n">
        <x:f>IFERROR(I1055/F1055,"")</x:f>
        <x:v>-0.1275806676910183</x:v>
      </x:c>
    </x:row>
    <x:row r="1056">
      <x:c r="A1056" s="186" t="str">
        <x:v>Gold</x:v>
      </x:c>
      <x:c r="B1056" s="187" t="n">
        <x:v>46063</x:v>
      </x:c>
      <x:c r="C1056" s="187" t="n">
        <x:v>46066</x:v>
      </x:c>
      <x:c r="D1056" s="186" t="str">
        <x:v>088691-GOLD</x:v>
      </x:c>
      <x:c r="E1056" s="186" t="str">
        <x:v>GOLD - COMMODITY EXCHANGE INC.</x:v>
      </x:c>
      <x:c r="F1056" s="186" t="n">
        <x:v>404391</x:v>
      </x:c>
      <x:c r="G1056" s="186" t="n">
        <x:v>15737</x:v>
      </x:c>
      <x:c r="H1056" s="186" t="n">
        <x:v>34182</x:v>
      </x:c>
      <x:c r="I1056" s="186" t="n">
        <x:f>G1056-H1056</x:f>
        <x:v>-18445</x:v>
      </x:c>
      <x:c r="J1056" s="186" t="n">
        <x:v>43244</x:v>
      </x:c>
      <x:c r="K1056" s="186" t="n">
        <x:v>222537</x:v>
      </x:c>
      <x:c r="L1056" s="186" t="n">
        <x:f>J1056-K1056</x:f>
        <x:v>-179293</x:v>
      </x:c>
      <x:c r="M1056" s="186" t="n">
        <x:v>119232</x:v>
      </x:c>
      <x:c r="N1056" s="186" t="n">
        <x:v>27210</x:v>
      </x:c>
      <x:c r="O1056" s="186" t="n">
        <x:f>M1056-N1056</x:f>
        <x:v>92022</x:v>
      </x:c>
      <x:c r="P1056" s="186" t="n">
        <x:v>93576</x:v>
      </x:c>
      <x:c r="Q1056" s="186" t="n">
        <x:v>25586</x:v>
      </x:c>
      <x:c r="R1056" s="186" t="n">
        <x:f>P1056-Q1056</x:f>
        <x:v>67990</x:v>
      </x:c>
      <x:c r="S1056" s="186" t="n">
        <x:v>52916</x:v>
      </x:c>
      <x:c r="T1056" s="186" t="n">
        <x:v>15190</x:v>
      </x:c>
      <x:c r="U1056" s="186" t="n">
        <x:f>S1056-T1056</x:f>
        <x:v>37726</x:v>
      </x:c>
      <x:c r="V1056" s="196" t="n">
        <x:f>IFERROR(O1056/F1056,"")</x:f>
        <x:v>0.22755699310815522</x:v>
      </x:c>
      <x:c r="W1056" s="196" t="n">
        <x:f>IFERROR(I1056/F1056,"")</x:f>
        <x:v>-0.04561179650387867</x:v>
      </x:c>
    </x:row>
    <x:row r="1057">
      <x:c r="A1057" s="186" t="str">
        <x:v>Silver</x:v>
      </x:c>
      <x:c r="B1057" s="187" t="n">
        <x:v>46063</x:v>
      </x:c>
      <x:c r="C1057" s="187" t="n">
        <x:v>46066</x:v>
      </x:c>
      <x:c r="D1057" s="186" t="str">
        <x:v>084691-SILVER</x:v>
      </x:c>
      <x:c r="E1057" s="186" t="str">
        <x:v>SILVER - COMMODITY EXCHANGE INC.</x:v>
      </x:c>
      <x:c r="F1057" s="186" t="n">
        <x:v>133641</x:v>
      </x:c>
      <x:c r="G1057" s="186" t="n">
        <x:v>4554</x:v>
      </x:c>
      <x:c r="H1057" s="186" t="n">
        <x:v>21344</x:v>
      </x:c>
      <x:c r="I1057" s="186" t="n">
        <x:f>G1057-H1057</x:f>
        <x:v>-16790</x:v>
      </x:c>
      <x:c r="J1057" s="186" t="n">
        <x:v>21652</x:v>
      </x:c>
      <x:c r="K1057" s="186" t="n">
        <x:v>47025</x:v>
      </x:c>
      <x:c r="L1057" s="186" t="n">
        <x:f>J1057-K1057</x:f>
        <x:v>-25373</x:v>
      </x:c>
      <x:c r="M1057" s="186" t="n">
        <x:v>12222</x:v>
      </x:c>
      <x:c r="N1057" s="186" t="n">
        <x:v>7653</x:v>
      </x:c>
      <x:c r="O1057" s="186" t="n">
        <x:f>M1057-N1057</x:f>
        <x:v>4569</x:v>
      </x:c>
      <x:c r="P1057" s="186" t="n">
        <x:v>24438</x:v>
      </x:c>
      <x:c r="Q1057" s="186" t="n">
        <x:v>6052</x:v>
      </x:c>
      <x:c r="R1057" s="186" t="n">
        <x:f>P1057-Q1057</x:f>
        <x:v>18386</x:v>
      </x:c>
      <x:c r="S1057" s="186" t="n">
        <x:v>29843</x:v>
      </x:c>
      <x:c r="T1057" s="186" t="n">
        <x:v>10635</x:v>
      </x:c>
      <x:c r="U1057" s="186" t="n">
        <x:f>S1057-T1057</x:f>
        <x:v>19208</x:v>
      </x:c>
      <x:c r="V1057" s="196" t="n">
        <x:f>IFERROR(O1057/F1057,"")</x:f>
        <x:v>0.0341886097829259</x:v>
      </x:c>
      <x:c r="W1057" s="196" t="n">
        <x:f>IFERROR(I1057/F1057,"")</x:f>
        <x:v>-0.12563509701364103</x:v>
      </x:c>
    </x:row>
    <x:row r="1058">
      <x:c r="A1058" s="186" t="str">
        <x:v>Gold</x:v>
      </x:c>
      <x:c r="B1058" s="187" t="n">
        <x:v>46070</x:v>
      </x:c>
      <x:c r="C1058" s="187" t="n">
        <x:v>46073</x:v>
      </x:c>
      <x:c r="D1058" s="186" t="str">
        <x:v>088691-GOLD</x:v>
      </x:c>
      <x:c r="E1058" s="186" t="str">
        <x:v>GOLD - COMMODITY EXCHANGE INC.</x:v>
      </x:c>
      <x:c r="F1058" s="186" t="n">
        <x:v>407078</x:v>
      </x:c>
      <x:c r="G1058" s="186" t="n">
        <x:v>13643</x:v>
      </x:c>
      <x:c r="H1058" s="186" t="n">
        <x:v>35041</x:v>
      </x:c>
      <x:c r="I1058" s="186" t="n">
        <x:f>G1058-H1058</x:f>
        <x:v>-21398</x:v>
      </x:c>
      <x:c r="J1058" s="186" t="n">
        <x:v>41702</x:v>
      </x:c>
      <x:c r="K1058" s="186" t="n">
        <x:v>217086</x:v>
      </x:c>
      <x:c r="L1058" s="186" t="n">
        <x:f>J1058-K1058</x:f>
        <x:v>-175384</x:v>
      </x:c>
      <x:c r="M1058" s="186" t="n">
        <x:v>123011</x:v>
      </x:c>
      <x:c r="N1058" s="186" t="n">
        <x:v>27118</x:v>
      </x:c>
      <x:c r="O1058" s="186" t="n">
        <x:f>M1058-N1058</x:f>
        <x:v>95893</x:v>
      </x:c>
      <x:c r="P1058" s="186" t="n">
        <x:v>90421</x:v>
      </x:c>
      <x:c r="Q1058" s="186" t="n">
        <x:v>26399</x:v>
      </x:c>
      <x:c r="R1058" s="186" t="n">
        <x:f>P1058-Q1058</x:f>
        <x:v>64022</x:v>
      </x:c>
      <x:c r="S1058" s="186" t="n">
        <x:v>51821</x:v>
      </x:c>
      <x:c r="T1058" s="186" t="n">
        <x:v>14954</x:v>
      </x:c>
      <x:c r="U1058" s="186" t="n">
        <x:f>S1058-T1058</x:f>
        <x:v>36867</x:v>
      </x:c>
      <x:c r="V1058" s="196" t="n">
        <x:f>IFERROR(O1058/F1058,"")</x:f>
        <x:v>0.23556419162912268</x:v>
      </x:c>
      <x:c r="W1058" s="196" t="n">
        <x:f>IFERROR(I1058/F1058,"")</x:f>
        <x:v>-0.05256486471880082</x:v>
      </x:c>
    </x:row>
    <x:row r="1059">
      <x:c r="A1059" s="186" t="str">
        <x:v>Silver</x:v>
      </x:c>
      <x:c r="B1059" s="187" t="n">
        <x:v>46070</x:v>
      </x:c>
      <x:c r="C1059" s="187" t="n">
        <x:v>46073</x:v>
      </x:c>
      <x:c r="D1059" s="186" t="str">
        <x:v>084691-SILVER</x:v>
      </x:c>
      <x:c r="E1059" s="186" t="str">
        <x:v>SILVER - COMMODITY EXCHANGE INC.</x:v>
      </x:c>
      <x:c r="F1059" s="186" t="n">
        <x:v>131496</x:v>
      </x:c>
      <x:c r="G1059" s="186" t="n">
        <x:v>4959</x:v>
      </x:c>
      <x:c r="H1059" s="186" t="n">
        <x:v>20842</x:v>
      </x:c>
      <x:c r="I1059" s="186" t="n">
        <x:f>G1059-H1059</x:f>
        <x:v>-15883</x:v>
      </x:c>
      <x:c r="J1059" s="186" t="n">
        <x:v>20839</x:v>
      </x:c>
      <x:c r="K1059" s="186" t="n">
        <x:v>47303</x:v>
      </x:c>
      <x:c r="L1059" s="186" t="n">
        <x:f>J1059-K1059</x:f>
        <x:v>-26464</x:v>
      </x:c>
      <x:c r="M1059" s="186" t="n">
        <x:v>12121</x:v>
      </x:c>
      <x:c r="N1059" s="186" t="n">
        <x:v>6153</x:v>
      </x:c>
      <x:c r="O1059" s="186" t="n">
        <x:f>M1059-N1059</x:f>
        <x:v>5968</x:v>
      </x:c>
      <x:c r="P1059" s="186" t="n">
        <x:v>24505</x:v>
      </x:c>
      <x:c r="Q1059" s="186" t="n">
        <x:v>6470</x:v>
      </x:c>
      <x:c r="R1059" s="186" t="n">
        <x:f>P1059-Q1059</x:f>
        <x:v>18035</x:v>
      </x:c>
      <x:c r="S1059" s="186" t="n">
        <x:v>28514</x:v>
      </x:c>
      <x:c r="T1059" s="186" t="n">
        <x:v>10170</x:v>
      </x:c>
      <x:c r="U1059" s="186" t="n">
        <x:f>S1059-T1059</x:f>
        <x:v>18344</x:v>
      </x:c>
      <x:c r="V1059" s="196" t="n">
        <x:f>IFERROR(O1059/F1059,"")</x:f>
        <x:v>0.04538541096307112</x:v>
      </x:c>
      <x:c r="W1059" s="196" t="n">
        <x:f>IFERROR(I1059/F1059,"")</x:f>
        <x:v>-0.12078694408955405</x:v>
      </x:c>
    </x:row>
    <x:row r="1060">
      <x:c r="A1060" s="186" t="str">
        <x:v>Gold</x:v>
      </x:c>
      <x:c r="B1060" s="187" t="n">
        <x:v>46077</x:v>
      </x:c>
      <x:c r="C1060" s="187" t="n">
        <x:v>46080</x:v>
      </x:c>
      <x:c r="D1060" s="186" t="str">
        <x:v>088691-GOLD</x:v>
      </x:c>
      <x:c r="E1060" s="186" t="str">
        <x:v>GOLD - COMMODITY EXCHANGE INC.</x:v>
      </x:c>
      <x:c r="F1060" s="186" t="n">
        <x:v>420182</x:v>
      </x:c>
      <x:c r="G1060" s="186" t="n">
        <x:v>14800</x:v>
      </x:c>
      <x:c r="H1060" s="186" t="n">
        <x:v>34618</x:v>
      </x:c>
      <x:c r="I1060" s="186" t="n">
        <x:f>G1060-H1060</x:f>
        <x:v>-19818</x:v>
      </x:c>
      <x:c r="J1060" s="186" t="n">
        <x:v>38848</x:v>
      </x:c>
      <x:c r="K1060" s="186" t="n">
        <x:v>219836</x:v>
      </x:c>
      <x:c r="L1060" s="186" t="n">
        <x:f>J1060-K1060</x:f>
        <x:v>-180988</x:v>
      </x:c>
      <x:c r="M1060" s="186" t="n">
        <x:v>121233</x:v>
      </x:c>
      <x:c r="N1060" s="186" t="n">
        <x:v>25259</x:v>
      </x:c>
      <x:c r="O1060" s="186" t="n">
        <x:f>M1060-N1060</x:f>
        <x:v>95974</x:v>
      </x:c>
      <x:c r="P1060" s="186" t="n">
        <x:v>90416</x:v>
      </x:c>
      <x:c r="Q1060" s="186" t="n">
        <x:v>27213</x:v>
      </x:c>
      <x:c r="R1060" s="186" t="n">
        <x:f>P1060-Q1060</x:f>
        <x:v>63203</x:v>
      </x:c>
      <x:c r="S1060" s="186" t="n">
        <x:v>67772</x:v>
      </x:c>
      <x:c r="T1060" s="186" t="n">
        <x:v>26143</x:v>
      </x:c>
      <x:c r="U1060" s="186" t="n">
        <x:f>S1060-T1060</x:f>
        <x:v>41629</x:v>
      </x:c>
      <x:c r="V1060" s="196" t="n">
        <x:f>IFERROR(O1060/F1060,"")</x:f>
        <x:v>0.22841054590629775</x:v>
      </x:c>
      <x:c r="W1060" s="196" t="n">
        <x:f>IFERROR(I1060/F1060,"")</x:f>
        <x:v>-0.04716527599944786</x:v>
      </x:c>
    </x:row>
    <x:row r="1061">
      <x:c r="A1061" s="186" t="str">
        <x:v>Silver</x:v>
      </x:c>
      <x:c r="B1061" s="187" t="n">
        <x:v>46077</x:v>
      </x:c>
      <x:c r="C1061" s="187" t="n">
        <x:v>46080</x:v>
      </x:c>
      <x:c r="D1061" s="186" t="str">
        <x:v>084691-SILVER</x:v>
      </x:c>
      <x:c r="E1061" s="186" t="str">
        <x:v>SILVER - COMMODITY EXCHANGE INC.</x:v>
      </x:c>
      <x:c r="F1061" s="186" t="n">
        <x:v>125454</x:v>
      </x:c>
      <x:c r="G1061" s="186" t="n">
        <x:v>3641</x:v>
      </x:c>
      <x:c r="H1061" s="186" t="n">
        <x:v>20316</x:v>
      </x:c>
      <x:c r="I1061" s="186" t="n">
        <x:f>G1061-H1061</x:f>
        <x:v>-16675</x:v>
      </x:c>
      <x:c r="J1061" s="186" t="n">
        <x:v>21546</x:v>
      </x:c>
      <x:c r="K1061" s="186" t="n">
        <x:v>45951</x:v>
      </x:c>
      <x:c r="L1061" s="186" t="n">
        <x:f>J1061-K1061</x:f>
        <x:v>-24405</x:v>
      </x:c>
      <x:c r="M1061" s="186" t="n">
        <x:v>13365</x:v>
      </x:c>
      <x:c r="N1061" s="186" t="n">
        <x:v>4842</x:v>
      </x:c>
      <x:c r="O1061" s="186" t="n">
        <x:f>M1061-N1061</x:f>
        <x:v>8523</x:v>
      </x:c>
      <x:c r="P1061" s="186" t="n">
        <x:v>19135</x:v>
      </x:c>
      <x:c r="Q1061" s="186" t="n">
        <x:v>5398</x:v>
      </x:c>
      <x:c r="R1061" s="186" t="n">
        <x:f>P1061-Q1061</x:f>
        <x:v>13737</x:v>
      </x:c>
      <x:c r="S1061" s="186" t="n">
        <x:v>30190</x:v>
      </x:c>
      <x:c r="T1061" s="186" t="n">
        <x:v>11370</x:v>
      </x:c>
      <x:c r="U1061" s="186" t="n">
        <x:f>S1061-T1061</x:f>
        <x:v>18820</x:v>
      </x:c>
      <x:c r="V1061" s="196" t="n">
        <x:f>IFERROR(O1061/F1061,"")</x:f>
        <x:v>0.06793725190109522</x:v>
      </x:c>
      <x:c r="W1061" s="196" t="n">
        <x:f>IFERROR(I1061/F1061,"")</x:f>
        <x:v>-0.13291724456773</x:v>
      </x:c>
    </x:row>
    <x:row r="1062">
      <x:c r="A1062" s="186" t="str">
        <x:v>Gold</x:v>
      </x:c>
      <x:c r="B1062" s="187" t="n">
        <x:v>46084</x:v>
      </x:c>
      <x:c r="C1062" s="187" t="n">
        <x:v>46087</x:v>
      </x:c>
      <x:c r="D1062" s="186" t="str">
        <x:v>088691-GOLD</x:v>
      </x:c>
      <x:c r="E1062" s="186" t="str">
        <x:v>GOLD - COMMODITY EXCHANGE INC.</x:v>
      </x:c>
      <x:c r="F1062" s="186" t="n">
        <x:v>409789</x:v>
      </x:c>
      <x:c r="G1062" s="186" t="n">
        <x:v>15219</x:v>
      </x:c>
      <x:c r="H1062" s="186" t="n">
        <x:v>36010</x:v>
      </x:c>
      <x:c r="I1062" s="186" t="n">
        <x:f>G1062-H1062</x:f>
        <x:v>-20791</x:v>
      </x:c>
      <x:c r="J1062" s="186" t="n">
        <x:v>39360</x:v>
      </x:c>
      <x:c r="K1062" s="186" t="n">
        <x:v>219152</x:v>
      </x:c>
      <x:c r="L1062" s="186" t="n">
        <x:f>J1062-K1062</x:f>
        <x:v>-179792</x:v>
      </x:c>
      <x:c r="M1062" s="186" t="n">
        <x:v>123456</x:v>
      </x:c>
      <x:c r="N1062" s="186" t="n">
        <x:v>25539</x:v>
      </x:c>
      <x:c r="O1062" s="186" t="n">
        <x:f>M1062-N1062</x:f>
        <x:v>97917</x:v>
      </x:c>
      <x:c r="P1062" s="186" t="n">
        <x:v>90296</x:v>
      </x:c>
      <x:c r="Q1062" s="186" t="n">
        <x:v>28068</x:v>
      </x:c>
      <x:c r="R1062" s="186" t="n">
        <x:f>P1062-Q1062</x:f>
        <x:v>62228</x:v>
      </x:c>
      <x:c r="S1062" s="186" t="n">
        <x:v>55126</x:v>
      </x:c>
      <x:c r="T1062" s="186" t="n">
        <x:v>14688</x:v>
      </x:c>
      <x:c r="U1062" s="186" t="n">
        <x:f>S1062-T1062</x:f>
        <x:v>40438</x:v>
      </x:c>
      <x:c r="V1062" s="196" t="n">
        <x:f>IFERROR(O1062/F1062,"")</x:f>
        <x:v>0.23894492043466273</x:v>
      </x:c>
      <x:c r="W1062" s="196" t="n">
        <x:f>IFERROR(I1062/F1062,"")</x:f>
        <x:v>-0.05073586650690965</x:v>
      </x:c>
    </x:row>
    <x:row r="1063">
      <x:c r="A1063" s="186" t="str">
        <x:v>Silver</x:v>
      </x:c>
      <x:c r="B1063" s="187" t="n">
        <x:v>46084</x:v>
      </x:c>
      <x:c r="C1063" s="187" t="n">
        <x:v>46087</x:v>
      </x:c>
      <x:c r="D1063" s="186" t="str">
        <x:v>084691-SILVER</x:v>
      </x:c>
      <x:c r="E1063" s="186" t="str">
        <x:v>SILVER - COMMODITY EXCHANGE INC.</x:v>
      </x:c>
      <x:c r="F1063" s="186" t="n">
        <x:v>113326</x:v>
      </x:c>
      <x:c r="G1063" s="186" t="n">
        <x:v>3750</x:v>
      </x:c>
      <x:c r="H1063" s="186" t="n">
        <x:v>18765</x:v>
      </x:c>
      <x:c r="I1063" s="186" t="n">
        <x:f>G1063-H1063</x:f>
        <x:v>-15015</x:v>
      </x:c>
      <x:c r="J1063" s="186" t="n">
        <x:v>20817</x:v>
      </x:c>
      <x:c r="K1063" s="186" t="n">
        <x:v>45768</x:v>
      </x:c>
      <x:c r="L1063" s="186" t="n">
        <x:f>J1063-K1063</x:f>
        <x:v>-24951</x:v>
      </x:c>
      <x:c r="M1063" s="186" t="n">
        <x:v>12840</x:v>
      </x:c>
      <x:c r="N1063" s="186" t="n">
        <x:v>5074</x:v>
      </x:c>
      <x:c r="O1063" s="186" t="n">
        <x:f>M1063-N1063</x:f>
        <x:v>7766</x:v>
      </x:c>
      <x:c r="P1063" s="186" t="n">
        <x:v>21386</x:v>
      </x:c>
      <x:c r="Q1063" s="186" t="n">
        <x:v>5814</x:v>
      </x:c>
      <x:c r="R1063" s="186" t="n">
        <x:f>P1063-Q1063</x:f>
        <x:v>15572</x:v>
      </x:c>
      <x:c r="S1063" s="186" t="n">
        <x:v>26079</x:v>
      </x:c>
      <x:c r="T1063" s="186" t="n">
        <x:v>9451</x:v>
      </x:c>
      <x:c r="U1063" s="186" t="n">
        <x:f>S1063-T1063</x:f>
        <x:v>16628</x:v>
      </x:c>
      <x:c r="V1063" s="196" t="n">
        <x:f>IFERROR(O1063/F1063,"")</x:f>
        <x:v>0.06852796357411362</x:v>
      </x:c>
      <x:c r="W1063" s="196" t="n">
        <x:f>IFERROR(I1063/F1063,"")</x:f>
        <x:v>-0.13249386725023385</x:v>
      </x:c>
    </x:row>
    <x:row r="1064">
      <x:c r="A1064" s="186" t="str">
        <x:v>Gold</x:v>
      </x:c>
      <x:c r="B1064" s="187" t="n">
        <x:v>46091</x:v>
      </x:c>
      <x:c r="C1064" s="187" t="n">
        <x:v>46094</x:v>
      </x:c>
      <x:c r="D1064" s="186" t="str">
        <x:v>088691-GOLD</x:v>
      </x:c>
      <x:c r="E1064" s="186" t="str">
        <x:v>GOLD - COMMODITY EXCHANGE INC.</x:v>
      </x:c>
      <x:c r="F1064" s="186" t="n">
        <x:v>413956</x:v>
      </x:c>
      <x:c r="G1064" s="186" t="n">
        <x:v>14826</x:v>
      </x:c>
      <x:c r="H1064" s="186" t="n">
        <x:v>34522</x:v>
      </x:c>
      <x:c r="I1064" s="186" t="n">
        <x:f>G1064-H1064</x:f>
        <x:v>-19696</x:v>
      </x:c>
      <x:c r="J1064" s="186" t="n">
        <x:v>38318</x:v>
      </x:c>
      <x:c r="K1064" s="186" t="n">
        <x:v>221598</x:v>
      </x:c>
      <x:c r="L1064" s="186" t="n">
        <x:f>J1064-K1064</x:f>
        <x:v>-183280</x:v>
      </x:c>
      <x:c r="M1064" s="186" t="n">
        <x:v>125077</x:v>
      </x:c>
      <x:c r="N1064" s="186" t="n">
        <x:v>26678</x:v>
      </x:c>
      <x:c r="O1064" s="186" t="n">
        <x:f>M1064-N1064</x:f>
        <x:v>98399</x:v>
      </x:c>
      <x:c r="P1064" s="186" t="n">
        <x:v>90368</x:v>
      </x:c>
      <x:c r="Q1064" s="186" t="n">
        <x:v>25635</x:v>
      </x:c>
      <x:c r="R1064" s="186" t="n">
        <x:f>P1064-Q1064</x:f>
        <x:v>64733</x:v>
      </x:c>
      <x:c r="S1064" s="186" t="n">
        <x:v>53424</x:v>
      </x:c>
      <x:c r="T1064" s="186" t="n">
        <x:v>13580</x:v>
      </x:c>
      <x:c r="U1064" s="186" t="n">
        <x:f>S1064-T1064</x:f>
        <x:v>39844</x:v>
      </x:c>
      <x:c r="V1064" s="196" t="n">
        <x:f>IFERROR(O1064/F1064,"")</x:f>
        <x:v>0.23770400718916987</x:v>
      </x:c>
      <x:c r="W1064" s="196" t="n">
        <x:f>IFERROR(I1064/F1064,"")</x:f>
        <x:v>-0.0475799360318488</x:v>
      </x:c>
    </x:row>
    <x:row r="1065">
      <x:c r="A1065" s="186" t="str">
        <x:v>Silver</x:v>
      </x:c>
      <x:c r="B1065" s="187" t="n">
        <x:v>46091</x:v>
      </x:c>
      <x:c r="C1065" s="187" t="n">
        <x:v>46094</x:v>
      </x:c>
      <x:c r="D1065" s="186" t="str">
        <x:v>084691-SILVER</x:v>
      </x:c>
      <x:c r="E1065" s="186" t="str">
        <x:v>SILVER - COMMODITY EXCHANGE INC.</x:v>
      </x:c>
      <x:c r="F1065" s="186" t="n">
        <x:v>115458</x:v>
      </x:c>
      <x:c r="G1065" s="186" t="n">
        <x:v>3181</x:v>
      </x:c>
      <x:c r="H1065" s="186" t="n">
        <x:v>19334</x:v>
      </x:c>
      <x:c r="I1065" s="186" t="n">
        <x:f>G1065-H1065</x:f>
        <x:v>-16153</x:v>
      </x:c>
      <x:c r="J1065" s="186" t="n">
        <x:v>22637</x:v>
      </x:c>
      <x:c r="K1065" s="186" t="n">
        <x:v>48061</x:v>
      </x:c>
      <x:c r="L1065" s="186" t="n">
        <x:f>J1065-K1065</x:f>
        <x:v>-25424</x:v>
      </x:c>
      <x:c r="M1065" s="186" t="n">
        <x:v>13264</x:v>
      </x:c>
      <x:c r="N1065" s="186" t="n">
        <x:v>2975</x:v>
      </x:c>
      <x:c r="O1065" s="186" t="n">
        <x:f>M1065-N1065</x:f>
        <x:v>10289</x:v>
      </x:c>
      <x:c r="P1065" s="186" t="n">
        <x:v>20042</x:v>
      </x:c>
      <x:c r="Q1065" s="186" t="n">
        <x:v>5753</x:v>
      </x:c>
      <x:c r="R1065" s="186" t="n">
        <x:f>P1065-Q1065</x:f>
        <x:v>14289</x:v>
      </x:c>
      <x:c r="S1065" s="186" t="n">
        <x:v>26719</x:v>
      </x:c>
      <x:c r="T1065" s="186" t="n">
        <x:v>9720</x:v>
      </x:c>
      <x:c r="U1065" s="186" t="n">
        <x:f>S1065-T1065</x:f>
        <x:v>16999</x:v>
      </x:c>
      <x:c r="V1065" s="196" t="n">
        <x:f>IFERROR(O1065/F1065,"")</x:f>
        <x:v>0.0891146564118554</x:v>
      </x:c>
      <x:c r="W1065" s="196" t="n">
        <x:f>IFERROR(I1065/F1065,"")</x:f>
        <x:v>-0.13990368792114882</x:v>
      </x:c>
    </x:row>
    <x:row r="1066">
      <x:c r="A1066" s="186" t="str">
        <x:v>Gold</x:v>
      </x:c>
      <x:c r="B1066" s="187" t="n">
        <x:v>46098</x:v>
      </x:c>
      <x:c r="C1066" s="187" t="n">
        <x:v>46101</x:v>
      </x:c>
      <x:c r="D1066" s="186" t="str">
        <x:v>088691-GOLD</x:v>
      </x:c>
      <x:c r="E1066" s="186" t="str">
        <x:v>GOLD - COMMODITY EXCHANGE INC.</x:v>
      </x:c>
      <x:c r="F1066" s="186" t="n">
        <x:v>411388</x:v>
      </x:c>
      <x:c r="G1066" s="186" t="n">
        <x:v>15879</x:v>
      </x:c>
      <x:c r="H1066" s="186" t="n">
        <x:v>33713</x:v>
      </x:c>
      <x:c r="I1066" s="186" t="n">
        <x:f>G1066-H1066</x:f>
        <x:v>-17834</x:v>
      </x:c>
      <x:c r="J1066" s="186" t="n">
        <x:v>36975</x:v>
      </x:c>
      <x:c r="K1066" s="186" t="n">
        <x:v>217789</x:v>
      </x:c>
      <x:c r="L1066" s="186" t="n">
        <x:f>J1066-K1066</x:f>
        <x:v>-180814</x:v>
      </x:c>
      <x:c r="M1066" s="186" t="n">
        <x:v>130147</x:v>
      </x:c>
      <x:c r="N1066" s="186" t="n">
        <x:v>28104</x:v>
      </x:c>
      <x:c r="O1066" s="186" t="n">
        <x:f>M1066-N1066</x:f>
        <x:v>102043</x:v>
      </x:c>
      <x:c r="P1066" s="186" t="n">
        <x:v>85814</x:v>
      </x:c>
      <x:c r="Q1066" s="186" t="n">
        <x:v>27988</x:v>
      </x:c>
      <x:c r="R1066" s="186" t="n">
        <x:f>P1066-Q1066</x:f>
        <x:v>57826</x:v>
      </x:c>
      <x:c r="S1066" s="186" t="n">
        <x:v>52913</x:v>
      </x:c>
      <x:c r="T1066" s="186" t="n">
        <x:v>14134</x:v>
      </x:c>
      <x:c r="U1066" s="186" t="n">
        <x:f>S1066-T1066</x:f>
        <x:v>38779</x:v>
      </x:c>
      <x:c r="V1066" s="196" t="n">
        <x:f>IFERROR(O1066/F1066,"")</x:f>
        <x:v>0.24804564061178255</x:v>
      </x:c>
      <x:c r="W1066" s="196" t="n">
        <x:f>IFERROR(I1066/F1066,"")</x:f>
        <x:v>-0.04335080264859451</x:v>
      </x:c>
    </x:row>
    <x:row r="1067">
      <x:c r="A1067" s="186" t="str">
        <x:v>Silver</x:v>
      </x:c>
      <x:c r="B1067" s="187" t="n">
        <x:v>46098</x:v>
      </x:c>
      <x:c r="C1067" s="187" t="n">
        <x:v>46101</x:v>
      </x:c>
      <x:c r="D1067" s="186" t="str">
        <x:v>084691-SILVER</x:v>
      </x:c>
      <x:c r="E1067" s="186" t="str">
        <x:v>SILVER - COMMODITY EXCHANGE INC.</x:v>
      </x:c>
      <x:c r="F1067" s="186" t="n">
        <x:v>114758</x:v>
      </x:c>
      <x:c r="G1067" s="186" t="n">
        <x:v>3847</x:v>
      </x:c>
      <x:c r="H1067" s="186" t="n">
        <x:v>18644</x:v>
      </x:c>
      <x:c r="I1067" s="186" t="n">
        <x:f>G1067-H1067</x:f>
        <x:v>-14797</x:v>
      </x:c>
      <x:c r="J1067" s="186" t="n">
        <x:v>21883</x:v>
      </x:c>
      <x:c r="K1067" s="186" t="n">
        <x:v>45444</x:v>
      </x:c>
      <x:c r="L1067" s="186" t="n">
        <x:f>J1067-K1067</x:f>
        <x:v>-23561</x:v>
      </x:c>
      <x:c r="M1067" s="186" t="n">
        <x:v>12768</x:v>
      </x:c>
      <x:c r="N1067" s="186" t="n">
        <x:v>3121</x:v>
      </x:c>
      <x:c r="O1067" s="186" t="n">
        <x:f>M1067-N1067</x:f>
        <x:v>9647</x:v>
      </x:c>
      <x:c r="P1067" s="186" t="n">
        <x:v>18357</x:v>
      </x:c>
      <x:c r="Q1067" s="186" t="n">
        <x:v>6123</x:v>
      </x:c>
      <x:c r="R1067" s="186" t="n">
        <x:f>P1067-Q1067</x:f>
        <x:v>12234</x:v>
      </x:c>
      <x:c r="S1067" s="186" t="n">
        <x:v>26297</x:v>
      </x:c>
      <x:c r="T1067" s="186" t="n">
        <x:v>9820</x:v>
      </x:c>
      <x:c r="U1067" s="186" t="n">
        <x:f>S1067-T1067</x:f>
        <x:v>16477</x:v>
      </x:c>
      <x:c r="V1067" s="196" t="n">
        <x:f>IFERROR(O1067/F1067,"")</x:f>
        <x:v>0.08406385611460639</x:v>
      </x:c>
      <x:c r="W1067" s="196" t="n">
        <x:f>IFERROR(I1067/F1067,"")</x:f>
        <x:v>-0.1289409017236271</x:v>
      </x:c>
    </x:row>
    <x:row r="1068">
      <x:c r="A1068" s="186" t="str">
        <x:v>Gold</x:v>
      </x:c>
      <x:c r="B1068" s="187" t="n">
        <x:v>46105</x:v>
      </x:c>
      <x:c r="C1068" s="187" t="n">
        <x:v>46108</x:v>
      </x:c>
      <x:c r="D1068" s="186" t="str">
        <x:v>088691-GOLD</x:v>
      </x:c>
      <x:c r="E1068" s="186" t="str">
        <x:v>GOLD - COMMODITY EXCHANGE INC.</x:v>
      </x:c>
      <x:c r="F1068" s="186" t="n">
        <x:v>403925</x:v>
      </x:c>
      <x:c r="G1068" s="186" t="n">
        <x:v>12761</x:v>
      </x:c>
      <x:c r="H1068" s="186" t="n">
        <x:v>34977</x:v>
      </x:c>
      <x:c r="I1068" s="186" t="n">
        <x:f>G1068-H1068</x:f>
        <x:v>-22216</x:v>
      </x:c>
      <x:c r="J1068" s="186" t="n">
        <x:v>36069</x:v>
      </x:c>
      <x:c r="K1068" s="186" t="n">
        <x:v>217681</x:v>
      </x:c>
      <x:c r="L1068" s="186" t="n">
        <x:f>J1068-K1068</x:f>
        <x:v>-181612</x:v>
      </x:c>
      <x:c r="M1068" s="186" t="n">
        <x:v>119562</x:v>
      </x:c>
      <x:c r="N1068" s="186" t="n">
        <x:v>27941</x:v>
      </x:c>
      <x:c r="O1068" s="186" t="n">
        <x:f>M1068-N1068</x:f>
        <x:v>91621</x:v>
      </x:c>
      <x:c r="P1068" s="186" t="n">
        <x:v>101299</x:v>
      </x:c>
      <x:c r="Q1068" s="186" t="n">
        <x:v>24593</x:v>
      </x:c>
      <x:c r="R1068" s="186" t="n">
        <x:f>P1068-Q1068</x:f>
        <x:v>76706</x:v>
      </x:c>
      <x:c r="S1068" s="186" t="n">
        <x:v>49273</x:v>
      </x:c>
      <x:c r="T1068" s="186" t="n">
        <x:v>13772</x:v>
      </x:c>
      <x:c r="U1068" s="186" t="n">
        <x:f>S1068-T1068</x:f>
        <x:v>35501</x:v>
      </x:c>
      <x:c r="V1068" s="196" t="n">
        <x:f>IFERROR(O1068/F1068,"")</x:f>
        <x:v>0.22682676239400879</x:v>
      </x:c>
      <x:c r="W1068" s="196" t="n">
        <x:f>IFERROR(I1068/F1068,"")</x:f>
        <x:v>-0.05500030946339048</x:v>
      </x:c>
    </x:row>
    <x:row r="1069">
      <x:c r="A1069" s="186" t="str">
        <x:v>Silver</x:v>
      </x:c>
      <x:c r="B1069" s="187" t="n">
        <x:v>46105</x:v>
      </x:c>
      <x:c r="C1069" s="187" t="n">
        <x:v>46108</x:v>
      </x:c>
      <x:c r="D1069" s="186" t="str">
        <x:v>084691-SILVER</x:v>
      </x:c>
      <x:c r="E1069" s="186" t="str">
        <x:v>SILVER - COMMODITY EXCHANGE INC.</x:v>
      </x:c>
      <x:c r="F1069" s="186" t="n">
        <x:v>113164</x:v>
      </x:c>
      <x:c r="G1069" s="186" t="n">
        <x:v>2726</x:v>
      </x:c>
      <x:c r="H1069" s="186" t="n">
        <x:v>17968</x:v>
      </x:c>
      <x:c r="I1069" s="186" t="n">
        <x:f>G1069-H1069</x:f>
        <x:v>-15242</x:v>
      </x:c>
      <x:c r="J1069" s="186" t="n">
        <x:v>20547</x:v>
      </x:c>
      <x:c r="K1069" s="186" t="n">
        <x:v>45593</x:v>
      </x:c>
      <x:c r="L1069" s="186" t="n">
        <x:f>J1069-K1069</x:f>
        <x:v>-25046</x:v>
      </x:c>
      <x:c r="M1069" s="186" t="n">
        <x:v>15246</x:v>
      </x:c>
      <x:c r="N1069" s="186" t="n">
        <x:v>4088</x:v>
      </x:c>
      <x:c r="O1069" s="186" t="n">
        <x:f>M1069-N1069</x:f>
        <x:v>11158</x:v>
      </x:c>
      <x:c r="P1069" s="186" t="n">
        <x:v>18692</x:v>
      </x:c>
      <x:c r="Q1069" s="186" t="n">
        <x:v>5177</x:v>
      </x:c>
      <x:c r="R1069" s="186" t="n">
        <x:f>P1069-Q1069</x:f>
        <x:v>13515</x:v>
      </x:c>
      <x:c r="S1069" s="186" t="n">
        <x:v>24555</x:v>
      </x:c>
      <x:c r="T1069" s="186" t="n">
        <x:v>8940</x:v>
      </x:c>
      <x:c r="U1069" s="186" t="n">
        <x:f>S1069-T1069</x:f>
        <x:v>15615</x:v>
      </x:c>
      <x:c r="V1069" s="196" t="n">
        <x:f>IFERROR(O1069/F1069,"")</x:f>
        <x:v>0.09860026156728288</x:v>
      </x:c>
      <x:c r="W1069" s="196" t="n">
        <x:f>IFERROR(I1069/F1069,"")</x:f>
        <x:v>-0.13468947721890354</x:v>
      </x:c>
    </x:row>
    <x:row r="1070">
      <x:c r="A1070" s="186" t="str">
        <x:v>Gold</x:v>
      </x:c>
      <x:c r="B1070" s="187" t="n">
        <x:v>46112</x:v>
      </x:c>
      <x:c r="C1070" s="187" t="n">
        <x:v>46115</x:v>
      </x:c>
      <x:c r="D1070" s="186" t="str">
        <x:v>088691-GOLD</x:v>
      </x:c>
      <x:c r="E1070" s="186" t="str">
        <x:v>GOLD - COMMODITY EXCHANGE INC.</x:v>
      </x:c>
      <x:c r="F1070" s="186" t="n">
        <x:v>361409</x:v>
      </x:c>
      <x:c r="G1070" s="186" t="n">
        <x:v>10979</x:v>
      </x:c>
      <x:c r="H1070" s="186" t="n">
        <x:v>30889</x:v>
      </x:c>
      <x:c r="I1070" s="186" t="n">
        <x:f>G1070-H1070</x:f>
        <x:v>-19910</x:v>
      </x:c>
      <x:c r="J1070" s="186" t="n">
        <x:v>30201</x:v>
      </x:c>
      <x:c r="K1070" s="186" t="n">
        <x:v>211931</x:v>
      </x:c>
      <x:c r="L1070" s="186" t="n">
        <x:f>J1070-K1070</x:f>
        <x:v>-181730</x:v>
      </x:c>
      <x:c r="M1070" s="186" t="n">
        <x:v>120092</x:v>
      </x:c>
      <x:c r="N1070" s="186" t="n">
        <x:v>27278</x:v>
      </x:c>
      <x:c r="O1070" s="186" t="n">
        <x:f>M1070-N1070</x:f>
        <x:v>92814</x:v>
      </x:c>
      <x:c r="P1070" s="186" t="n">
        <x:v>87510</x:v>
      </x:c>
      <x:c r="Q1070" s="186" t="n">
        <x:v>17122</x:v>
      </x:c>
      <x:c r="R1070" s="186" t="n">
        <x:f>P1070-Q1070</x:f>
        <x:v>70388</x:v>
      </x:c>
      <x:c r="S1070" s="186" t="n">
        <x:v>50617</x:v>
      </x:c>
      <x:c r="T1070" s="186" t="n">
        <x:v>12179</x:v>
      </x:c>
      <x:c r="U1070" s="186" t="n">
        <x:f>S1070-T1070</x:f>
        <x:v>38438</x:v>
      </x:c>
      <x:c r="V1070" s="196" t="n">
        <x:f>IFERROR(O1070/F1070,"")</x:f>
        <x:v>0.25681153485386365</x:v>
      </x:c>
      <x:c r="W1070" s="196" t="n">
        <x:f>IFERROR(I1070/F1070,"")</x:f>
        <x:v>-0.055089939652858674</x:v>
      </x:c>
    </x:row>
    <x:row r="1071">
      <x:c r="A1071" s="186" t="str">
        <x:v>Silver</x:v>
      </x:c>
      <x:c r="B1071" s="187" t="n">
        <x:v>46112</x:v>
      </x:c>
      <x:c r="C1071" s="187" t="n">
        <x:v>46115</x:v>
      </x:c>
      <x:c r="D1071" s="186" t="str">
        <x:v>084691-SILVER</x:v>
      </x:c>
      <x:c r="E1071" s="186" t="str">
        <x:v>SILVER - COMMODITY EXCHANGE INC.</x:v>
      </x:c>
      <x:c r="F1071" s="186" t="n">
        <x:v>115169</x:v>
      </x:c>
      <x:c r="G1071" s="186" t="n">
        <x:v>2542</x:v>
      </x:c>
      <x:c r="H1071" s="186" t="n">
        <x:v>18034</x:v>
      </x:c>
      <x:c r="I1071" s="186" t="n">
        <x:f>G1071-H1071</x:f>
        <x:v>-15492</x:v>
      </x:c>
      <x:c r="J1071" s="186" t="n">
        <x:v>21552</x:v>
      </x:c>
      <x:c r="K1071" s="186" t="n">
        <x:v>44917</x:v>
      </x:c>
      <x:c r="L1071" s="186" t="n">
        <x:f>J1071-K1071</x:f>
        <x:v>-23365</x:v>
      </x:c>
      <x:c r="M1071" s="186" t="n">
        <x:v>14917</x:v>
      </x:c>
      <x:c r="N1071" s="186" t="n">
        <x:v>3651</x:v>
      </x:c>
      <x:c r="O1071" s="186" t="n">
        <x:f>M1071-N1071</x:f>
        <x:v>11266</x:v>
      </x:c>
      <x:c r="P1071" s="186" t="n">
        <x:v>18546</x:v>
      </x:c>
      <x:c r="Q1071" s="186" t="n">
        <x:v>5908</x:v>
      </x:c>
      <x:c r="R1071" s="186" t="n">
        <x:f>P1071-Q1071</x:f>
        <x:v>12638</x:v>
      </x:c>
      <x:c r="S1071" s="186" t="n">
        <x:v>24465</x:v>
      </x:c>
      <x:c r="T1071" s="186" t="n">
        <x:v>9512</x:v>
      </x:c>
      <x:c r="U1071" s="186" t="n">
        <x:f>S1071-T1071</x:f>
        <x:v>14953</x:v>
      </x:c>
      <x:c r="V1071" s="196" t="n">
        <x:f>IFERROR(O1071/F1071,"")</x:f>
        <x:v>0.0978214623726871</x:v>
      </x:c>
      <x:c r="W1071" s="196" t="n">
        <x:f>IFERROR(I1071/F1071,"")</x:f>
        <x:v>-0.1345153643775669</x:v>
      </x:c>
    </x:row>
    <x:row r="1072">
      <x:c r="A1072" s="186" t="str">
        <x:v>Gold</x:v>
      </x:c>
      <x:c r="B1072" s="187" t="n">
        <x:v>46119</x:v>
      </x:c>
      <x:c r="C1072" s="187" t="n">
        <x:v>46122</x:v>
      </x:c>
      <x:c r="D1072" s="186" t="str">
        <x:v>088691-GOLD</x:v>
      </x:c>
      <x:c r="E1072" s="186" t="str">
        <x:v>GOLD - COMMODITY EXCHANGE INC.</x:v>
      </x:c>
      <x:c r="F1072" s="186" t="n">
        <x:v>354877</x:v>
      </x:c>
      <x:c r="G1072" s="186" t="n">
        <x:v>11713</x:v>
      </x:c>
      <x:c r="H1072" s="186" t="n">
        <x:v>31009</x:v>
      </x:c>
      <x:c r="I1072" s="186" t="n">
        <x:f>G1072-H1072</x:f>
        <x:v>-19296</x:v>
      </x:c>
      <x:c r="J1072" s="186" t="n">
        <x:v>30165</x:v>
      </x:c>
      <x:c r="K1072" s="186" t="n">
        <x:v>204620</x:v>
      </x:c>
      <x:c r="L1072" s="186" t="n">
        <x:f>J1072-K1072</x:f>
        <x:v>-174455</x:v>
      </x:c>
      <x:c r="M1072" s="186" t="n">
        <x:v>120726</x:v>
      </x:c>
      <x:c r="N1072" s="186" t="n">
        <x:v>30694</x:v>
      </x:c>
      <x:c r="O1072" s="186" t="n">
        <x:f>M1072-N1072</x:f>
        <x:v>90032</x:v>
      </x:c>
      <x:c r="P1072" s="186" t="n">
        <x:v>84642</x:v>
      </x:c>
      <x:c r="Q1072" s="186" t="n">
        <x:v>18369</x:v>
      </x:c>
      <x:c r="R1072" s="186" t="n">
        <x:f>P1072-Q1072</x:f>
        <x:v>66273</x:v>
      </x:c>
      <x:c r="S1072" s="186" t="n">
        <x:v>49117</x:v>
      </x:c>
      <x:c r="T1072" s="186" t="n">
        <x:v>11671</x:v>
      </x:c>
      <x:c r="U1072" s="186" t="n">
        <x:f>S1072-T1072</x:f>
        <x:v>37446</x:v>
      </x:c>
      <x:c r="V1072" s="196" t="n">
        <x:f>IFERROR(O1072/F1072,"")</x:f>
        <x:v>0.25369916900785344</x:v>
      </x:c>
      <x:c r="W1072" s="196" t="n">
        <x:f>IFERROR(I1072/F1072,"")</x:f>
        <x:v>-0.05437376893966078</x:v>
      </x:c>
    </x:row>
    <x:row r="1073">
      <x:c r="A1073" s="186" t="str">
        <x:v>Silver</x:v>
      </x:c>
      <x:c r="B1073" s="187" t="n">
        <x:v>46119</x:v>
      </x:c>
      <x:c r="C1073" s="187" t="n">
        <x:v>46122</x:v>
      </x:c>
      <x:c r="D1073" s="186" t="str">
        <x:v>084691-SILVER</x:v>
      </x:c>
      <x:c r="E1073" s="186" t="str">
        <x:v>SILVER - COMMODITY EXCHANGE INC.</x:v>
      </x:c>
      <x:c r="F1073" s="186" t="n">
        <x:v>115138</x:v>
      </x:c>
      <x:c r="G1073" s="186" t="n">
        <x:v>2164</x:v>
      </x:c>
      <x:c r="H1073" s="186" t="n">
        <x:v>17734</x:v>
      </x:c>
      <x:c r="I1073" s="186" t="n">
        <x:f>G1073-H1073</x:f>
        <x:v>-15570</x:v>
      </x:c>
      <x:c r="J1073" s="186" t="n">
        <x:v>20483</x:v>
      </x:c>
      <x:c r="K1073" s="186" t="n">
        <x:v>43828</x:v>
      </x:c>
      <x:c r="L1073" s="186" t="n">
        <x:f>J1073-K1073</x:f>
        <x:v>-23345</x:v>
      </x:c>
      <x:c r="M1073" s="186" t="n">
        <x:v>13838</x:v>
      </x:c>
      <x:c r="N1073" s="186" t="n">
        <x:v>3440</x:v>
      </x:c>
      <x:c r="O1073" s="186" t="n">
        <x:f>M1073-N1073</x:f>
        <x:v>10398</x:v>
      </x:c>
      <x:c r="P1073" s="186" t="n">
        <x:v>18972</x:v>
      </x:c>
      <x:c r="Q1073" s="186" t="n">
        <x:v>5953</x:v>
      </x:c>
      <x:c r="R1073" s="186" t="n">
        <x:f>P1073-Q1073</x:f>
        <x:v>13019</x:v>
      </x:c>
      <x:c r="S1073" s="186" t="n">
        <x:v>24908</x:v>
      </x:c>
      <x:c r="T1073" s="186" t="n">
        <x:v>9410</x:v>
      </x:c>
      <x:c r="U1073" s="186" t="n">
        <x:f>S1073-T1073</x:f>
        <x:v>15498</x:v>
      </x:c>
      <x:c r="V1073" s="196" t="n">
        <x:f>IFERROR(O1073/F1073,"")</x:f>
        <x:v>0.0903090204797721</x:v>
      </x:c>
      <x:c r="W1073" s="196" t="n">
        <x:f>IFERROR(I1073/F1073,"")</x:f>
        <x:v>-0.1352290295124112</x:v>
      </x:c>
    </x:row>
    <x:row r="1074">
      <x:c r="A1074" s="186" t="str">
        <x:v>Gold</x:v>
      </x:c>
      <x:c r="B1074" s="187" t="n">
        <x:v>46126</x:v>
      </x:c>
      <x:c r="C1074" s="187" t="n">
        <x:v>46129</x:v>
      </x:c>
      <x:c r="D1074" s="186" t="str">
        <x:v>088691-GOLD</x:v>
      </x:c>
      <x:c r="E1074" s="186" t="str">
        <x:v>GOLD - COMMODITY EXCHANGE INC.</x:v>
      </x:c>
      <x:c r="F1074" s="186" t="n">
        <x:v>362274</x:v>
      </x:c>
      <x:c r="G1074" s="186" t="n">
        <x:v>13151</x:v>
      </x:c>
      <x:c r="H1074" s="186" t="n">
        <x:v>31681</x:v>
      </x:c>
      <x:c r="I1074" s="186" t="n">
        <x:f>G1074-H1074</x:f>
        <x:v>-18530</x:v>
      </x:c>
      <x:c r="J1074" s="186" t="n">
        <x:v>28289</x:v>
      </x:c>
      <x:c r="K1074" s="186" t="n">
        <x:v>210841</x:v>
      </x:c>
      <x:c r="L1074" s="186" t="n">
        <x:f>J1074-K1074</x:f>
        <x:v>-182552</x:v>
      </x:c>
      <x:c r="M1074" s="186" t="n">
        <x:v>125422</x:v>
      </x:c>
      <x:c r="N1074" s="186" t="n">
        <x:v>30281</x:v>
      </x:c>
      <x:c r="O1074" s="186" t="n">
        <x:f>M1074-N1074</x:f>
        <x:v>95141</x:v>
      </x:c>
      <x:c r="P1074" s="186" t="n">
        <x:v>84587</x:v>
      </x:c>
      <x:c r="Q1074" s="186" t="n">
        <x:v>17202</x:v>
      </x:c>
      <x:c r="R1074" s="186" t="n">
        <x:f>P1074-Q1074</x:f>
        <x:v>67385</x:v>
      </x:c>
      <x:c r="S1074" s="186" t="n">
        <x:v>51568</x:v>
      </x:c>
      <x:c r="T1074" s="186" t="n">
        <x:v>13012</x:v>
      </x:c>
      <x:c r="U1074" s="186" t="n">
        <x:f>S1074-T1074</x:f>
        <x:v>38556</x:v>
      </x:c>
      <x:c r="V1074" s="196" t="n">
        <x:f>IFERROR(O1074/F1074,"")</x:f>
        <x:v>0.2626216620568962</x:v>
      </x:c>
      <x:c r="W1074" s="196" t="n">
        <x:f>IFERROR(I1074/F1074,"")</x:f>
        <x:v>-0.05114913021635557</x:v>
      </x:c>
    </x:row>
    <x:row r="1075">
      <x:c r="A1075" s="186" t="str">
        <x:v>Silver</x:v>
      </x:c>
      <x:c r="B1075" s="187" t="n">
        <x:v>46126</x:v>
      </x:c>
      <x:c r="C1075" s="187" t="n">
        <x:v>46129</x:v>
      </x:c>
      <x:c r="D1075" s="186" t="str">
        <x:v>084691-SILVER</x:v>
      </x:c>
      <x:c r="E1075" s="186" t="str">
        <x:v>SILVER - COMMODITY EXCHANGE INC.</x:v>
      </x:c>
      <x:c r="F1075" s="186" t="n">
        <x:v>116983</x:v>
      </x:c>
      <x:c r="G1075" s="186" t="n">
        <x:v>2447</x:v>
      </x:c>
      <x:c r="H1075" s="186" t="n">
        <x:v>19203</x:v>
      </x:c>
      <x:c r="I1075" s="186" t="n">
        <x:f>G1075-H1075</x:f>
        <x:v>-16756</x:v>
      </x:c>
      <x:c r="J1075" s="186" t="n">
        <x:v>21712</x:v>
      </x:c>
      <x:c r="K1075" s="186" t="n">
        <x:v>45089</x:v>
      </x:c>
      <x:c r="L1075" s="186" t="n">
        <x:f>J1075-K1075</x:f>
        <x:v>-23377</x:v>
      </x:c>
      <x:c r="M1075" s="186" t="n">
        <x:v>14770</x:v>
      </x:c>
      <x:c r="N1075" s="186" t="n">
        <x:v>3500</x:v>
      </x:c>
      <x:c r="O1075" s="186" t="n">
        <x:f>M1075-N1075</x:f>
        <x:v>11270</x:v>
      </x:c>
      <x:c r="P1075" s="186" t="n">
        <x:v>17621</x:v>
      </x:c>
      <x:c r="Q1075" s="186" t="n">
        <x:v>5329</x:v>
      </x:c>
      <x:c r="R1075" s="186" t="n">
        <x:f>P1075-Q1075</x:f>
        <x:v>12292</x:v>
      </x:c>
      <x:c r="S1075" s="186" t="n">
        <x:v>25765</x:v>
      </x:c>
      <x:c r="T1075" s="186" t="n">
        <x:v>9194</x:v>
      </x:c>
      <x:c r="U1075" s="186" t="n">
        <x:f>S1075-T1075</x:f>
        <x:v>16571</x:v>
      </x:c>
      <x:c r="V1075" s="196" t="n">
        <x:f>IFERROR(O1075/F1075,"")</x:f>
        <x:v>0.0963387842677996</x:v>
      </x:c>
      <x:c r="W1075" s="196" t="n">
        <x:f>IFERROR(I1075/F1075,"")</x:f>
        <x:v>-0.14323448706222272</x:v>
      </x:c>
    </x:row>
    <x:row r="1076">
      <x:c r="A1076" s="186" t="str">
        <x:v>Gold</x:v>
      </x:c>
      <x:c r="B1076" s="187" t="n">
        <x:v>46133</x:v>
      </x:c>
      <x:c r="C1076" s="187" t="n">
        <x:v>46136</x:v>
      </x:c>
      <x:c r="D1076" s="186" t="str">
        <x:v>088691-GOLD</x:v>
      </x:c>
      <x:c r="E1076" s="186" t="str">
        <x:v>GOLD - COMMODITY EXCHANGE INC.</x:v>
      </x:c>
      <x:c r="F1076" s="186" t="n">
        <x:v>365842</x:v>
      </x:c>
      <x:c r="G1076" s="186" t="n">
        <x:v>12633</x:v>
      </x:c>
      <x:c r="H1076" s="186" t="n">
        <x:v>33051</x:v>
      </x:c>
      <x:c r="I1076" s="186" t="n">
        <x:f>G1076-H1076</x:f>
        <x:v>-20418</x:v>
      </x:c>
      <x:c r="J1076" s="186" t="n">
        <x:v>28115</x:v>
      </x:c>
      <x:c r="K1076" s="186" t="n">
        <x:v>210637</x:v>
      </x:c>
      <x:c r="L1076" s="186" t="n">
        <x:f>J1076-K1076</x:f>
        <x:v>-182522</x:v>
      </x:c>
      <x:c r="M1076" s="186" t="n">
        <x:v>123681</x:v>
      </x:c>
      <x:c r="N1076" s="186" t="n">
        <x:v>30705</x:v>
      </x:c>
      <x:c r="O1076" s="186" t="n">
        <x:f>M1076-N1076</x:f>
        <x:v>92976</x:v>
      </x:c>
      <x:c r="P1076" s="186" t="n">
        <x:v>89212</x:v>
      </x:c>
      <x:c r="Q1076" s="186" t="n">
        <x:v>18182</x:v>
      </x:c>
      <x:c r="R1076" s="186" t="n">
        <x:f>P1076-Q1076</x:f>
        <x:v>71030</x:v>
      </x:c>
      <x:c r="S1076" s="186" t="n">
        <x:v>52223</x:v>
      </x:c>
      <x:c r="T1076" s="186" t="n">
        <x:v>13289</x:v>
      </x:c>
      <x:c r="U1076" s="186" t="n">
        <x:f>S1076-T1076</x:f>
        <x:v>38934</x:v>
      </x:c>
      <x:c r="V1076" s="196" t="n">
        <x:f>IFERROR(O1076/F1076,"")</x:f>
        <x:v>0.25414249867429106</x:v>
      </x:c>
      <x:c r="W1076" s="196" t="n">
        <x:f>IFERROR(I1076/F1076,"")</x:f>
        <x:v>-0.055810978509848515</x:v>
      </x:c>
    </x:row>
    <x:row r="1077">
      <x:c r="A1077" s="186" t="str">
        <x:v>Silver</x:v>
      </x:c>
      <x:c r="B1077" s="187" t="n">
        <x:v>46133</x:v>
      </x:c>
      <x:c r="C1077" s="187" t="n">
        <x:v>46136</x:v>
      </x:c>
      <x:c r="D1077" s="186" t="str">
        <x:v>084691-SILVER</x:v>
      </x:c>
      <x:c r="E1077" s="186" t="str">
        <x:v>SILVER - COMMODITY EXCHANGE INC.</x:v>
      </x:c>
      <x:c r="F1077" s="186" t="n">
        <x:v>115462</x:v>
      </x:c>
      <x:c r="G1077" s="186" t="n">
        <x:v>2791</x:v>
      </x:c>
      <x:c r="H1077" s="186" t="n">
        <x:v>19208</x:v>
      </x:c>
      <x:c r="I1077" s="186" t="n">
        <x:f>G1077-H1077</x:f>
        <x:v>-16417</x:v>
      </x:c>
      <x:c r="J1077" s="186" t="n">
        <x:v>21298</x:v>
      </x:c>
      <x:c r="K1077" s="186" t="n">
        <x:v>45866</x:v>
      </x:c>
      <x:c r="L1077" s="186" t="n">
        <x:f>J1077-K1077</x:f>
        <x:v>-24568</x:v>
      </x:c>
      <x:c r="M1077" s="186" t="n">
        <x:v>13354</x:v>
      </x:c>
      <x:c r="N1077" s="186" t="n">
        <x:v>4486</x:v>
      </x:c>
      <x:c r="O1077" s="186" t="n">
        <x:f>M1077-N1077</x:f>
        <x:v>8868</x:v>
      </x:c>
      <x:c r="P1077" s="186" t="n">
        <x:v>19879</x:v>
      </x:c>
      <x:c r="Q1077" s="186" t="n">
        <x:v>5027</x:v>
      </x:c>
      <x:c r="R1077" s="186" t="n">
        <x:f>P1077-Q1077</x:f>
        <x:v>14852</x:v>
      </x:c>
      <x:c r="S1077" s="186" t="n">
        <x:v>26253</x:v>
      </x:c>
      <x:c r="T1077" s="186" t="n">
        <x:v>8988</x:v>
      </x:c>
      <x:c r="U1077" s="186" t="n">
        <x:f>S1077-T1077</x:f>
        <x:v>17265</x:v>
      </x:c>
      <x:c r="V1077" s="196" t="n">
        <x:f>IFERROR(O1077/F1077,"")</x:f>
        <x:v>0.07680448978884828</x:v>
      </x:c>
      <x:c r="W1077" s="196" t="n">
        <x:f>IFERROR(I1077/F1077,"")</x:f>
        <x:v>-0.14218530772028892</x:v>
      </x:c>
    </x:row>
    <x:row r="1078">
      <x:c r="A1078" s="186" t="str">
        <x:v>Gold</x:v>
      </x:c>
      <x:c r="B1078" s="187" t="n">
        <x:v>46140</x:v>
      </x:c>
      <x:c r="C1078" s="187" t="n">
        <x:v>46143</x:v>
      </x:c>
      <x:c r="D1078" s="186" t="str">
        <x:v>088691-GOLD</x:v>
      </x:c>
      <x:c r="E1078" s="186" t="str">
        <x:v>GOLD - COMMODITY EXCHANGE INC.</x:v>
      </x:c>
      <x:c r="F1078" s="186" t="n">
        <x:v>369530</x:v>
      </x:c>
      <x:c r="G1078" s="186" t="n">
        <x:v>12985</x:v>
      </x:c>
      <x:c r="H1078" s="186" t="n">
        <x:v>33177</x:v>
      </x:c>
      <x:c r="I1078" s="186" t="n">
        <x:f>G1078-H1078</x:f>
        <x:v>-20192</x:v>
      </x:c>
      <x:c r="J1078" s="186" t="n">
        <x:v>28032</x:v>
      </x:c>
      <x:c r="K1078" s="186" t="n">
        <x:v>202653</x:v>
      </x:c>
      <x:c r="L1078" s="186" t="n">
        <x:f>J1078-K1078</x:f>
        <x:v>-174621</x:v>
      </x:c>
      <x:c r="M1078" s="186" t="n">
        <x:v>122257</x:v>
      </x:c>
      <x:c r="N1078" s="186" t="n">
        <x:v>32505</x:v>
      </x:c>
      <x:c r="O1078" s="186" t="n">
        <x:f>M1078-N1078</x:f>
        <x:v>89752</x:v>
      </x:c>
      <x:c r="P1078" s="186" t="n">
        <x:v>89561</x:v>
      </x:c>
      <x:c r="Q1078" s="186" t="n">
        <x:v>19742</x:v>
      </x:c>
      <x:c r="R1078" s="186" t="n">
        <x:f>P1078-Q1078</x:f>
        <x:v>69819</x:v>
      </x:c>
      <x:c r="S1078" s="186" t="n">
        <x:v>49280</x:v>
      </x:c>
      <x:c r="T1078" s="186" t="n">
        <x:v>14038</x:v>
      </x:c>
      <x:c r="U1078" s="186" t="n">
        <x:f>S1078-T1078</x:f>
        <x:v>35242</x:v>
      </x:c>
      <x:c r="V1078" s="196" t="n">
        <x:f>IFERROR(O1078/F1078,"")</x:f>
        <x:v>0.24288149811923254</x:v>
      </x:c>
      <x:c r="W1078" s="196" t="n">
        <x:f>IFERROR(I1078/F1078,"")</x:f>
        <x:v>-0.05464238356831651</x:v>
      </x:c>
    </x:row>
    <x:row r="1079">
      <x:c r="A1079" s="186" t="str">
        <x:v>Silver</x:v>
      </x:c>
      <x:c r="B1079" s="187" t="n">
        <x:v>46140</x:v>
      </x:c>
      <x:c r="C1079" s="187" t="n">
        <x:v>46143</x:v>
      </x:c>
      <x:c r="D1079" s="186" t="str">
        <x:v>084691-SILVER</x:v>
      </x:c>
      <x:c r="E1079" s="186" t="str">
        <x:v>SILVER - COMMODITY EXCHANGE INC.</x:v>
      </x:c>
      <x:c r="F1079" s="186" t="n">
        <x:v>101275</x:v>
      </x:c>
      <x:c r="G1079" s="186" t="n">
        <x:v>1497</x:v>
      </x:c>
      <x:c r="H1079" s="186" t="n">
        <x:v>19607</x:v>
      </x:c>
      <x:c r="I1079" s="186" t="n">
        <x:f>G1079-H1079</x:f>
        <x:v>-18110</x:v>
      </x:c>
      <x:c r="J1079" s="186" t="n">
        <x:v>21407</x:v>
      </x:c>
      <x:c r="K1079" s="186" t="n">
        <x:v>43749</x:v>
      </x:c>
      <x:c r="L1079" s="186" t="n">
        <x:f>J1079-K1079</x:f>
        <x:v>-22342</x:v>
      </x:c>
      <x:c r="M1079" s="186" t="n">
        <x:v>14576</x:v>
      </x:c>
      <x:c r="N1079" s="186" t="n">
        <x:v>3970</x:v>
      </x:c>
      <x:c r="O1079" s="186" t="n">
        <x:f>M1079-N1079</x:f>
        <x:v>10606</x:v>
      </x:c>
      <x:c r="P1079" s="186" t="n">
        <x:v>16738</x:v>
      </x:c>
      <x:c r="Q1079" s="186" t="n">
        <x:v>3184</x:v>
      </x:c>
      <x:c r="R1079" s="186" t="n">
        <x:f>P1079-Q1079</x:f>
        <x:v>13554</x:v>
      </x:c>
      <x:c r="S1079" s="186" t="n">
        <x:v>25462</x:v>
      </x:c>
      <x:c r="T1079" s="186" t="n">
        <x:v>9170</x:v>
      </x:c>
      <x:c r="U1079" s="186" t="n">
        <x:f>S1079-T1079</x:f>
        <x:v>16292</x:v>
      </x:c>
      <x:c r="V1079" s="196" t="n">
        <x:f>IFERROR(O1079/F1079,"")</x:f>
        <x:v>0.10472475931868674</x:v>
      </x:c>
      <x:c r="W1079" s="196" t="n">
        <x:f>IFERROR(I1079/F1079,"")</x:f>
        <x:v>-0.1788200444334732</x:v>
      </x:c>
    </x:row>
    <x:row r="1080">
      <x:c r="A1080" s="186" t="str">
        <x:v>Gold</x:v>
      </x:c>
      <x:c r="B1080" s="187" t="n">
        <x:v>46147</x:v>
      </x:c>
      <x:c r="C1080" s="187" t="n">
        <x:v>46150</x:v>
      </x:c>
      <x:c r="D1080" s="186" t="str">
        <x:v>088691-GOLD</x:v>
      </x:c>
      <x:c r="E1080" s="186" t="str">
        <x:v>GOLD - COMMODITY EXCHANGE INC.</x:v>
      </x:c>
      <x:c r="F1080" s="186" t="n">
        <x:v>367932</x:v>
      </x:c>
      <x:c r="G1080" s="186" t="n">
        <x:v>12898</x:v>
      </x:c>
      <x:c r="H1080" s="186" t="n">
        <x:v>32010</x:v>
      </x:c>
      <x:c r="I1080" s="186" t="n">
        <x:f>G1080-H1080</x:f>
        <x:v>-19112</x:v>
      </x:c>
      <x:c r="J1080" s="186" t="n">
        <x:v>27319</x:v>
      </x:c>
      <x:c r="K1080" s="186" t="n">
        <x:v>207142</x:v>
      </x:c>
      <x:c r="L1080" s="186" t="n">
        <x:f>J1080-K1080</x:f>
        <x:v>-179823</x:v>
      </x:c>
      <x:c r="M1080" s="186" t="n">
        <x:v>123353</x:v>
      </x:c>
      <x:c r="N1080" s="186" t="n">
        <x:v>29099</x:v>
      </x:c>
      <x:c r="O1080" s="186" t="n">
        <x:f>M1080-N1080</x:f>
        <x:v>94254</x:v>
      </x:c>
      <x:c r="P1080" s="186" t="n">
        <x:v>88461</x:v>
      </x:c>
      <x:c r="Q1080" s="186" t="n">
        <x:v>19412</x:v>
      </x:c>
      <x:c r="R1080" s="186" t="n">
        <x:f>P1080-Q1080</x:f>
        <x:v>69049</x:v>
      </x:c>
      <x:c r="S1080" s="186" t="n">
        <x:v>49252</x:v>
      </x:c>
      <x:c r="T1080" s="186" t="n">
        <x:v>13620</x:v>
      </x:c>
      <x:c r="U1080" s="186" t="n">
        <x:f>S1080-T1080</x:f>
        <x:v>35632</x:v>
      </x:c>
      <x:c r="V1080" s="196" t="n">
        <x:f>IFERROR(O1080/F1080,"")</x:f>
        <x:v>0.2561723361925573</x:v>
      </x:c>
      <x:c r="W1080" s="196" t="n">
        <x:f>IFERROR(I1080/F1080,"")</x:f>
        <x:v>-0.05194438102692889</x:v>
      </x:c>
    </x:row>
    <x:row r="1081">
      <x:c r="A1081" s="186" t="str">
        <x:v>Silver</x:v>
      </x:c>
      <x:c r="B1081" s="187" t="n">
        <x:v>46147</x:v>
      </x:c>
      <x:c r="C1081" s="187" t="n">
        <x:v>46150</x:v>
      </x:c>
      <x:c r="D1081" s="186" t="str">
        <x:v>084691-SILVER</x:v>
      </x:c>
      <x:c r="E1081" s="186" t="str">
        <x:v>SILVER - COMMODITY EXCHANGE INC.</x:v>
      </x:c>
      <x:c r="F1081" s="186" t="n">
        <x:v>96932</x:v>
      </x:c>
      <x:c r="G1081" s="186" t="n">
        <x:v>1578</x:v>
      </x:c>
      <x:c r="H1081" s="186" t="n">
        <x:v>19191</x:v>
      </x:c>
      <x:c r="I1081" s="186" t="n">
        <x:f>G1081-H1081</x:f>
        <x:v>-17613</x:v>
      </x:c>
      <x:c r="J1081" s="186" t="n">
        <x:v>19942</x:v>
      </x:c>
      <x:c r="K1081" s="186" t="n">
        <x:v>42864</x:v>
      </x:c>
      <x:c r="L1081" s="186" t="n">
        <x:f>J1081-K1081</x:f>
        <x:v>-22922</x:v>
      </x:c>
      <x:c r="M1081" s="186" t="n">
        <x:v>15697</x:v>
      </x:c>
      <x:c r="N1081" s="186" t="n">
        <x:v>4854</x:v>
      </x:c>
      <x:c r="O1081" s="186" t="n">
        <x:f>M1081-N1081</x:f>
        <x:v>10843</x:v>
      </x:c>
      <x:c r="P1081" s="186" t="n">
        <x:v>17268</x:v>
      </x:c>
      <x:c r="Q1081" s="186" t="n">
        <x:v>4219</x:v>
      </x:c>
      <x:c r="R1081" s="186" t="n">
        <x:f>P1081-Q1081</x:f>
        <x:v>13049</x:v>
      </x:c>
      <x:c r="S1081" s="186" t="n">
        <x:v>25811</x:v>
      </x:c>
      <x:c r="T1081" s="186" t="n">
        <x:v>9168</x:v>
      </x:c>
      <x:c r="U1081" s="186" t="n">
        <x:f>S1081-T1081</x:f>
        <x:v>16643</x:v>
      </x:c>
      <x:c r="V1081" s="196" t="n">
        <x:f>IFERROR(O1081/F1081,"")</x:f>
        <x:v>0.11186192382288615</x:v>
      </x:c>
      <x:c r="W1081" s="196" t="n">
        <x:f>IFERROR(I1081/F1081,"")</x:f>
        <x:v>-0.1817047002022036</x:v>
      </x:c>
    </x:row>
    <x:row r="1082">
      <x:c r="A1082" s="186" t="str">
        <x:v>Gold</x:v>
      </x:c>
      <x:c r="B1082" s="187" t="n">
        <x:v>46154</x:v>
      </x:c>
      <x:c r="C1082" s="187" t="n">
        <x:v>46157</x:v>
      </x:c>
      <x:c r="D1082" s="186" t="str">
        <x:v>088691-GOLD</x:v>
      </x:c>
      <x:c r="E1082" s="186" t="str">
        <x:v>GOLD - COMMODITY EXCHANGE INC.</x:v>
      </x:c>
      <x:c r="F1082" s="186" t="n">
        <x:v>376496</x:v>
      </x:c>
      <x:c r="G1082" s="186" t="n">
        <x:v>11437</x:v>
      </x:c>
      <x:c r="H1082" s="186" t="n">
        <x:v>31639</x:v>
      </x:c>
      <x:c r="I1082" s="186" t="n">
        <x:f>G1082-H1082</x:f>
        <x:v>-20202</x:v>
      </x:c>
      <x:c r="J1082" s="186" t="n">
        <x:v>25671</x:v>
      </x:c>
      <x:c r="K1082" s="186" t="n">
        <x:v>215727</x:v>
      </x:c>
      <x:c r="L1082" s="186" t="n">
        <x:f>J1082-K1082</x:f>
        <x:v>-190056</x:v>
      </x:c>
      <x:c r="M1082" s="186" t="n">
        <x:v>127242</x:v>
      </x:c>
      <x:c r="N1082" s="186" t="n">
        <x:v>29227</x:v>
      </x:c>
      <x:c r="O1082" s="186" t="n">
        <x:f>M1082-N1082</x:f>
        <x:v>98015</x:v>
      </x:c>
      <x:c r="P1082" s="186" t="n">
        <x:v>92551</x:v>
      </x:c>
      <x:c r="Q1082" s="186" t="n">
        <x:v>18944</x:v>
      </x:c>
      <x:c r="R1082" s="186" t="n">
        <x:f>P1082-Q1082</x:f>
        <x:v>73607</x:v>
      </x:c>
      <x:c r="S1082" s="186" t="n">
        <x:v>49951</x:v>
      </x:c>
      <x:c r="T1082" s="186" t="n">
        <x:v>11315</x:v>
      </x:c>
      <x:c r="U1082" s="186" t="n">
        <x:f>S1082-T1082</x:f>
        <x:v>38636</x:v>
      </x:c>
      <x:c r="V1082" s="196" t="n">
        <x:f>IFERROR(O1082/F1082,"")</x:f>
        <x:v>0.2603347711529472</x:v>
      </x:c>
      <x:c r="W1082" s="196" t="n">
        <x:f>IFERROR(I1082/F1082,"")</x:f>
        <x:v>-0.053657940589010245</x:v>
      </x:c>
    </x:row>
    <x:row r="1083">
      <x:c r="A1083" s="186" t="str">
        <x:v>Silver</x:v>
      </x:c>
      <x:c r="B1083" s="187" t="n">
        <x:v>46154</x:v>
      </x:c>
      <x:c r="C1083" s="187" t="n">
        <x:v>46157</x:v>
      </x:c>
      <x:c r="D1083" s="186" t="str">
        <x:v>084691-SILVER</x:v>
      </x:c>
      <x:c r="E1083" s="186" t="str">
        <x:v>SILVER - COMMODITY EXCHANGE INC.</x:v>
      </x:c>
      <x:c r="F1083" s="186" t="n">
        <x:v>103800</x:v>
      </x:c>
      <x:c r="G1083" s="186" t="n">
        <x:v>1437</x:v>
      </x:c>
      <x:c r="H1083" s="186" t="n">
        <x:v>21069</x:v>
      </x:c>
      <x:c r="I1083" s="186" t="n">
        <x:f>G1083-H1083</x:f>
        <x:v>-19632</x:v>
      </x:c>
      <x:c r="J1083" s="186" t="n">
        <x:v>20697</x:v>
      </x:c>
      <x:c r="K1083" s="186" t="n">
        <x:v>44711</x:v>
      </x:c>
      <x:c r="L1083" s="186" t="n">
        <x:f>J1083-K1083</x:f>
        <x:v>-24014</x:v>
      </x:c>
      <x:c r="M1083" s="186" t="n">
        <x:v>21191</x:v>
      </x:c>
      <x:c r="N1083" s="186" t="n">
        <x:v>5430</x:v>
      </x:c>
      <x:c r="O1083" s="186" t="n">
        <x:f>M1083-N1083</x:f>
        <x:v>15761</x:v>
      </x:c>
      <x:c r="P1083" s="186" t="n">
        <x:v>15378</x:v>
      </x:c>
      <x:c r="Q1083" s="186" t="n">
        <x:v>5028</x:v>
      </x:c>
      <x:c r="R1083" s="186" t="n">
        <x:f>P1083-Q1083</x:f>
        <x:v>10350</x:v>
      </x:c>
      <x:c r="S1083" s="186" t="n">
        <x:v>27802</x:v>
      </x:c>
      <x:c r="T1083" s="186" t="n">
        <x:v>10267</x:v>
      </x:c>
      <x:c r="U1083" s="186" t="n">
        <x:f>S1083-T1083</x:f>
        <x:v>17535</x:v>
      </x:c>
      <x:c r="V1083" s="196" t="n">
        <x:f>IFERROR(O1083/F1083,"")</x:f>
        <x:v>0.15184007707129094</x:v>
      </x:c>
      <x:c r="W1083" s="196" t="n">
        <x:f>IFERROR(I1083/F1083,"")</x:f>
        <x:v>-0.1891329479768786</x:v>
      </x:c>
    </x:row>
    <x:row r="1084">
      <x:c r="A1084" s="186" t="str">
        <x:v>Gold</x:v>
      </x:c>
      <x:c r="B1084" s="187" t="n">
        <x:v>46161</x:v>
      </x:c>
      <x:c r="C1084" s="187" t="n">
        <x:v>46164</x:v>
      </x:c>
      <x:c r="D1084" s="186" t="str">
        <x:v>088691-GOLD</x:v>
      </x:c>
      <x:c r="E1084" s="186" t="str">
        <x:v>GOLD - COMMODITY EXCHANGE INC.</x:v>
      </x:c>
      <x:c r="F1084" s="186" t="n">
        <x:v>379325</x:v>
      </x:c>
      <x:c r="G1084" s="186" t="n">
        <x:v>14800</x:v>
      </x:c>
      <x:c r="H1084" s="186" t="n">
        <x:v>32714</x:v>
      </x:c>
      <x:c r="I1084" s="186" t="n">
        <x:f>G1084-H1084</x:f>
        <x:v>-17914</x:v>
      </x:c>
      <x:c r="J1084" s="186" t="n">
        <x:v>28950</x:v>
      </x:c>
      <x:c r="K1084" s="186" t="n">
        <x:v>202665</x:v>
      </x:c>
      <x:c r="L1084" s="186" t="n">
        <x:f>J1084-K1084</x:f>
        <x:v>-173715</x:v>
      </x:c>
      <x:c r="M1084" s="186" t="n">
        <x:v>122894</x:v>
      </x:c>
      <x:c r="N1084" s="186" t="n">
        <x:v>29354</x:v>
      </x:c>
      <x:c r="O1084" s="186" t="n">
        <x:f>M1084-N1084</x:f>
        <x:v>93540</x:v>
      </x:c>
      <x:c r="P1084" s="186" t="n">
        <x:v>88124</x:v>
      </x:c>
      <x:c r="Q1084" s="186" t="n">
        <x:v>21831</x:v>
      </x:c>
      <x:c r="R1084" s="186" t="n">
        <x:f>P1084-Q1084</x:f>
        <x:v>66293</x:v>
      </x:c>
      <x:c r="S1084" s="186" t="n">
        <x:v>47082</x:v>
      </x:c>
      <x:c r="T1084" s="186" t="n">
        <x:v>15286</x:v>
      </x:c>
      <x:c r="U1084" s="186" t="n">
        <x:f>S1084-T1084</x:f>
        <x:v>31796</x:v>
      </x:c>
      <x:c r="V1084" s="196" t="n">
        <x:f>IFERROR(O1084/F1084,"")</x:f>
        <x:v>0.24659592697554866</x:v>
      </x:c>
      <x:c r="W1084" s="196" t="n">
        <x:f>IFERROR(I1084/F1084,"")</x:f>
        <x:v>-0.04722599354115864</x:v>
      </x:c>
    </x:row>
    <x:row r="1085">
      <x:c r="A1085" s="186" t="str">
        <x:v>Silver</x:v>
      </x:c>
      <x:c r="B1085" s="187" t="n">
        <x:v>46161</x:v>
      </x:c>
      <x:c r="C1085" s="187" t="n">
        <x:v>46164</x:v>
      </x:c>
      <x:c r="D1085" s="186" t="str">
        <x:v>084691-SILVER</x:v>
      </x:c>
      <x:c r="E1085" s="186" t="str">
        <x:v>SILVER - COMMODITY EXCHANGE INC.</x:v>
      </x:c>
      <x:c r="F1085" s="186" t="n">
        <x:v>100751</x:v>
      </x:c>
      <x:c r="G1085" s="186" t="n">
        <x:v>1902</x:v>
      </x:c>
      <x:c r="H1085" s="186" t="n">
        <x:v>21195</x:v>
      </x:c>
      <x:c r="I1085" s="186" t="n">
        <x:f>G1085-H1085</x:f>
        <x:v>-19293</x:v>
      </x:c>
      <x:c r="J1085" s="186" t="n">
        <x:v>19655</x:v>
      </x:c>
      <x:c r="K1085" s="186" t="n">
        <x:v>43030</x:v>
      </x:c>
      <x:c r="L1085" s="186" t="n">
        <x:f>J1085-K1085</x:f>
        <x:v>-23375</x:v>
      </x:c>
      <x:c r="M1085" s="186" t="n">
        <x:v>17944</x:v>
      </x:c>
      <x:c r="N1085" s="186" t="n">
        <x:v>6380</x:v>
      </x:c>
      <x:c r="O1085" s="186" t="n">
        <x:f>M1085-N1085</x:f>
        <x:v>11564</x:v>
      </x:c>
      <x:c r="P1085" s="186" t="n">
        <x:v>16647</x:v>
      </x:c>
      <x:c r="Q1085" s="186" t="n">
        <x:v>3540</x:v>
      </x:c>
      <x:c r="R1085" s="186" t="n">
        <x:f>P1085-Q1085</x:f>
        <x:v>13107</x:v>
      </x:c>
      <x:c r="S1085" s="186" t="n">
        <x:v>26423</x:v>
      </x:c>
      <x:c r="T1085" s="186" t="n">
        <x:v>8426</x:v>
      </x:c>
      <x:c r="U1085" s="186" t="n">
        <x:f>S1085-T1085</x:f>
        <x:v>17997</x:v>
      </x:c>
      <x:c r="V1085" s="196" t="n">
        <x:f>IFERROR(O1085/F1085,"")</x:f>
        <x:v>0.11477801709164177</x:v>
      </x:c>
      <x:c r="W1085" s="196" t="n">
        <x:f>IFERROR(I1085/F1085,"")</x:f>
        <x:v>-0.19149189586207582</x:v>
      </x:c>
    </x:row>
    <x:row r="1086">
      <x:c r="A1086" s="186" t="str">
        <x:v>Gold</x:v>
      </x:c>
      <x:c r="B1086" s="187" t="n">
        <x:v>46168</x:v>
      </x:c>
      <x:c r="C1086" s="187" t="n">
        <x:v>46171</x:v>
      </x:c>
      <x:c r="D1086" s="186" t="str">
        <x:v>088691-GOLD</x:v>
      </x:c>
      <x:c r="E1086" s="186" t="str">
        <x:v>GOLD - COMMODITY EXCHANGE INC.</x:v>
      </x:c>
      <x:c r="F1086" s="186" t="n">
        <x:v>353489</x:v>
      </x:c>
      <x:c r="G1086" s="186" t="n">
        <x:v>12586</x:v>
      </x:c>
      <x:c r="H1086" s="186" t="n">
        <x:v>32096</x:v>
      </x:c>
      <x:c r="I1086" s="186" t="n">
        <x:f>G1086-H1086</x:f>
        <x:v>-19510</x:v>
      </x:c>
      <x:c r="J1086" s="186" t="n">
        <x:v>29033</x:v>
      </x:c>
      <x:c r="K1086" s="186" t="n">
        <x:v>195289</x:v>
      </x:c>
      <x:c r="L1086" s="186" t="n">
        <x:f>J1086-K1086</x:f>
        <x:v>-166256</x:v>
      </x:c>
      <x:c r="M1086" s="186" t="n">
        <x:v>124277</x:v>
      </x:c>
      <x:c r="N1086" s="186" t="n">
        <x:v>26831</x:v>
      </x:c>
      <x:c r="O1086" s="186" t="n">
        <x:f>M1086-N1086</x:f>
        <x:v>97446</x:v>
      </x:c>
      <x:c r="P1086" s="186" t="n">
        <x:v>76427</x:v>
      </x:c>
      <x:c r="Q1086" s="186" t="n">
        <x:v>19613</x:v>
      </x:c>
      <x:c r="R1086" s="186" t="n">
        <x:f>P1086-Q1086</x:f>
        <x:v>56814</x:v>
      </x:c>
      <x:c r="S1086" s="186" t="n">
        <x:v>47149</x:v>
      </x:c>
      <x:c r="T1086" s="186" t="n">
        <x:v>15643</x:v>
      </x:c>
      <x:c r="U1086" s="186" t="n">
        <x:f>S1086-T1086</x:f>
        <x:v>31506</x:v>
      </x:c>
      <x:c r="V1086" s="196" t="n">
        <x:f>IFERROR(O1086/F1086,"")</x:f>
        <x:v>0.2756691155877552</x:v>
      </x:c>
      <x:c r="W1086" s="196" t="n">
        <x:f>IFERROR(I1086/F1086,"")</x:f>
        <x:v>-0.055192665118292225</x:v>
      </x:c>
    </x:row>
    <x:row r="1087">
      <x:c r="A1087" s="186" t="str">
        <x:v>Silver</x:v>
      </x:c>
      <x:c r="B1087" s="187" t="n">
        <x:v>46168</x:v>
      </x:c>
      <x:c r="C1087" s="187" t="n">
        <x:v>46171</x:v>
      </x:c>
      <x:c r="D1087" s="186" t="str">
        <x:v>084691-SILVER</x:v>
      </x:c>
      <x:c r="E1087" s="186" t="str">
        <x:v>SILVER - COMMODITY EXCHANGE INC.</x:v>
      </x:c>
      <x:c r="F1087" s="186" t="n">
        <x:v>101744</x:v>
      </x:c>
      <x:c r="G1087" s="186" t="n">
        <x:v>1412</x:v>
      </x:c>
      <x:c r="H1087" s="186" t="n">
        <x:v>20957</x:v>
      </x:c>
      <x:c r="I1087" s="186" t="n">
        <x:f>G1087-H1087</x:f>
        <x:v>-19545</x:v>
      </x:c>
      <x:c r="J1087" s="186" t="n">
        <x:v>20559</x:v>
      </x:c>
      <x:c r="K1087" s="186" t="n">
        <x:v>41907</x:v>
      </x:c>
      <x:c r="L1087" s="186" t="n">
        <x:f>J1087-K1087</x:f>
        <x:v>-21348</x:v>
      </x:c>
      <x:c r="M1087" s="186" t="n">
        <x:v>16670</x:v>
      </x:c>
      <x:c r="N1087" s="186" t="n">
        <x:v>6615</x:v>
      </x:c>
      <x:c r="O1087" s="186" t="n">
        <x:f>M1087-N1087</x:f>
        <x:v>10055</x:v>
      </x:c>
      <x:c r="P1087" s="186" t="n">
        <x:v>16088</x:v>
      </x:c>
      <x:c r="Q1087" s="186" t="n">
        <x:v>3920</x:v>
      </x:c>
      <x:c r="R1087" s="186" t="n">
        <x:f>P1087-Q1087</x:f>
        <x:v>12168</x:v>
      </x:c>
      <x:c r="S1087" s="186" t="n">
        <x:v>27301</x:v>
      </x:c>
      <x:c r="T1087" s="186" t="n">
        <x:v>8631</x:v>
      </x:c>
      <x:c r="U1087" s="186" t="n">
        <x:f>S1087-T1087</x:f>
        <x:v>18670</x:v>
      </x:c>
      <x:c r="V1087" s="196" t="n">
        <x:f>IFERROR(O1087/F1087,"")</x:f>
        <x:v>0.0988264664255386</x:v>
      </x:c>
      <x:c r="W1087" s="196" t="n">
        <x:f>IFERROR(I1087/F1087,"")</x:f>
        <x:v>-0.19209977983959742</x:v>
      </x:c>
    </x:row>
    <x:row r="1088">
      <x:c r="A1088" s="186" t="str">
        <x:v>Gold</x:v>
      </x:c>
      <x:c r="B1088" s="187" t="n">
        <x:v>46175</x:v>
      </x:c>
      <x:c r="C1088" s="187" t="n">
        <x:v>46178</x:v>
      </x:c>
      <x:c r="D1088" s="186" t="str">
        <x:v>088691-GOLD</x:v>
      </x:c>
      <x:c r="E1088" s="186" t="str">
        <x:v>GOLD - COMMODITY EXCHANGE INC.</x:v>
      </x:c>
      <x:c r="F1088" s="186" t="n">
        <x:v>326052</x:v>
      </x:c>
      <x:c r="G1088" s="186" t="n">
        <x:v>10275</x:v>
      </x:c>
      <x:c r="H1088" s="186" t="n">
        <x:v>30429</x:v>
      </x:c>
      <x:c r="I1088" s="186" t="n">
        <x:f>G1088-H1088</x:f>
        <x:v>-20154</x:v>
      </x:c>
      <x:c r="J1088" s="186" t="n">
        <x:v>27505</x:v>
      </x:c>
      <x:c r="K1088" s="186" t="n">
        <x:v>213696</x:v>
      </x:c>
      <x:c r="L1088" s="186" t="n">
        <x:f>J1088-K1088</x:f>
        <x:v>-186191</x:v>
      </x:c>
      <x:c r="M1088" s="186" t="n">
        <x:v>129367</x:v>
      </x:c>
      <x:c r="N1088" s="186" t="n">
        <x:v>17188</x:v>
      </x:c>
      <x:c r="O1088" s="186" t="n">
        <x:f>M1088-N1088</x:f>
        <x:v>112179</x:v>
      </x:c>
      <x:c r="P1088" s="186" t="n">
        <x:v>76729</x:v>
      </x:c>
      <x:c r="Q1088" s="186" t="n">
        <x:v>12888</x:v>
      </x:c>
      <x:c r="R1088" s="186" t="n">
        <x:f>P1088-Q1088</x:f>
        <x:v>63841</x:v>
      </x:c>
      <x:c r="S1088" s="186" t="n">
        <x:v>43656</x:v>
      </x:c>
      <x:c r="T1088" s="186" t="n">
        <x:v>13331</x:v>
      </x:c>
      <x:c r="U1088" s="186" t="n">
        <x:f>S1088-T1088</x:f>
        <x:v>30325</x:v>
      </x:c>
      <x:c r="V1088" s="196" t="n">
        <x:f>IFERROR(O1088/F1088,"")</x:f>
        <x:v>0.3440524824261161</x:v>
      </x:c>
      <x:c r="W1088" s="196" t="n">
        <x:f>IFERROR(I1088/F1088,"")</x:f>
        <x:v>-0.06181222627065622</x:v>
      </x:c>
    </x:row>
    <x:row r="1089">
      <x:c r="A1089" s="186" t="str">
        <x:v>Silver</x:v>
      </x:c>
      <x:c r="B1089" s="187" t="n">
        <x:v>46175</x:v>
      </x:c>
      <x:c r="C1089" s="187" t="n">
        <x:v>46178</x:v>
      </x:c>
      <x:c r="D1089" s="186" t="str">
        <x:v>084691-SILVER</x:v>
      </x:c>
      <x:c r="E1089" s="186" t="str">
        <x:v>SILVER - COMMODITY EXCHANGE INC.</x:v>
      </x:c>
      <x:c r="F1089" s="186" t="n">
        <x:v>102809</x:v>
      </x:c>
      <x:c r="G1089" s="186" t="n">
        <x:v>2140</x:v>
      </x:c>
      <x:c r="H1089" s="186" t="n">
        <x:v>20133</x:v>
      </x:c>
      <x:c r="I1089" s="186" t="n">
        <x:f>G1089-H1089</x:f>
        <x:v>-17993</x:v>
      </x:c>
      <x:c r="J1089" s="186" t="n">
        <x:v>20940</x:v>
      </x:c>
      <x:c r="K1089" s="186" t="n">
        <x:v>45608</x:v>
      </x:c>
      <x:c r="L1089" s="186" t="n">
        <x:f>J1089-K1089</x:f>
        <x:v>-24668</x:v>
      </x:c>
      <x:c r="M1089" s="186" t="n">
        <x:v>17047</x:v>
      </x:c>
      <x:c r="N1089" s="186" t="n">
        <x:v>6603</x:v>
      </x:c>
      <x:c r="O1089" s="186" t="n">
        <x:f>M1089-N1089</x:f>
        <x:v>10444</x:v>
      </x:c>
      <x:c r="P1089" s="186" t="n">
        <x:v>16886</x:v>
      </x:c>
      <x:c r="Q1089" s="186" t="n">
        <x:v>3404</x:v>
      </x:c>
      <x:c r="R1089" s="186" t="n">
        <x:f>P1089-Q1089</x:f>
        <x:v>13482</x:v>
      </x:c>
      <x:c r="S1089" s="186" t="n">
        <x:v>28097</x:v>
      </x:c>
      <x:c r="T1089" s="186" t="n">
        <x:v>9362</x:v>
      </x:c>
      <x:c r="U1089" s="186" t="n">
        <x:f>S1089-T1089</x:f>
        <x:v>18735</x:v>
      </x:c>
      <x:c r="V1089" s="196" t="n">
        <x:f>IFERROR(O1089/F1089,"")</x:f>
        <x:v>0.10158643698508886</x:v>
      </x:c>
      <x:c r="W1089" s="196" t="n">
        <x:f>IFERROR(I1089/F1089,"")</x:f>
        <x:v>-0.1750138606542229</x:v>
      </x:c>
    </x:row>
    <x:row r="1090">
      <x:c r="A1090" s="186" t="str">
        <x:v>Gold</x:v>
      </x:c>
      <x:c r="B1090" s="187" t="n">
        <x:v>46182</x:v>
      </x:c>
      <x:c r="C1090" s="187" t="n">
        <x:v>46185</x:v>
      </x:c>
      <x:c r="D1090" s="186" t="str">
        <x:v>088691-GOLD</x:v>
      </x:c>
      <x:c r="E1090" s="186" t="str">
        <x:v>GOLD - COMMODITY EXCHANGE INC.</x:v>
      </x:c>
      <x:c r="F1090" s="186" t="n">
        <x:v>332709</x:v>
      </x:c>
      <x:c r="G1090" s="186" t="n">
        <x:v>10833</x:v>
      </x:c>
      <x:c r="H1090" s="186" t="n">
        <x:v>30133</x:v>
      </x:c>
      <x:c r="I1090" s="186" t="n">
        <x:f>G1090-H1090</x:f>
        <x:v>-19300</x:v>
      </x:c>
      <x:c r="J1090" s="186" t="n">
        <x:v>28443</x:v>
      </x:c>
      <x:c r="K1090" s="186" t="n">
        <x:v>210179</x:v>
      </x:c>
      <x:c r="L1090" s="186" t="n">
        <x:f>J1090-K1090</x:f>
        <x:v>-181736</x:v>
      </x:c>
      <x:c r="M1090" s="186" t="n">
        <x:v>126280</x:v>
      </x:c>
      <x:c r="N1090" s="186" t="n">
        <x:v>20417</x:v>
      </x:c>
      <x:c r="O1090" s="186" t="n">
        <x:f>M1090-N1090</x:f>
        <x:v>105863</x:v>
      </x:c>
      <x:c r="P1090" s="186" t="n">
        <x:v>81704</x:v>
      </x:c>
      <x:c r="Q1090" s="186" t="n">
        <x:v>13730</x:v>
      </x:c>
      <x:c r="R1090" s="186" t="n">
        <x:f>P1090-Q1090</x:f>
        <x:v>67974</x:v>
      </x:c>
      <x:c r="S1090" s="186" t="n">
        <x:v>42891</x:v>
      </x:c>
      <x:c r="T1090" s="186" t="n">
        <x:v>15692</x:v>
      </x:c>
      <x:c r="U1090" s="186" t="n">
        <x:f>S1090-T1090</x:f>
        <x:v>27199</x:v>
      </x:c>
      <x:c r="V1090" s="196" t="n">
        <x:f>IFERROR(O1090/F1090,"")</x:f>
        <x:v>0.31818496043088706</x:v>
      </x:c>
      <x:c r="W1090" s="196" t="n">
        <x:f>IFERROR(I1090/F1090,"")</x:f>
        <x:v>-0.05800865020182802</x:v>
      </x:c>
    </x:row>
    <x:row r="1091">
      <x:c r="A1091" s="186" t="str">
        <x:v>Silver</x:v>
      </x:c>
      <x:c r="B1091" s="187" t="n">
        <x:v>46182</x:v>
      </x:c>
      <x:c r="C1091" s="187" t="n">
        <x:v>46185</x:v>
      </x:c>
      <x:c r="D1091" s="186" t="str">
        <x:v>084691-SILVER</x:v>
      </x:c>
      <x:c r="E1091" s="186" t="str">
        <x:v>SILVER - COMMODITY EXCHANGE INC.</x:v>
      </x:c>
      <x:c r="F1091" s="186" t="n">
        <x:v>103440</x:v>
      </x:c>
      <x:c r="G1091" s="186" t="n">
        <x:v>3740</x:v>
      </x:c>
      <x:c r="H1091" s="186" t="n">
        <x:v>20399</x:v>
      </x:c>
      <x:c r="I1091" s="186" t="n">
        <x:f>G1091-H1091</x:f>
        <x:v>-16659</x:v>
      </x:c>
      <x:c r="J1091" s="186" t="n">
        <x:v>19795</x:v>
      </x:c>
      <x:c r="K1091" s="186" t="n">
        <x:v>43504</x:v>
      </x:c>
      <x:c r="L1091" s="186" t="n">
        <x:f>J1091-K1091</x:f>
        <x:v>-23709</x:v>
      </x:c>
      <x:c r="M1091" s="186" t="n">
        <x:v>16336</x:v>
      </x:c>
      <x:c r="N1091" s="186" t="n">
        <x:v>5933</x:v>
      </x:c>
      <x:c r="O1091" s="186" t="n">
        <x:f>M1091-N1091</x:f>
        <x:v>10403</x:v>
      </x:c>
      <x:c r="P1091" s="186" t="n">
        <x:v>16151</x:v>
      </x:c>
      <x:c r="Q1091" s="186" t="n">
        <x:v>4340</x:v>
      </x:c>
      <x:c r="R1091" s="186" t="n">
        <x:f>P1091-Q1091</x:f>
        <x:v>11811</x:v>
      </x:c>
      <x:c r="S1091" s="186" t="n">
        <x:v>27673</x:v>
      </x:c>
      <x:c r="T1091" s="186" t="n">
        <x:v>9519</x:v>
      </x:c>
      <x:c r="U1091" s="186" t="n">
        <x:f>S1091-T1091</x:f>
        <x:v>18154</x:v>
      </x:c>
      <x:c r="V1091" s="196" t="n">
        <x:f>IFERROR(O1091/F1091,"")</x:f>
        <x:v>0.10057037896365043</x:v>
      </x:c>
      <x:c r="W1091" s="196" t="n">
        <x:f>IFERROR(I1091/F1091,"")</x:f>
        <x:v>-0.16104988399071926</x:v>
      </x:c>
    </x:row>
    <x:row r="1092">
      <x:c r="A1092" s="186" t="str">
        <x:v>Gold</x:v>
      </x:c>
      <x:c r="B1092" s="187" t="n">
        <x:v>46189</x:v>
      </x:c>
      <x:c r="C1092" s="187" t="n">
        <x:v>46192</x:v>
      </x:c>
      <x:c r="D1092" s="186" t="str">
        <x:v>088691-GOLD</x:v>
      </x:c>
      <x:c r="E1092" s="186" t="str">
        <x:v>GOLD - COMMODITY EXCHANGE INC.</x:v>
      </x:c>
      <x:c r="F1092" s="186" t="n">
        <x:v>339330</x:v>
      </x:c>
      <x:c r="G1092" s="186" t="n">
        <x:v>12191</x:v>
      </x:c>
      <x:c r="H1092" s="186" t="n">
        <x:v>29238</x:v>
      </x:c>
      <x:c r="I1092" s="186" t="n">
        <x:f>G1092-H1092</x:f>
        <x:v>-17047</x:v>
      </x:c>
      <x:c r="J1092" s="186" t="n">
        <x:v>29455</x:v>
      </x:c>
      <x:c r="K1092" s="186" t="n">
        <x:v>219971</x:v>
      </x:c>
      <x:c r="L1092" s="186" t="n">
        <x:f>J1092-K1092</x:f>
        <x:v>-190516</x:v>
      </x:c>
      <x:c r="M1092" s="186" t="n">
        <x:v>128043</x:v>
      </x:c>
      <x:c r="N1092" s="186" t="n">
        <x:v>14322</x:v>
      </x:c>
      <x:c r="O1092" s="186" t="n">
        <x:f>M1092-N1092</x:f>
        <x:v>113721</x:v>
      </x:c>
      <x:c r="P1092" s="186" t="n">
        <x:v>83084</x:v>
      </x:c>
      <x:c r="Q1092" s="186" t="n">
        <x:v>16585</x:v>
      </x:c>
      <x:c r="R1092" s="186" t="n">
        <x:f>P1092-Q1092</x:f>
        <x:v>66499</x:v>
      </x:c>
      <x:c r="S1092" s="186" t="n">
        <x:v>43966</x:v>
      </x:c>
      <x:c r="T1092" s="186" t="n">
        <x:v>16623</x:v>
      </x:c>
      <x:c r="U1092" s="186" t="n">
        <x:f>S1092-T1092</x:f>
        <x:v>27343</x:v>
      </x:c>
      <x:c r="V1092" s="196" t="n">
        <x:f>IFERROR(O1092/F1092,"")</x:f>
        <x:v>0.33513394041198835</x:v>
      </x:c>
      <x:c r="W1092" s="196" t="n">
        <x:f>IFERROR(I1092/F1092,"")</x:f>
        <x:v>-0.05023723219285062</x:v>
      </x:c>
    </x:row>
    <x:row r="1093">
      <x:c r="A1093" s="186" t="str">
        <x:v>Silver</x:v>
      </x:c>
      <x:c r="B1093" s="187" t="n">
        <x:v>46189</x:v>
      </x:c>
      <x:c r="C1093" s="187" t="n">
        <x:v>46192</x:v>
      </x:c>
      <x:c r="D1093" s="186" t="str">
        <x:v>084691-SILVER</x:v>
      </x:c>
      <x:c r="E1093" s="186" t="str">
        <x:v>SILVER - COMMODITY EXCHANGE INC.</x:v>
      </x:c>
      <x:c r="F1093" s="186" t="n">
        <x:v>107721</x:v>
      </x:c>
      <x:c r="G1093" s="186" t="n">
        <x:v>3662</x:v>
      </x:c>
      <x:c r="H1093" s="186" t="n">
        <x:v>20274</x:v>
      </x:c>
      <x:c r="I1093" s="186" t="n">
        <x:f>G1093-H1093</x:f>
        <x:v>-16612</x:v>
      </x:c>
      <x:c r="J1093" s="186" t="n">
        <x:v>20241</x:v>
      </x:c>
      <x:c r="K1093" s="186" t="n">
        <x:v>45947</x:v>
      </x:c>
      <x:c r="L1093" s="186" t="n">
        <x:f>J1093-K1093</x:f>
        <x:v>-25706</x:v>
      </x:c>
      <x:c r="M1093" s="186" t="n">
        <x:v>18739</x:v>
      </x:c>
      <x:c r="N1093" s="186" t="n">
        <x:v>5854</x:v>
      </x:c>
      <x:c r="O1093" s="186" t="n">
        <x:f>M1093-N1093</x:f>
        <x:v>12885</x:v>
      </x:c>
      <x:c r="P1093" s="186" t="n">
        <x:v>16872</x:v>
      </x:c>
      <x:c r="Q1093" s="186" t="n">
        <x:v>5213</x:v>
      </x:c>
      <x:c r="R1093" s="186" t="n">
        <x:f>P1093-Q1093</x:f>
        <x:v>11659</x:v>
      </x:c>
      <x:c r="S1093" s="186" t="n">
        <x:v>27127</x:v>
      </x:c>
      <x:c r="T1093" s="186" t="n">
        <x:v>9353</x:v>
      </x:c>
      <x:c r="U1093" s="186" t="n">
        <x:f>S1093-T1093</x:f>
        <x:v>17774</x:v>
      </x:c>
      <x:c r="V1093" s="196" t="n">
        <x:f>IFERROR(O1093/F1093,"")</x:f>
        <x:v>0.11961455983512964</x:v>
      </x:c>
      <x:c r="W1093" s="196" t="n">
        <x:f>IFERROR(I1093/F1093,"")</x:f>
        <x:v>-0.15421319891200416</x:v>
      </x:c>
    </x:row>
    <x:row r="1094">
      <x:c r="A1094" s="186" t="str">
        <x:v>Gold</x:v>
      </x:c>
      <x:c r="B1094" s="187" t="n">
        <x:v>46196</x:v>
      </x:c>
      <x:c r="C1094" s="187" t="n">
        <x:v>46199</x:v>
      </x:c>
      <x:c r="D1094" s="186" t="str">
        <x:v>088691-GOLD</x:v>
      </x:c>
      <x:c r="E1094" s="186" t="str">
        <x:v>GOLD - COMMODITY EXCHANGE INC.</x:v>
      </x:c>
      <x:c r="F1094" s="186" t="n">
        <x:v>352167</x:v>
      </x:c>
      <x:c r="G1094" s="186" t="n">
        <x:v>15839</x:v>
      </x:c>
      <x:c r="H1094" s="186" t="n">
        <x:v>25175</x:v>
      </x:c>
      <x:c r="I1094" s="186" t="n">
        <x:f>G1094-H1094</x:f>
        <x:v>-9336</x:v>
      </x:c>
      <x:c r="J1094" s="186" t="n">
        <x:v>27738</x:v>
      </x:c>
      <x:c r="K1094" s="186" t="n">
        <x:v>223806</x:v>
      </x:c>
      <x:c r="L1094" s="186" t="n">
        <x:f>J1094-K1094</x:f>
        <x:v>-196068</x:v>
      </x:c>
      <x:c r="M1094" s="186" t="n">
        <x:v>131102</x:v>
      </x:c>
      <x:c r="N1094" s="186" t="n">
        <x:v>15707</x:v>
      </x:c>
      <x:c r="O1094" s="186" t="n">
        <x:f>M1094-N1094</x:f>
        <x:v>115395</x:v>
      </x:c>
      <x:c r="P1094" s="186" t="n">
        <x:v>85926</x:v>
      </x:c>
      <x:c r="Q1094" s="186" t="n">
        <x:v>19982</x:v>
      </x:c>
      <x:c r="R1094" s="186" t="n">
        <x:f>P1094-Q1094</x:f>
        <x:v>65944</x:v>
      </x:c>
      <x:c r="S1094" s="186" t="n">
        <x:v>39265</x:v>
      </x:c>
      <x:c r="T1094" s="186" t="n">
        <x:v>15200</x:v>
      </x:c>
      <x:c r="U1094" s="186" t="n">
        <x:f>S1094-T1094</x:f>
        <x:v>24065</x:v>
      </x:c>
      <x:c r="V1094" s="196" t="n">
        <x:f>IFERROR(O1094/F1094,"")</x:f>
        <x:v>0.32767124688003135</x:v>
      </x:c>
      <x:c r="W1094" s="196" t="n">
        <x:f>IFERROR(I1094/F1094,"")</x:f>
        <x:v>-0.026510150014055833</x:v>
      </x:c>
    </x:row>
    <x:row r="1095">
      <x:c r="A1095" s="186" t="str">
        <x:v>Silver</x:v>
      </x:c>
      <x:c r="B1095" s="187" t="n">
        <x:v>46196</x:v>
      </x:c>
      <x:c r="C1095" s="187" t="n">
        <x:v>46199</x:v>
      </x:c>
      <x:c r="D1095" s="186" t="str">
        <x:v>084691-SILVER</x:v>
      </x:c>
      <x:c r="E1095" s="186" t="str">
        <x:v>SILVER - COMMODITY EXCHANGE INC.</x:v>
      </x:c>
      <x:c r="F1095" s="186" t="n">
        <x:v>108944</x:v>
      </x:c>
      <x:c r="G1095" s="186" t="n">
        <x:v>4627</x:v>
      </x:c>
      <x:c r="H1095" s="186" t="n">
        <x:v>18349</x:v>
      </x:c>
      <x:c r="I1095" s="186" t="n">
        <x:f>G1095-H1095</x:f>
        <x:v>-13722</x:v>
      </x:c>
      <x:c r="J1095" s="186" t="n">
        <x:v>18345</x:v>
      </x:c>
      <x:c r="K1095" s="186" t="n">
        <x:v>44863</x:v>
      </x:c>
      <x:c r="L1095" s="186" t="n">
        <x:f>J1095-K1095</x:f>
        <x:v>-26518</x:v>
      </x:c>
      <x:c r="M1095" s="186" t="n">
        <x:v>17559</x:v>
      </x:c>
      <x:c r="N1095" s="186" t="n">
        <x:v>5818</x:v>
      </x:c>
      <x:c r="O1095" s="186" t="n">
        <x:f>M1095-N1095</x:f>
        <x:v>11741</x:v>
      </x:c>
      <x:c r="P1095" s="186" t="n">
        <x:v>17580</x:v>
      </x:c>
      <x:c r="Q1095" s="186" t="n">
        <x:v>5570</x:v>
      </x:c>
      <x:c r="R1095" s="186" t="n">
        <x:f>P1095-Q1095</x:f>
        <x:v>12010</x:v>
      </x:c>
      <x:c r="S1095" s="186" t="n">
        <x:v>25985</x:v>
      </x:c>
      <x:c r="T1095" s="186" t="n">
        <x:v>9496</x:v>
      </x:c>
      <x:c r="U1095" s="186" t="n">
        <x:f>S1095-T1095</x:f>
        <x:v>16489</x:v>
      </x:c>
      <x:c r="V1095" s="196" t="n">
        <x:f>IFERROR(O1095/F1095,"")</x:f>
        <x:v>0.10777096489939786</x:v>
      </x:c>
      <x:c r="W1095" s="196" t="n">
        <x:f>IFERROR(I1095/F1095,"")</x:f>
        <x:v>-0.1259546188867675</x:v>
      </x:c>
    </x:row>
    <x:row r="1096">
      <x:c r="A1096" s="186" t="str">
        <x:v>Gold</x:v>
      </x:c>
      <x:c r="B1096" s="187" t="n">
        <x:v>46203</x:v>
      </x:c>
      <x:c r="C1096" s="187" t="n">
        <x:v>46206</x:v>
      </x:c>
      <x:c r="D1096" s="186" t="str">
        <x:v>088691-GOLD</x:v>
      </x:c>
      <x:c r="E1096" s="186" t="str">
        <x:v>GOLD - COMMODITY EXCHANGE INC.</x:v>
      </x:c>
      <x:c r="F1096" s="186" t="n">
        <x:v>369541</x:v>
      </x:c>
      <x:c r="G1096" s="186" t="n">
        <x:v>15161</x:v>
      </x:c>
      <x:c r="H1096" s="186" t="n">
        <x:v>32207</x:v>
      </x:c>
      <x:c r="I1096" s="186" t="n">
        <x:f>G1096-H1096</x:f>
        <x:v>-17046</x:v>
      </x:c>
      <x:c r="J1096" s="186" t="n">
        <x:v>25821</x:v>
      </x:c>
      <x:c r="K1096" s="186" t="n">
        <x:v>229845</x:v>
      </x:c>
      <x:c r="L1096" s="186" t="n">
        <x:f>J1096-K1096</x:f>
        <x:v>-204024</x:v>
      </x:c>
      <x:c r="M1096" s="186" t="n">
        <x:v>134577</x:v>
      </x:c>
      <x:c r="N1096" s="186" t="n">
        <x:v>14486</x:v>
      </x:c>
      <x:c r="O1096" s="186" t="n">
        <x:f>M1096-N1096</x:f>
        <x:v>120091</x:v>
      </x:c>
      <x:c r="P1096" s="186" t="n">
        <x:v>95042</x:v>
      </x:c>
      <x:c r="Q1096" s="186" t="n">
        <x:v>21114</x:v>
      </x:c>
      <x:c r="R1096" s="186" t="n">
        <x:f>P1096-Q1096</x:f>
        <x:v>73928</x:v>
      </x:c>
      <x:c r="S1096" s="186" t="n">
        <x:v>49035</x:v>
      </x:c>
      <x:c r="T1096" s="186" t="n">
        <x:v>21984</x:v>
      </x:c>
      <x:c r="U1096" s="186" t="n">
        <x:f>S1096-T1096</x:f>
        <x:v>27051</x:v>
      </x:c>
      <x:c r="V1096" s="196" t="n">
        <x:f>IFERROR(O1096/F1096,"")</x:f>
        <x:v>0.3249734129636495</x:v>
      </x:c>
      <x:c r="W1096" s="196" t="n">
        <x:f>IFERROR(I1096/F1096,"")</x:f>
        <x:v>-0.04612749329573714</x:v>
      </x:c>
    </x:row>
    <x:row r="1097">
      <x:c r="A1097" s="186" t="str">
        <x:v>Silver</x:v>
      </x:c>
      <x:c r="B1097" s="187" t="n">
        <x:v>46203</x:v>
      </x:c>
      <x:c r="C1097" s="187" t="n">
        <x:v>46206</x:v>
      </x:c>
      <x:c r="D1097" s="186" t="str">
        <x:v>084691-SILVER</x:v>
      </x:c>
      <x:c r="E1097" s="186" t="str">
        <x:v>SILVER - COMMODITY EXCHANGE INC.</x:v>
      </x:c>
      <x:c r="F1097" s="186" t="n">
        <x:v>108964</x:v>
      </x:c>
      <x:c r="G1097" s="186" t="n">
        <x:v>5108</x:v>
      </x:c>
      <x:c r="H1097" s="186" t="n">
        <x:v>17379</x:v>
      </x:c>
      <x:c r="I1097" s="186" t="n">
        <x:f>G1097-H1097</x:f>
        <x:v>-12271</x:v>
      </x:c>
      <x:c r="J1097" s="186" t="n">
        <x:v>20375</x:v>
      </x:c>
      <x:c r="K1097" s="186" t="n">
        <x:v>49429</x:v>
      </x:c>
      <x:c r="L1097" s="186" t="n">
        <x:f>J1097-K1097</x:f>
        <x:v>-29054</x:v>
      </x:c>
      <x:c r="M1097" s="186" t="n">
        <x:v>19349</x:v>
      </x:c>
      <x:c r="N1097" s="186" t="n">
        <x:v>5567</x:v>
      </x:c>
      <x:c r="O1097" s="186" t="n">
        <x:f>M1097-N1097</x:f>
        <x:v>13782</x:v>
      </x:c>
      <x:c r="P1097" s="186" t="n">
        <x:v>18456</x:v>
      </x:c>
      <x:c r="Q1097" s="186" t="n">
        <x:v>4870</x:v>
      </x:c>
      <x:c r="R1097" s="186" t="n">
        <x:f>P1097-Q1097</x:f>
        <x:v>13586</x:v>
      </x:c>
      <x:c r="S1097" s="186" t="n">
        <x:v>28568</x:v>
      </x:c>
      <x:c r="T1097" s="186" t="n">
        <x:v>14611</x:v>
      </x:c>
      <x:c r="U1097" s="186" t="n">
        <x:f>S1097-T1097</x:f>
        <x:v>13957</x:v>
      </x:c>
      <x:c r="V1097" s="196" t="n">
        <x:f>IFERROR(O1097/F1097,"")</x:f>
        <x:v>0.12648214089056936</x:v>
      </x:c>
      <x:c r="W1097" s="196" t="n">
        <x:f>IFERROR(I1097/F1097,"")</x:f>
        <x:v>-0.11261517565434455</x:v>
      </x:c>
    </x:row>
    <x:row r="1098">
      <x:c r="A1098" s="186" t="str">
        <x:v>Gold</x:v>
      </x:c>
      <x:c r="B1098" s="187" t="n">
        <x:v>46210</x:v>
      </x:c>
      <x:c r="C1098" s="187" t="n">
        <x:v>46213</x:v>
      </x:c>
      <x:c r="D1098" s="186" t="str">
        <x:v>088691-GOLD</x:v>
      </x:c>
      <x:c r="E1098" s="186" t="str">
        <x:v>GOLD - COMMODITY EXCHANGE INC.</x:v>
      </x:c>
      <x:c r="F1098" s="186" t="n">
        <x:v>371776</x:v>
      </x:c>
      <x:c r="G1098" s="186" t="n">
        <x:v>14282</x:v>
      </x:c>
      <x:c r="H1098" s="186" t="n">
        <x:v>35268</x:v>
      </x:c>
      <x:c r="I1098" s="186" t="n">
        <x:f>G1098-H1098</x:f>
        <x:v>-20986</x:v>
      </x:c>
      <x:c r="J1098" s="186" t="n">
        <x:v>25445</x:v>
      </x:c>
      <x:c r="K1098" s="186" t="n">
        <x:v>226741</x:v>
      </x:c>
      <x:c r="L1098" s="186" t="n">
        <x:f>J1098-K1098</x:f>
        <x:v>-201296</x:v>
      </x:c>
      <x:c r="M1098" s="186" t="n">
        <x:v>134941</x:v>
      </x:c>
      <x:c r="N1098" s="186" t="n">
        <x:v>18780</x:v>
      </x:c>
      <x:c r="O1098" s="186" t="n">
        <x:f>M1098-N1098</x:f>
        <x:v>116161</x:v>
      </x:c>
      <x:c r="P1098" s="186" t="n">
        <x:v>98772</x:v>
      </x:c>
      <x:c r="Q1098" s="186" t="n">
        <x:v>20687</x:v>
      </x:c>
      <x:c r="R1098" s="186" t="n">
        <x:f>P1098-Q1098</x:f>
        <x:v>78085</x:v>
      </x:c>
      <x:c r="S1098" s="186" t="n">
        <x:v>45636</x:v>
      </x:c>
      <x:c r="T1098" s="186" t="n">
        <x:v>17600</x:v>
      </x:c>
      <x:c r="U1098" s="186" t="n">
        <x:f>S1098-T1098</x:f>
        <x:v>28036</x:v>
      </x:c>
      <x:c r="V1098" s="196" t="n">
        <x:f>IFERROR(O1098/F1098,"")</x:f>
        <x:v>0.3124488939576519</x:v>
      </x:c>
      <x:c r="W1098" s="196" t="n">
        <x:f>IFERROR(I1098/F1098,"")</x:f>
        <x:v>-0.05644796866930625</x:v>
      </x:c>
    </x:row>
    <x:row r="1099">
      <x:c r="A1099" s="186" t="str">
        <x:v>Silver</x:v>
      </x:c>
      <x:c r="B1099" s="187" t="n">
        <x:v>46210</x:v>
      </x:c>
      <x:c r="C1099" s="187" t="n">
        <x:v>46213</x:v>
      </x:c>
      <x:c r="D1099" s="186" t="str">
        <x:v>084691-SILVER</x:v>
      </x:c>
      <x:c r="E1099" s="186" t="str">
        <x:v>SILVER - COMMODITY EXCHANGE INC.</x:v>
      </x:c>
      <x:c r="F1099" s="186" t="n">
        <x:v>104859</x:v>
      </x:c>
      <x:c r="G1099" s="186" t="n">
        <x:v>5069</x:v>
      </x:c>
      <x:c r="H1099" s="186" t="n">
        <x:v>18425</x:v>
      </x:c>
      <x:c r="I1099" s="186" t="n">
        <x:f>G1099-H1099</x:f>
        <x:v>-13356</x:v>
      </x:c>
      <x:c r="J1099" s="186" t="n">
        <x:v>19922</x:v>
      </x:c>
      <x:c r="K1099" s="186" t="n">
        <x:v>49661</x:v>
      </x:c>
      <x:c r="L1099" s="186" t="n">
        <x:f>J1099-K1099</x:f>
        <x:v>-29739</x:v>
      </x:c>
      <x:c r="M1099" s="186" t="n">
        <x:v>19294</x:v>
      </x:c>
      <x:c r="N1099" s="186" t="n">
        <x:v>6093</x:v>
      </x:c>
      <x:c r="O1099" s="186" t="n">
        <x:f>M1099-N1099</x:f>
        <x:v>13201</x:v>
      </x:c>
      <x:c r="P1099" s="186" t="n">
        <x:v>20152</x:v>
      </x:c>
      <x:c r="Q1099" s="186" t="n">
        <x:v>5338</x:v>
      </x:c>
      <x:c r="R1099" s="186" t="n">
        <x:f>P1099-Q1099</x:f>
        <x:v>14814</x:v>
      </x:c>
      <x:c r="S1099" s="186" t="n">
        <x:v>24829</x:v>
      </x:c>
      <x:c r="T1099" s="186" t="n">
        <x:v>9749</x:v>
      </x:c>
      <x:c r="U1099" s="186" t="n">
        <x:f>S1099-T1099</x:f>
        <x:v>15080</x:v>
      </x:c>
      <x:c r="V1099" s="196" t="n">
        <x:f>IFERROR(O1099/F1099,"")</x:f>
        <x:v>0.1258928656576927</x:v>
      </x:c>
      <x:c r="W1099" s="196" t="n">
        <x:f>IFERROR(I1099/F1099,"")</x:f>
        <x:v>-0.12737104111235087</x:v>
      </x:c>
    </x:row>
  </x:sheetData>
  <x:pageMargins left="0.7" right="0.7" top="0.75" bottom="0.75" header="0.3" footer="0.3"/>
  <x:tableParts count="1">
    <x:tablePart xmlns:r="http://schemas.openxmlformats.org/officeDocument/2006/relationships" r:id="R0424803a0f5245a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hidden="0" customHeight="1">
      <x:c r="A1" s="185" t="str">
        <x:v>date</x:v>
      </x:c>
      <x:c r="B1" s="185" t="str">
        <x:v>gpr_global</x:v>
      </x:c>
      <x:c r="C1" s="185" t="str">
        <x:v>gpr_threats</x:v>
      </x:c>
      <x:c r="D1" s="185" t="str">
        <x:v>gpr_acts</x:v>
      </x:c>
      <x:c r="E1" s="185" t="str">
        <x:v>gpr_china_share</x:v>
      </x:c>
      <x:c r="F1" s="185" t="str">
        <x:v>gpr_russia_share</x:v>
      </x:c>
      <x:c r="G1" s="185" t="str">
        <x:v>gpr_usa_share</x:v>
      </x:c>
    </x:row>
    <x:row r="2" ht="15" hidden="0" customHeight="1">
      <x:c r="A2" s="194" t="n">
        <x:v>42370</x:v>
      </x:c>
      <x:c r="B2" s="195" t="n">
        <x:v>118.21114</x:v>
      </x:c>
      <x:c r="C2" s="195" t="n">
        <x:v>124.23914</x:v>
      </x:c>
      <x:c r="D2" s="195" t="n">
        <x:v>109.5291</x:v>
      </x:c>
      <x:c r="E2" s="195" t="n">
        <x:v>0.6952169</x:v>
      </x:c>
      <x:c r="F2" s="195" t="n">
        <x:v>0.7044865</x:v>
      </x:c>
      <x:c r="G2" s="195" t="n">
        <x:v>2.5074155</x:v>
      </x:c>
    </x:row>
    <x:row r="3" ht="15" hidden="0" customHeight="1">
      <x:c r="A3" s="194" t="n">
        <x:v>42401</x:v>
      </x:c>
      <x:c r="B3" s="195" t="n">
        <x:v>103.74965</x:v>
      </x:c>
      <x:c r="C3" s="195" t="n">
        <x:v>91.32202</x:v>
      </x:c>
      <x:c r="D3" s="195" t="n">
        <x:v>117.582016</x:v>
      </x:c>
      <x:c r="E3" s="195" t="n">
        <x:v>0.49907035</x:v>
      </x:c>
      <x:c r="F3" s="195" t="n">
        <x:v>1.1938546</x:v>
      </x:c>
      <x:c r="G3" s="195" t="n">
        <x:v>2.2458167</x:v>
      </x:c>
    </x:row>
    <x:row r="4" ht="15" hidden="0" customHeight="1">
      <x:c r="A4" s="194" t="n">
        <x:v>42430</x:v>
      </x:c>
      <x:c r="B4" s="195" t="n">
        <x:v>109.72029</x:v>
      </x:c>
      <x:c r="C4" s="195" t="n">
        <x:v>98.02693</x:v>
      </x:c>
      <x:c r="D4" s="195" t="n">
        <x:v>127.76814</x:v>
      </x:c>
      <x:c r="E4" s="195" t="n">
        <x:v>0.5115205</x:v>
      </x:c>
      <x:c r="F4" s="195" t="n">
        <x:v>0.7785976</x:v>
      </x:c>
      <x:c r="G4" s="195" t="n">
        <x:v>2.448961</x:v>
      </x:c>
    </x:row>
    <x:row r="5" ht="15" hidden="0" customHeight="1">
      <x:c r="A5" s="194" t="n">
        <x:v>42461</x:v>
      </x:c>
      <x:c r="B5" s="195" t="n">
        <x:v>85.22145</x:v>
      </x:c>
      <x:c r="C5" s="195" t="n">
        <x:v>80.82244</x:v>
      </x:c>
      <x:c r="D5" s="195" t="n">
        <x:v>93.122986</x:v>
      </x:c>
      <x:c r="E5" s="195" t="n">
        <x:v>0.36250407</x:v>
      </x:c>
      <x:c r="F5" s="195" t="n">
        <x:v>0.7761305</x:v>
      </x:c>
      <x:c r="G5" s="195" t="n">
        <x:v>2.0123622</x:v>
      </x:c>
    </x:row>
    <x:row r="6" ht="15" hidden="0" customHeight="1">
      <x:c r="A6" s="194" t="n">
        <x:v>42491</x:v>
      </x:c>
      <x:c r="B6" s="195" t="n">
        <x:v>88.33242</x:v>
      </x:c>
      <x:c r="C6" s="195" t="n">
        <x:v>84.461365</x:v>
      </x:c>
      <x:c r="D6" s="195" t="n">
        <x:v>93.639656</x:v>
      </x:c>
      <x:c r="E6" s="195" t="n">
        <x:v>0.44612372</x:v>
      </x:c>
      <x:c r="F6" s="195" t="n">
        <x:v>0.6555287</x:v>
      </x:c>
      <x:c r="G6" s="195" t="n">
        <x:v>1.9210634</x:v>
      </x:c>
    </x:row>
    <x:row r="7" ht="15" hidden="0" customHeight="1">
      <x:c r="A7" s="194" t="n">
        <x:v>42522</x:v>
      </x:c>
      <x:c r="B7" s="195" t="n">
        <x:v>90.16813</x:v>
      </x:c>
      <x:c r="C7" s="195" t="n">
        <x:v>80.51286</x:v>
      </x:c>
      <x:c r="D7" s="195" t="n">
        <x:v>100.857376</x:v>
      </x:c>
      <x:c r="E7" s="195" t="n">
        <x:v>0.30207202</x:v>
      </x:c>
      <x:c r="F7" s="195" t="n">
        <x:v>0.54278564</x:v>
      </x:c>
      <x:c r="G7" s="195" t="n">
        <x:v>1.7746731</x:v>
      </x:c>
    </x:row>
    <x:row r="8" ht="15" hidden="0" customHeight="1">
      <x:c r="A8" s="194" t="n">
        <x:v>42552</x:v>
      </x:c>
      <x:c r="B8" s="195" t="n">
        <x:v>114.61045</x:v>
      </x:c>
      <x:c r="C8" s="195" t="n">
        <x:v>97.098045</x:v>
      </x:c>
      <x:c r="D8" s="195" t="n">
        <x:v>145.14874</x:v>
      </x:c>
      <x:c r="E8" s="195" t="n">
        <x:v>0.3781368</x:v>
      </x:c>
      <x:c r="F8" s="195" t="n">
        <x:v>0.7562736</x:v>
      </x:c>
      <x:c r="G8" s="195" t="n">
        <x:v>2.4603448</x:v>
      </x:c>
    </x:row>
    <x:row r="9" ht="15" hidden="0" customHeight="1">
      <x:c r="A9" s="194" t="n">
        <x:v>42583</x:v>
      </x:c>
      <x:c r="B9" s="195" t="n">
        <x:v>98.73849</x:v>
      </x:c>
      <x:c r="C9" s="195" t="n">
        <x:v>82.44047</x:v>
      </x:c>
      <x:c r="D9" s="195" t="n">
        <x:v>121.4537</x:v>
      </x:c>
      <x:c r="E9" s="195" t="n">
        <x:v>0.2894356</x:v>
      </x:c>
      <x:c r="F9" s="195" t="n">
        <x:v>0.9354972</x:v>
      </x:c>
      <x:c r="G9" s="195" t="n">
        <x:v>2.150093</x:v>
      </x:c>
    </x:row>
    <x:row r="10" ht="15" hidden="0" customHeight="1">
      <x:c r="A10" s="194" t="n">
        <x:v>42614</x:v>
      </x:c>
      <x:c r="B10" s="195" t="n">
        <x:v>104.54523</x:v>
      </x:c>
      <x:c r="C10" s="195" t="n">
        <x:v>95.48959</x:v>
      </x:c>
      <x:c r="D10" s="195" t="n">
        <x:v>121.1505</x:v>
      </x:c>
      <x:c r="E10" s="195" t="n">
        <x:v>0.5847953</x:v>
      </x:c>
      <x:c r="F10" s="195" t="n">
        <x:v>1.0485985</x:v>
      </x:c>
      <x:c r="G10" s="195" t="n">
        <x:v>2.6114135</x:v>
      </x:c>
    </x:row>
    <x:row r="11" ht="15" hidden="0" customHeight="1">
      <x:c r="A11" s="194" t="n">
        <x:v>42644</x:v>
      </x:c>
      <x:c r="B11" s="195" t="n">
        <x:v>85.74779</x:v>
      </x:c>
      <x:c r="C11" s="195" t="n">
        <x:v>79.64809</x:v>
      </x:c>
      <x:c r="D11" s="195" t="n">
        <x:v>100.30768</x:v>
      </x:c>
      <x:c r="E11" s="195" t="n">
        <x:v>0.26504368</x:v>
      </x:c>
      <x:c r="F11" s="195" t="n">
        <x:v>0.99636793</x:v>
      </x:c>
      <x:c r="G11" s="195" t="n">
        <x:v>1.9976441</x:v>
      </x:c>
    </x:row>
    <x:row r="12" ht="15" hidden="0" customHeight="1">
      <x:c r="A12" s="194" t="n">
        <x:v>42675</x:v>
      </x:c>
      <x:c r="B12" s="195" t="n">
        <x:v>82.918755</x:v>
      </x:c>
      <x:c r="C12" s="195" t="n">
        <x:v>81.22565</x:v>
      </x:c>
      <x:c r="D12" s="195" t="n">
        <x:v>83.97506</x:v>
      </x:c>
      <x:c r="E12" s="195" t="n">
        <x:v>0.4768986</x:v>
      </x:c>
      <x:c r="F12" s="195" t="n">
        <x:v>0.97943693</x:v>
      </x:c>
      <x:c r="G12" s="195" t="n">
        <x:v>1.9178504</x:v>
      </x:c>
    </x:row>
    <x:row r="13" ht="15" hidden="0" customHeight="1">
      <x:c r="A13" s="194" t="n">
        <x:v>42705</x:v>
      </x:c>
      <x:c r="B13" s="195" t="n">
        <x:v>102.180466</x:v>
      </x:c>
      <x:c r="C13" s="195" t="n">
        <x:v>93.93662</x:v>
      </x:c>
      <x:c r="D13" s="195" t="n">
        <x:v>113.97946</x:v>
      </x:c>
      <x:c r="E13" s="195" t="n">
        <x:v>0.5850464</x:v>
      </x:c>
      <x:c r="F13" s="195" t="n">
        <x:v>1.2559712</x:v>
      </x:c>
      <x:c r="G13" s="195" t="n">
        <x:v>2.2972465</x:v>
      </x:c>
    </x:row>
    <x:row r="14" ht="15" hidden="0" customHeight="1">
      <x:c r="A14" s="194" t="n">
        <x:v>42736</x:v>
      </x:c>
      <x:c r="B14" s="195" t="n">
        <x:v>105.20123</x:v>
      </x:c>
      <x:c r="C14" s="195" t="n">
        <x:v>108.277</x:v>
      </x:c>
      <x:c r="D14" s="195" t="n">
        <x:v>103.17117</x:v>
      </x:c>
      <x:c r="E14" s="195" t="n">
        <x:v>0.64323336</x:v>
      </x:c>
      <x:c r="F14" s="195" t="n">
        <x:v>1.2358185</x:v>
      </x:c>
      <x:c r="G14" s="195" t="n">
        <x:v>2.5729334</x:v>
      </x:c>
    </x:row>
    <x:row r="15" ht="15" hidden="0" customHeight="1">
      <x:c r="A15" s="194" t="n">
        <x:v>42767</x:v>
      </x:c>
      <x:c r="B15" s="195" t="n">
        <x:v>114.20636</x:v>
      </x:c>
      <x:c r="C15" s="195" t="n">
        <x:v>125.66468</x:v>
      </x:c>
      <x:c r="D15" s="195" t="n">
        <x:v>97.1516</x:v>
      </x:c>
      <x:c r="E15" s="195" t="n">
        <x:v>0.7214451</x:v>
      </x:c>
      <x:c r="F15" s="195" t="n">
        <x:v>1.079414</x:v>
      </x:c>
      <x:c r="G15" s="195" t="n">
        <x:v>3.0234606</x:v>
      </x:c>
    </x:row>
    <x:row r="16" ht="15" hidden="0" customHeight="1">
      <x:c r="A16" s="194" t="n">
        <x:v>42795</x:v>
      </x:c>
      <x:c r="B16" s="195" t="n">
        <x:v>96.63588</x:v>
      </x:c>
      <x:c r="C16" s="195" t="n">
        <x:v>95.838425</x:v>
      </x:c>
      <x:c r="D16" s="195" t="n">
        <x:v>95.674545</x:v>
      </x:c>
      <x:c r="E16" s="195" t="n">
        <x:v>0.6296866</x:v>
      </x:c>
      <x:c r="F16" s="195" t="n">
        <x:v>0.7931167</x:v>
      </x:c>
      <x:c r="G16" s="195" t="n">
        <x:v>2.1438184</x:v>
      </x:c>
    </x:row>
    <x:row r="17" ht="15" hidden="0" customHeight="1">
      <x:c r="A17" s="194" t="n">
        <x:v>42826</x:v>
      </x:c>
      <x:c r="B17" s="195" t="n">
        <x:v>119.45992</x:v>
      </x:c>
      <x:c r="C17" s="195" t="n">
        <x:v>127.44655</x:v>
      </x:c>
      <x:c r="D17" s="195" t="n">
        <x:v>108.06884</x:v>
      </x:c>
      <x:c r="E17" s="195" t="n">
        <x:v>1.07702</x:v>
      </x:c>
      <x:c r="F17" s="195" t="n">
        <x:v>1.4395293</x:v>
      </x:c>
      <x:c r="G17" s="195" t="n">
        <x:v>3.0787013</x:v>
      </x:c>
    </x:row>
    <x:row r="18" ht="15" hidden="0" customHeight="1">
      <x:c r="A18" s="194" t="n">
        <x:v>42856</x:v>
      </x:c>
      <x:c r="B18" s="195" t="n">
        <x:v>102.57996</x:v>
      </x:c>
      <x:c r="C18" s="195" t="n">
        <x:v>102.35461</x:v>
      </x:c>
      <x:c r="D18" s="195" t="n">
        <x:v>99.7048</x:v>
      </x:c>
      <x:c r="E18" s="195" t="n">
        <x:v>0.69049555</x:v>
      </x:c>
      <x:c r="F18" s="195" t="n">
        <x:v>0.8681966</x:v>
      </x:c>
      <x:c r="G18" s="195" t="n">
        <x:v>2.518278</x:v>
      </x:c>
    </x:row>
    <x:row r="19" ht="15" hidden="0" customHeight="1">
      <x:c r="A19" s="194" t="n">
        <x:v>42887</x:v>
      </x:c>
      <x:c r="B19" s="195" t="n">
        <x:v>126.78902</x:v>
      </x:c>
      <x:c r="C19" s="195" t="n">
        <x:v>113.168465</x:v>
      </x:c>
      <x:c r="D19" s="195" t="n">
        <x:v>146.67166</x:v>
      </x:c>
      <x:c r="E19" s="195" t="n">
        <x:v>0.5417957</x:v>
      </x:c>
      <x:c r="F19" s="195" t="n">
        <x:v>0.8255934</x:v>
      </x:c>
      <x:c r="G19" s="195" t="n">
        <x:v>2.858617</x:v>
      </x:c>
    </x:row>
    <x:row r="20" ht="15" hidden="0" customHeight="1">
      <x:c r="A20" s="194" t="n">
        <x:v>42917</x:v>
      </x:c>
      <x:c r="B20" s="195" t="n">
        <x:v>102.81346</x:v>
      </x:c>
      <x:c r="C20" s="195" t="n">
        <x:v>125.599205</x:v>
      </x:c>
      <x:c r="D20" s="195" t="n">
        <x:v>71.955055</x:v>
      </x:c>
      <x:c r="E20" s="195" t="n">
        <x:v>0.9060563</x:v>
      </x:c>
      <x:c r="F20" s="195" t="n">
        <x:v>1.3723308</x:v>
      </x:c>
      <x:c r="G20" s="195" t="n">
        <x:v>2.6227944</x:v>
      </x:c>
    </x:row>
    <x:row r="21" ht="15" hidden="0" customHeight="1">
      <x:c r="A21" s="194" t="n">
        <x:v>42948</x:v>
      </x:c>
      <x:c r="B21" s="195" t="n">
        <x:v>138.53162</x:v>
      </x:c>
      <x:c r="C21" s="195" t="n">
        <x:v>160.0231</x:v>
      </x:c>
      <x:c r="D21" s="195" t="n">
        <x:v>108.43595</x:v>
      </x:c>
      <x:c r="E21" s="195" t="n">
        <x:v>1.2550737</x:v>
      </x:c>
      <x:c r="F21" s="195" t="n">
        <x:v>1.0841701</x:v>
      </x:c>
      <x:c r="G21" s="195" t="n">
        <x:v>3.5569322</x:v>
      </x:c>
    </x:row>
    <x:row r="22" ht="15" hidden="0" customHeight="1">
      <x:c r="A22" s="194" t="n">
        <x:v>42979</x:v>
      </x:c>
      <x:c r="B22" s="195" t="n">
        <x:v>115.53445</x:v>
      </x:c>
      <x:c r="C22" s="195" t="n">
        <x:v>142.1449</x:v>
      </x:c>
      <x:c r="D22" s="195" t="n">
        <x:v>84.09627</x:v>
      </x:c>
      <x:c r="E22" s="195" t="n">
        <x:v>1.2183552</x:v>
      </x:c>
      <x:c r="F22" s="195" t="n">
        <x:v>1.1784091</x:v>
      </x:c>
      <x:c r="G22" s="195" t="n">
        <x:v>2.8811104</x:v>
      </x:c>
    </x:row>
    <x:row r="23" ht="15" hidden="0" customHeight="1">
      <x:c r="A23" s="194" t="n">
        <x:v>43009</x:v>
      </x:c>
      <x:c r="B23" s="195" t="n">
        <x:v>91.46157</x:v>
      </x:c>
      <x:c r="C23" s="195" t="n">
        <x:v>109.230606</x:v>
      </x:c>
      <x:c r="D23" s="195" t="n">
        <x:v>69.157</x:v>
      </x:c>
      <x:c r="E23" s="195" t="n">
        <x:v>0.6046587</x:v>
      </x:c>
      <x:c r="F23" s="195" t="n">
        <x:v>0.74263453</x:v>
      </x:c>
      <x:c r="G23" s="195" t="n">
        <x:v>2.098044</x:v>
      </x:c>
    </x:row>
    <x:row r="24" ht="15" hidden="0" customHeight="1">
      <x:c r="A24" s="194" t="n">
        <x:v>43040</x:v>
      </x:c>
      <x:c r="B24" s="195" t="n">
        <x:v>92.596016</x:v>
      </x:c>
      <x:c r="C24" s="195" t="n">
        <x:v>103.94398</x:v>
      </x:c>
      <x:c r="D24" s="195" t="n">
        <x:v>80.115875</x:v>
      </x:c>
      <x:c r="E24" s="195" t="n">
        <x:v>0.75324017</x:v>
      </x:c>
      <x:c r="F24" s="195" t="n">
        <x:v>0.63120687</x:v>
      </x:c>
      <x:c r="G24" s="195" t="n">
        <x:v>2.1755598</x:v>
      </x:c>
    </x:row>
    <x:row r="25" ht="15" hidden="0" customHeight="1">
      <x:c r="A25" s="194" t="n">
        <x:v>43070</x:v>
      </x:c>
      <x:c r="B25" s="195" t="n">
        <x:v>82.718254</x:v>
      </x:c>
      <x:c r="C25" s="195" t="n">
        <x:v>95.90845</x:v>
      </x:c>
      <x:c r="D25" s="195" t="n">
        <x:v>62.65748</x:v>
      </x:c>
      <x:c r="E25" s="195" t="n">
        <x:v>0.731061</x:v>
      </x:c>
      <x:c r="F25" s="195" t="n">
        <x:v>0.79045963</x:v>
      </x:c>
      <x:c r="G25" s="195" t="n">
        <x:v>2.0012794</x:v>
      </x:c>
    </x:row>
    <x:row r="26" ht="15" hidden="0" customHeight="1">
      <x:c r="A26" s="194" t="n">
        <x:v>43101</x:v>
      </x:c>
      <x:c r="B26" s="195" t="n">
        <x:v>92.42679</x:v>
      </x:c>
      <x:c r="C26" s="195" t="n">
        <x:v>107.64432</x:v>
      </x:c>
      <x:c r="D26" s="195" t="n">
        <x:v>75.66629</x:v>
      </x:c>
      <x:c r="E26" s="195" t="n">
        <x:v>0.68546635</x:v>
      </x:c>
      <x:c r="F26" s="195" t="n">
        <x:v>1.0325379</x:v>
      </x:c>
      <x:c r="G26" s="195" t="n">
        <x:v>2.2039046</x:v>
      </x:c>
    </x:row>
    <x:row r="27" ht="15" hidden="0" customHeight="1">
      <x:c r="A27" s="194" t="n">
        <x:v>43132</x:v>
      </x:c>
      <x:c r="B27" s="195" t="n">
        <x:v>64.49137</x:v>
      </x:c>
      <x:c r="C27" s="195" t="n">
        <x:v>74.68311</x:v>
      </x:c>
      <x:c r="D27" s="195" t="n">
        <x:v>52.0022</x:v>
      </x:c>
      <x:c r="E27" s="195" t="n">
        <x:v>0.2929415</x:v>
      </x:c>
      <x:c r="F27" s="195" t="n">
        <x:v>0.74397844</x:v>
      </x:c>
      <x:c r="G27" s="195" t="n">
        <x:v>1.5902538</x:v>
      </x:c>
    </x:row>
    <x:row r="28" ht="15" hidden="0" customHeight="1">
      <x:c r="A28" s="194" t="n">
        <x:v>43160</x:v>
      </x:c>
      <x:c r="B28" s="195" t="n">
        <x:v>111.962296</x:v>
      </x:c>
      <x:c r="C28" s="195" t="n">
        <x:v>146.92708</x:v>
      </x:c>
      <x:c r="D28" s="195" t="n">
        <x:v>64.55759</x:v>
      </x:c>
      <x:c r="E28" s="195" t="n">
        <x:v>0.94574016</x:v>
      </x:c>
      <x:c r="F28" s="195" t="n">
        <x:v>1.4226177</x:v>
      </x:c>
      <x:c r="G28" s="195" t="n">
        <x:v>2.7490582</x:v>
      </x:c>
    </x:row>
    <x:row r="29" ht="15" hidden="0" customHeight="1">
      <x:c r="A29" s="194" t="n">
        <x:v>43191</x:v>
      </x:c>
      <x:c r="B29" s="195" t="n">
        <x:v>123.26347</x:v>
      </x:c>
      <x:c r="C29" s="195" t="n">
        <x:v>146.39566</x:v>
      </x:c>
      <x:c r="D29" s="195" t="n">
        <x:v>94.305855</x:v>
      </x:c>
      <x:c r="E29" s="195" t="n">
        <x:v>1.1056882</x:v>
      </x:c>
      <x:c r="F29" s="195" t="n">
        <x:v>1.7665098</x:v>
      </x:c>
      <x:c r="G29" s="195" t="n">
        <x:v>3.3602557</x:v>
      </x:c>
    </x:row>
    <x:row r="30" ht="15" hidden="0" customHeight="1">
      <x:c r="A30" s="194" t="n">
        <x:v>43221</x:v>
      </x:c>
      <x:c r="B30" s="195" t="n">
        <x:v>125.66662</x:v>
      </x:c>
      <x:c r="C30" s="195" t="n">
        <x:v>172.2167</x:v>
      </x:c>
      <x:c r="D30" s="195" t="n">
        <x:v>63.217903</x:v>
      </x:c>
      <x:c r="E30" s="195" t="n">
        <x:v>1.5211363</x:v>
      </x:c>
      <x:c r="F30" s="195" t="n">
        <x:v>1.2564081</x:v>
      </x:c>
      <x:c r="G30" s="195" t="n">
        <x:v>3.3196068</x:v>
      </x:c>
    </x:row>
    <x:row r="31" ht="15" hidden="0" customHeight="1">
      <x:c r="A31" s="194" t="n">
        <x:v>43252</x:v>
      </x:c>
      <x:c r="B31" s="195" t="n">
        <x:v>103.96859</x:v>
      </x:c>
      <x:c r="C31" s="195" t="n">
        <x:v>137.02446</x:v>
      </x:c>
      <x:c r="D31" s="195" t="n">
        <x:v>56.640434</x:v>
      </x:c>
      <x:c r="E31" s="195" t="n">
        <x:v>1.1688901</x:v>
      </x:c>
      <x:c r="F31" s="195" t="n">
        <x:v>0.8921565</x:v>
      </x:c>
      <x:c r="G31" s="195" t="n">
        <x:v>2.6227748</x:v>
      </x:c>
    </x:row>
    <x:row r="32" ht="15" hidden="0" customHeight="1">
      <x:c r="A32" s="194" t="n">
        <x:v>43282</x:v>
      </x:c>
      <x:c r="B32" s="195" t="n">
        <x:v>110.02843</x:v>
      </x:c>
      <x:c r="C32" s="195" t="n">
        <x:v>129.10234</x:v>
      </x:c>
      <x:c r="D32" s="195" t="n">
        <x:v>84.40847</x:v>
      </x:c>
      <x:c r="E32" s="195" t="n">
        <x:v>1.0246339</x:v>
      </x:c>
      <x:c r="F32" s="195" t="n">
        <x:v>1.1441746</x:v>
      </x:c>
      <x:c r="G32" s="195" t="n">
        <x:v>2.6853948</x:v>
      </x:c>
    </x:row>
    <x:row r="33" ht="15" hidden="0" customHeight="1">
      <x:c r="A33" s="194" t="n">
        <x:v>43313</x:v>
      </x:c>
      <x:c r="B33" s="195" t="n">
        <x:v>112.741684</x:v>
      </x:c>
      <x:c r="C33" s="195" t="n">
        <x:v>145.11407</x:v>
      </x:c>
      <x:c r="D33" s="195" t="n">
        <x:v>68.57559</x:v>
      </x:c>
      <x:c r="E33" s="195" t="n">
        <x:v>0.96295965</x:v>
      </x:c>
      <x:c r="F33" s="195" t="n">
        <x:v>1.1645093</x:v>
      </x:c>
      <x:c r="G33" s="195" t="n">
        <x:v>2.808259</x:v>
      </x:c>
    </x:row>
    <x:row r="34" ht="15" hidden="0" customHeight="1">
      <x:c r="A34" s="194" t="n">
        <x:v>43344</x:v>
      </x:c>
      <x:c r="B34" s="195" t="n">
        <x:v>75.05391</x:v>
      </x:c>
      <x:c r="C34" s="195" t="n">
        <x:v>88.62364</x:v>
      </x:c>
      <x:c r="D34" s="195" t="n">
        <x:v>51.163918</x:v>
      </x:c>
      <x:c r="E34" s="195" t="n">
        <x:v>0.77278453</x:v>
      </x:c>
      <x:c r="F34" s="195" t="n">
        <x:v>0.8189836</x:v>
      </x:c>
      <x:c r="G34" s="195" t="n">
        <x:v>1.8185636</x:v>
      </x:c>
    </x:row>
    <x:row r="35" ht="15" hidden="0" customHeight="1">
      <x:c r="A35" s="194" t="n">
        <x:v>43374</x:v>
      </x:c>
      <x:c r="B35" s="195" t="n">
        <x:v>92.01648</x:v>
      </x:c>
      <x:c r="C35" s="195" t="n">
        <x:v>115.21215</x:v>
      </x:c>
      <x:c r="D35" s="195" t="n">
        <x:v>61.150475</x:v>
      </x:c>
      <x:c r="E35" s="195" t="n">
        <x:v>1.0380623</x:v>
      </x:c>
      <x:c r="F35" s="195" t="n">
        <x:v>1.0133466</x:v>
      </x:c>
      <x:c r="G35" s="195" t="n">
        <x:v>2.389191</x:v>
      </x:c>
    </x:row>
    <x:row r="36" ht="15" hidden="0" customHeight="1">
      <x:c r="A36" s="194" t="n">
        <x:v>43405</x:v>
      </x:c>
      <x:c r="B36" s="195" t="n">
        <x:v>80.407585</x:v>
      </x:c>
      <x:c r="C36" s="195" t="n">
        <x:v>105.166855</x:v>
      </x:c>
      <x:c r="D36" s="195" t="n">
        <x:v>47.40217</x:v>
      </x:c>
      <x:c r="E36" s="195" t="n">
        <x:v>0.66545165</x:v>
      </x:c>
      <x:c r="F36" s="195" t="n">
        <x:v>0.82651633</x:v>
      </x:c>
      <x:c r="G36" s="195" t="n">
        <x:v>1.9454923</x:v>
      </x:c>
    </x:row>
    <x:row r="37" ht="15" hidden="0" customHeight="1">
      <x:c r="A37" s="194" t="n">
        <x:v>43435</x:v>
      </x:c>
      <x:c r="B37" s="195" t="n">
        <x:v>90.607666</x:v>
      </x:c>
      <x:c r="C37" s="195" t="n">
        <x:v>106.0627</x:v>
      </x:c>
      <x:c r="D37" s="195" t="n">
        <x:v>66.24093</x:v>
      </x:c>
      <x:c r="E37" s="195" t="n">
        <x:v>0.8167097</x:v>
      </x:c>
      <x:c r="F37" s="195" t="n">
        <x:v>0.93405306</x:v>
      </x:c>
      <x:c r="G37" s="195" t="n">
        <x:v>2.2342174</x:v>
      </x:c>
    </x:row>
    <x:row r="38" ht="15" hidden="0" customHeight="1">
      <x:c r="A38" s="194" t="n">
        <x:v>43466</x:v>
      </x:c>
      <x:c r="B38" s="195" t="n">
        <x:v>87.4241</x:v>
      </x:c>
      <x:c r="C38" s="195" t="n">
        <x:v>112.98045</x:v>
      </x:c>
      <x:c r="D38" s="195" t="n">
        <x:v>55.73351</x:v>
      </x:c>
      <x:c r="E38" s="195" t="n">
        <x:v>0.92647684</x:v>
      </x:c>
      <x:c r="F38" s="195" t="n">
        <x:v>0.99872506</x:v>
      </x:c>
      <x:c r="G38" s="195" t="n">
        <x:v>2.2481937</x:v>
      </x:c>
    </x:row>
    <x:row r="39" ht="15" hidden="0" customHeight="1">
      <x:c r="A39" s="194" t="n">
        <x:v>43497</x:v>
      </x:c>
      <x:c r="B39" s="195" t="n">
        <x:v>96.80016</x:v>
      </x:c>
      <x:c r="C39" s="195" t="n">
        <x:v>127.85742</x:v>
      </x:c>
      <x:c r="D39" s="195" t="n">
        <x:v>57.5117</x:v>
      </x:c>
      <x:c r="E39" s="195" t="n">
        <x:v>1.0716646</x:v>
      </x:c>
      <x:c r="F39" s="195" t="n">
        <x:v>1.0575017</x:v>
      </x:c>
      <x:c r="G39" s="195" t="n">
        <x:v>2.4313097</x:v>
      </x:c>
    </x:row>
    <x:row r="40" ht="15" hidden="0" customHeight="1">
      <x:c r="A40" s="194" t="n">
        <x:v>43525</x:v>
      </x:c>
      <x:c r="B40" s="195" t="n">
        <x:v>82.32829</x:v>
      </x:c>
      <x:c r="C40" s="195" t="n">
        <x:v>90.7896</x:v>
      </x:c>
      <x:c r="D40" s="195" t="n">
        <x:v>66.641205</x:v>
      </x:c>
      <x:c r="E40" s="195" t="n">
        <x:v>0.7716693</x:v>
      </x:c>
      <x:c r="F40" s="195" t="n">
        <x:v>0.56311005</x:v>
      </x:c>
      <x:c r="G40" s="195" t="n">
        <x:v>1.8770335</x:v>
      </x:c>
    </x:row>
    <x:row r="41">
      <x:c r="A41" s="194" t="n">
        <x:v>43556</x:v>
      </x:c>
      <x:c r="B41" s="195" t="n">
        <x:v>79.25345</x:v>
      </x:c>
      <x:c r="C41" s="195" t="n">
        <x:v>95.4554</x:v>
      </x:c>
      <x:c r="D41" s="195" t="n">
        <x:v>57.51553</x:v>
      </x:c>
      <x:c r="E41" s="195" t="n">
        <x:v>0.55958456</x:v>
      </x:c>
      <x:c r="F41" s="195" t="n">
        <x:v>0.80580175</x:v>
      </x:c>
      <x:c r="G41" s="195" t="n">
        <x:v>1.938401</x:v>
      </x:c>
    </x:row>
    <x:row r="42">
      <x:c r="A42" s="194" t="n">
        <x:v>43586</x:v>
      </x:c>
      <x:c r="B42" s="195" t="n">
        <x:v>106.4719</x:v>
      </x:c>
      <x:c r="C42" s="195" t="n">
        <x:v>134.97252</x:v>
      </x:c>
      <x:c r="D42" s="195" t="n">
        <x:v>64.66344</x:v>
      </x:c>
      <x:c r="E42" s="195" t="n">
        <x:v>1.1733861</x:v>
      </x:c>
      <x:c r="F42" s="195" t="n">
        <x:v>0.9713745</x:v>
      </x:c>
      <x:c r="G42" s="195" t="n">
        <x:v>2.776584</x:v>
      </x:c>
    </x:row>
    <x:row r="43">
      <x:c r="A43" s="194" t="n">
        <x:v>43617</x:v>
      </x:c>
      <x:c r="B43" s="195" t="n">
        <x:v>106.588455</x:v>
      </x:c>
      <x:c r="C43" s="195" t="n">
        <x:v>142.65349</x:v>
      </x:c>
      <x:c r="D43" s="195" t="n">
        <x:v>53.42064</x:v>
      </x:c>
      <x:c r="E43" s="195" t="n">
        <x:v>1.2943308</x:v>
      </x:c>
      <x:c r="F43" s="195" t="n">
        <x:v>0.9017171</x:v>
      </x:c>
      <x:c r="G43" s="195" t="n">
        <x:v>2.8691</x:v>
      </x:c>
    </x:row>
    <x:row r="44">
      <x:c r="A44" s="194" t="n">
        <x:v>43647</x:v>
      </x:c>
      <x:c r="B44" s="195" t="n">
        <x:v>93.521255</x:v>
      </x:c>
      <x:c r="C44" s="195" t="n">
        <x:v>126.93078</x:v>
      </x:c>
      <x:c r="D44" s="195" t="n">
        <x:v>47.418858</x:v>
      </x:c>
      <x:c r="E44" s="195" t="n">
        <x:v>0.7565702</x:v>
      </x:c>
      <x:c r="F44" s="195" t="n">
        <x:v>0.8008141</x:v>
      </x:c>
      <x:c r="G44" s="195" t="n">
        <x:v>2.375896</x:v>
      </x:c>
    </x:row>
    <x:row r="45">
      <x:c r="A45" s="194" t="n">
        <x:v>43678</x:v>
      </x:c>
      <x:c r="B45" s="195" t="n">
        <x:v>103.40442</x:v>
      </x:c>
      <x:c r="C45" s="195" t="n">
        <x:v>124.72542</x:v>
      </x:c>
      <x:c r="D45" s="195" t="n">
        <x:v>70.09744</x:v>
      </x:c>
      <x:c r="E45" s="195" t="n">
        <x:v>1.2167065</x:v>
      </x:c>
      <x:c r="F45" s="195" t="n">
        <x:v>0.8362092</x:v>
      </x:c>
      <x:c r="G45" s="195" t="n">
        <x:v>2.7475445</x:v>
      </x:c>
    </x:row>
    <x:row r="46">
      <x:c r="A46" s="194" t="n">
        <x:v>43709</x:v>
      </x:c>
      <x:c r="B46" s="195" t="n">
        <x:v>90.36799</x:v>
      </x:c>
      <x:c r="C46" s="195" t="n">
        <x:v>110.87095</x:v>
      </x:c>
      <x:c r="D46" s="195" t="n">
        <x:v>67.810234</x:v>
      </x:c>
      <x:c r="E46" s="195" t="n">
        <x:v>0.7263386</x:v>
      </x:c>
      <x:c r="F46" s="195" t="n">
        <x:v>0.5801851</x:v>
      </x:c>
      <x:c r="G46" s="195" t="n">
        <x:v>2.3340273</x:v>
      </x:c>
    </x:row>
    <x:row r="47">
      <x:c r="A47" s="194" t="n">
        <x:v>43739</x:v>
      </x:c>
      <x:c r="B47" s="195" t="n">
        <x:v>97.83673</x:v>
      </x:c>
      <x:c r="C47" s="195" t="n">
        <x:v>121.31104</x:v>
      </x:c>
      <x:c r="D47" s="195" t="n">
        <x:v>69.96658</x:v>
      </x:c>
      <x:c r="E47" s="195" t="n">
        <x:v>0.6726646</x:v>
      </x:c>
      <x:c r="F47" s="195" t="n">
        <x:v>1.0720592</x:v>
      </x:c>
      <x:c r="G47" s="195" t="n">
        <x:v>2.4678383</x:v>
      </x:c>
    </x:row>
    <x:row r="48">
      <x:c r="A48" s="194" t="n">
        <x:v>43770</x:v>
      </x:c>
      <x:c r="B48" s="195" t="n">
        <x:v>73.078384</x:v>
      </x:c>
      <x:c r="C48" s="195" t="n">
        <x:v>84.5873</x:v>
      </x:c>
      <x:c r="D48" s="195" t="n">
        <x:v>53.03253</x:v>
      </x:c>
      <x:c r="E48" s="195" t="n">
        <x:v>0.60299295</x:v>
      </x:c>
      <x:c r="F48" s="195" t="n">
        <x:v>0.4709507</x:v>
      </x:c>
      <x:c r="G48" s="195" t="n">
        <x:v>1.7385564</x:v>
      </x:c>
    </x:row>
    <x:row r="49">
      <x:c r="A49" s="194" t="n">
        <x:v>43800</x:v>
      </x:c>
      <x:c r="B49" s="195" t="n">
        <x:v>74.27989</x:v>
      </x:c>
      <x:c r="C49" s="195" t="n">
        <x:v>80.11077</x:v>
      </x:c>
      <x:c r="D49" s="195" t="n">
        <x:v>63.331352</x:v>
      </x:c>
      <x:c r="E49" s="195" t="n">
        <x:v>0.6018833</x:v>
      </x:c>
      <x:c r="F49" s="195" t="n">
        <x:v>0.58246773</x:v>
      </x:c>
      <x:c r="G49" s="195" t="n">
        <x:v>1.7231337</x:v>
      </x:c>
    </x:row>
    <x:row r="50">
      <x:c r="A50" s="194" t="n">
        <x:v>43831</x:v>
      </x:c>
      <x:c r="B50" s="195" t="n">
        <x:v>138.42094</x:v>
      </x:c>
      <x:c r="C50" s="195" t="n">
        <x:v>190.84436</x:v>
      </x:c>
      <x:c r="D50" s="195" t="n">
        <x:v>81.65094</x:v>
      </x:c>
      <x:c r="E50" s="195" t="n">
        <x:v>1.2574455</x:v>
      </x:c>
      <x:c r="F50" s="195" t="n">
        <x:v>1.1780277</x:v>
      </x:c>
      <x:c r="G50" s="195" t="n">
        <x:v>3.6223252</x:v>
      </x:c>
    </x:row>
    <x:row r="51">
      <x:c r="A51" s="194" t="n">
        <x:v>43862</x:v>
      </x:c>
      <x:c r="B51" s="195" t="n">
        <x:v>75.95556</x:v>
      </x:c>
      <x:c r="C51" s="195" t="n">
        <x:v>87.16245</x:v>
      </x:c>
      <x:c r="D51" s="195" t="n">
        <x:v>56.68605</x:v>
      </x:c>
      <x:c r="E51" s="195" t="n">
        <x:v>0.87382966</x:v>
      </x:c>
      <x:c r="F51" s="195" t="n">
        <x:v>0.6598306</x:v>
      </x:c>
      <x:c r="G51" s="195" t="n">
        <x:v>1.5158271</x:v>
      </x:c>
    </x:row>
    <x:row r="52">
      <x:c r="A52" s="194" t="n">
        <x:v>43891</x:v>
      </x:c>
      <x:c r="B52" s="195" t="n">
        <x:v>81.54003</x:v>
      </x:c>
      <x:c r="C52" s="195" t="n">
        <x:v>97.09007</x:v>
      </x:c>
      <x:c r="D52" s="195" t="n">
        <x:v>62.90299</x:v>
      </x:c>
      <x:c r="E52" s="195" t="n">
        <x:v>0.67128444</x:v>
      </x:c>
      <x:c r="F52" s="195" t="n">
        <x:v>0.4275697</x:v>
      </x:c>
      <x:c r="G52" s="195" t="n">
        <x:v>1.7102787</x:v>
      </x:c>
    </x:row>
    <x:row r="53">
      <x:c r="A53" s="194" t="n">
        <x:v>43922</x:v>
      </x:c>
      <x:c r="B53" s="195" t="n">
        <x:v>69.3394</x:v>
      </x:c>
      <x:c r="C53" s="195" t="n">
        <x:v>81.760826</x:v>
      </x:c>
      <x:c r="D53" s="195" t="n">
        <x:v>47.591232</x:v>
      </x:c>
      <x:c r="E53" s="195" t="n">
        <x:v>0.6035003</x:v>
      </x:c>
      <x:c r="F53" s="195" t="n">
        <x:v>0.35281557</x:v>
      </x:c>
      <x:c r="G53" s="195" t="n">
        <x:v>1.5319623</x:v>
      </x:c>
    </x:row>
    <x:row r="54">
      <x:c r="A54" s="194" t="n">
        <x:v>43952</x:v>
      </x:c>
      <x:c r="B54" s="195" t="n">
        <x:v>68.50722</x:v>
      </x:c>
      <x:c r="C54" s="195" t="n">
        <x:v>83.35546</x:v>
      </x:c>
      <x:c r="D54" s="195" t="n">
        <x:v>42.29556</x:v>
      </x:c>
      <x:c r="E54" s="195" t="n">
        <x:v>0.7615357</x:v>
      </x:c>
      <x:c r="F54" s="195" t="n">
        <x:v>0.29289833</x:v>
      </x:c>
      <x:c r="G54" s="195" t="n">
        <x:v>1.7078227</x:v>
      </x:c>
    </x:row>
    <x:row r="55">
      <x:c r="A55" s="194" t="n">
        <x:v>43983</x:v>
      </x:c>
      <x:c r="B55" s="195" t="n">
        <x:v>71.22786</x:v>
      </x:c>
      <x:c r="C55" s="195" t="n">
        <x:v>85.86661</x:v>
      </x:c>
      <x:c r="D55" s="195" t="n">
        <x:v>49.760887</x:v>
      </x:c>
      <x:c r="E55" s="195" t="n">
        <x:v>0.7705796</x:v>
      </x:c>
      <x:c r="F55" s="195" t="n">
        <x:v>0.48911038</x:v>
      </x:c>
      <x:c r="G55" s="195" t="n">
        <x:v>1.6519011</x:v>
      </x:c>
    </x:row>
    <x:row r="56">
      <x:c r="A56" s="194" t="n">
        <x:v>44013</x:v>
      </x:c>
      <x:c r="B56" s="195" t="n">
        <x:v>66.47328</x:v>
      </x:c>
      <x:c r="C56" s="195" t="n">
        <x:v>88.737976</x:v>
      </x:c>
      <x:c r="D56" s="195" t="n">
        <x:v>36.252083</x:v>
      </x:c>
      <x:c r="E56" s="195" t="n">
        <x:v>0.92713445</x:v>
      </x:c>
      <x:c r="F56" s="195" t="n">
        <x:v>0.40055808</x:v>
      </x:c>
      <x:c r="G56" s="195" t="n">
        <x:v>1.5392232</x:v>
      </x:c>
    </x:row>
    <x:row r="57">
      <x:c r="A57" s="194" t="n">
        <x:v>44044</x:v>
      </x:c>
      <x:c r="B57" s="195" t="n">
        <x:v>65.46605</x:v>
      </x:c>
      <x:c r="C57" s="195" t="n">
        <x:v>90.00912</x:v>
      </x:c>
      <x:c r="D57" s="195" t="n">
        <x:v>28.454628</x:v>
      </x:c>
      <x:c r="E57" s="195" t="n">
        <x:v>0.66343117</x:v>
      </x:c>
      <x:c r="F57" s="195" t="n">
        <x:v>0.5120442</x:v>
      </x:c>
      <x:c r="G57" s="195" t="n">
        <x:v>1.4559865</x:v>
      </x:c>
    </x:row>
    <x:row r="58">
      <x:c r="A58" s="194" t="n">
        <x:v>44075</x:v>
      </x:c>
      <x:c r="B58" s="195" t="n">
        <x:v>80.37738</x:v>
      </x:c>
      <x:c r="C58" s="195" t="n">
        <x:v>101.257645</x:v>
      </x:c>
      <x:c r="D58" s="195" t="n">
        <x:v>49.51808</x:v>
      </x:c>
      <x:c r="E58" s="195" t="n">
        <x:v>0.86036927</x:v>
      </x:c>
      <x:c r="F58" s="195" t="n">
        <x:v>0.9320667</x:v>
      </x:c>
      <x:c r="G58" s="195" t="n">
        <x:v>1.698333</x:v>
      </x:c>
    </x:row>
    <x:row r="59">
      <x:c r="A59" s="194" t="n">
        <x:v>44105</x:v>
      </x:c>
      <x:c r="B59" s="195" t="n">
        <x:v>76.08317</x:v>
      </x:c>
      <x:c r="C59" s="195" t="n">
        <x:v>97.65258</x:v>
      </x:c>
      <x:c r="D59" s="195" t="n">
        <x:v>42.681442</x:v>
      </x:c>
      <x:c r="E59" s="195" t="n">
        <x:v>0.64959717</x:v>
      </x:c>
      <x:c r="F59" s="195" t="n">
        <x:v>0.852069</x:v>
      </x:c>
      <x:c r="G59" s="195" t="n">
        <x:v>1.6619564</x:v>
      </x:c>
    </x:row>
    <x:row r="60">
      <x:c r="A60" s="194" t="n">
        <x:v>44136</x:v>
      </x:c>
      <x:c r="B60" s="195" t="n">
        <x:v>70.06747</x:v>
      </x:c>
      <x:c r="C60" s="195" t="n">
        <x:v>79.036446</x:v>
      </x:c>
      <x:c r="D60" s="195" t="n">
        <x:v>62.313946</x:v>
      </x:c>
      <x:c r="E60" s="195" t="n">
        <x:v>0.4175653</x:v>
      </x:c>
      <x:c r="F60" s="195" t="n">
        <x:v>0.4542743</x:v>
      </x:c>
      <x:c r="G60" s="195" t="n">
        <x:v>1.312348</x:v>
      </x:c>
    </x:row>
    <x:row r="61">
      <x:c r="A61" s="194" t="n">
        <x:v>44166</x:v>
      </x:c>
      <x:c r="B61" s="195" t="n">
        <x:v>64.06729</x:v>
      </x:c>
      <x:c r="C61" s="195" t="n">
        <x:v>86.81528</x:v>
      </x:c>
      <x:c r="D61" s="195" t="n">
        <x:v>31.744429</x:v>
      </x:c>
      <x:c r="E61" s="195" t="n">
        <x:v>0.59490085</x:v>
      </x:c>
      <x:c r="F61" s="195" t="n">
        <x:v>0.5760151</x:v>
      </x:c>
      <x:c r="G61" s="195" t="n">
        <x:v>1.4353163</x:v>
      </x:c>
    </x:row>
    <x:row r="62">
      <x:c r="A62" s="194" t="n">
        <x:v>44197</x:v>
      </x:c>
      <x:c r="B62" s="195" t="n">
        <x:v>77.4187</x:v>
      </x:c>
      <x:c r="C62" s="195" t="n">
        <x:v>98.475624</x:v>
      </x:c>
      <x:c r="D62" s="195" t="n">
        <x:v>48.287487</x:v>
      </x:c>
      <x:c r="E62" s="195" t="n">
        <x:v>0.77402806</x:v>
      </x:c>
      <x:c r="F62" s="195" t="n">
        <x:v>0.5926843</x:v>
      </x:c>
      <x:c r="G62" s="195" t="n">
        <x:v>1.9018974</x:v>
      </x:c>
    </x:row>
    <x:row r="63">
      <x:c r="A63" s="194" t="n">
        <x:v>44228</x:v>
      </x:c>
      <x:c r="B63" s="195" t="n">
        <x:v>73.9568</x:v>
      </x:c>
      <x:c r="C63" s="195" t="n">
        <x:v>94.48356</x:v>
      </x:c>
      <x:c r="D63" s="195" t="n">
        <x:v>46.32678</x:v>
      </x:c>
      <x:c r="E63" s="195" t="n">
        <x:v>0.7152523</x:v>
      </x:c>
      <x:c r="F63" s="195" t="n">
        <x:v>0.5122753</x:v>
      </x:c>
      <x:c r="G63" s="195" t="n">
        <x:v>1.5754881</x:v>
      </x:c>
    </x:row>
    <x:row r="64">
      <x:c r="A64" s="194" t="n">
        <x:v>44256</x:v>
      </x:c>
      <x:c r="B64" s="195" t="n">
        <x:v>78.61877</x:v>
      </x:c>
      <x:c r="C64" s="195" t="n">
        <x:v>100.85202</x:v>
      </x:c>
      <x:c r="D64" s="195" t="n">
        <x:v>49.41804</x:v>
      </x:c>
      <x:c r="E64" s="195" t="n">
        <x:v>0.83842796</x:v>
      </x:c>
      <x:c r="F64" s="195" t="n">
        <x:v>0.6331878</x:v>
      </x:c>
      <x:c r="G64" s="195" t="n">
        <x:v>1.7598253</x:v>
      </x:c>
    </x:row>
    <x:row r="65">
      <x:c r="A65" s="194" t="n">
        <x:v>44287</x:v>
      </x:c>
      <x:c r="B65" s="195" t="n">
        <x:v>88.16622</x:v>
      </x:c>
      <x:c r="C65" s="195" t="n">
        <x:v>109.58696</x:v>
      </x:c>
      <x:c r="D65" s="195" t="n">
        <x:v>67.873795</x:v>
      </x:c>
      <x:c r="E65" s="195" t="n">
        <x:v>0.7356022</x:v>
      </x:c>
      <x:c r="F65" s="195" t="n">
        <x:v>1.1965176</x:v>
      </x:c>
      <x:c r="G65" s="195" t="n">
        <x:v>1.9786768</x:v>
      </x:c>
    </x:row>
    <x:row r="66">
      <x:c r="A66" s="194" t="n">
        <x:v>44317</x:v>
      </x:c>
      <x:c r="B66" s="195" t="n">
        <x:v>93.00713</x:v>
      </x:c>
      <x:c r="C66" s="195" t="n">
        <x:v>120.78284</x:v>
      </x:c>
      <x:c r="D66" s="195" t="n">
        <x:v>52.626114</x:v>
      </x:c>
      <x:c r="E66" s="195" t="n">
        <x:v>0.6360745</x:v>
      </x:c>
      <x:c r="F66" s="195" t="n">
        <x:v>0.82689685</x:v>
      </x:c>
      <x:c r="G66" s="195" t="n">
        <x:v>2.0172648</x:v>
      </x:c>
    </x:row>
    <x:row r="67">
      <x:c r="A67" s="194" t="n">
        <x:v>44348</x:v>
      </x:c>
      <x:c r="B67" s="195" t="n">
        <x:v>74.12712</x:v>
      </x:c>
      <x:c r="C67" s="195" t="n">
        <x:v>92.54655</x:v>
      </x:c>
      <x:c r="D67" s="195" t="n">
        <x:v>46.34864</x:v>
      </x:c>
      <x:c r="E67" s="195" t="n">
        <x:v>0.72874117</x:v>
      </x:c>
      <x:c r="F67" s="195" t="n">
        <x:v>0.83085775</x:v>
      </x:c>
      <x:c r="G67" s="195" t="n">
        <x:v>1.6988488</x:v>
      </x:c>
    </x:row>
    <x:row r="68">
      <x:c r="A68" s="194" t="n">
        <x:v>44378</x:v>
      </x:c>
      <x:c r="B68" s="195" t="n">
        <x:v>58.42077</x:v>
      </x:c>
      <x:c r="C68" s="195" t="n">
        <x:v>64.036316</x:v>
      </x:c>
      <x:c r="D68" s="195" t="n">
        <x:v>50.71583</x:v>
      </x:c>
      <x:c r="E68" s="195" t="n">
        <x:v>0.5243345</x:v>
      </x:c>
      <x:c r="F68" s="195" t="n">
        <x:v>0.48848256</x:v>
      </x:c>
      <x:c r="G68" s="195" t="n">
        <x:v>1.2503362</x:v>
      </x:c>
    </x:row>
    <x:row r="69">
      <x:c r="A69" s="194" t="n">
        <x:v>44409</x:v>
      </x:c>
      <x:c r="B69" s="195" t="n">
        <x:v>89.48655</x:v>
      </x:c>
      <x:c r="C69" s="195" t="n">
        <x:v>103.20159</x:v>
      </x:c>
      <x:c r="D69" s="195" t="n">
        <x:v>76.48286</x:v>
      </x:c>
      <x:c r="E69" s="195" t="n">
        <x:v>0.5889452</x:v>
      </x:c>
      <x:c r="F69" s="195" t="n">
        <x:v>0.6854936</x:v>
      </x:c>
      <x:c r="G69" s="195" t="n">
        <x:v>2.1482017</x:v>
      </x:c>
    </x:row>
    <x:row r="70">
      <x:c r="A70" s="194" t="n">
        <x:v>44440</x:v>
      </x:c>
      <x:c r="B70" s="195" t="n">
        <x:v>80.69697</x:v>
      </x:c>
      <x:c r="C70" s="195" t="n">
        <x:v>92.04732</x:v>
      </x:c>
      <x:c r="D70" s="195" t="n">
        <x:v>67.94028</x:v>
      </x:c>
      <x:c r="E70" s="195" t="n">
        <x:v>0.83801496</x:v>
      </x:c>
      <x:c r="F70" s="195" t="n">
        <x:v>0.60393256</x:v>
      </x:c>
      <x:c r="G70" s="195" t="n">
        <x:v>1.9194757</x:v>
      </x:c>
    </x:row>
    <x:row r="71">
      <x:c r="A71" s="194" t="n">
        <x:v>44470</x:v>
      </x:c>
      <x:c r="B71" s="195" t="n">
        <x:v>79.029236</x:v>
      </x:c>
      <x:c r="C71" s="195" t="n">
        <x:v>93.80803</x:v>
      </x:c>
      <x:c r="D71" s="195" t="n">
        <x:v>61.149113</x:v>
      </x:c>
      <x:c r="E71" s="195" t="n">
        <x:v>0.7617511</x:v>
      </x:c>
      <x:c r="F71" s="195" t="n">
        <x:v>0.54666847</x:v>
      </x:c>
      <x:c r="G71" s="195" t="n">
        <x:v>1.6444863</x:v>
      </x:c>
    </x:row>
    <x:row r="72">
      <x:c r="A72" s="194" t="n">
        <x:v>44501</x:v>
      </x:c>
      <x:c r="B72" s="195" t="n">
        <x:v>86.569145</x:v>
      </x:c>
      <x:c r="C72" s="195" t="n">
        <x:v>121.50095</x:v>
      </x:c>
      <x:c r="D72" s="195" t="n">
        <x:v>39.74269</x:v>
      </x:c>
      <x:c r="E72" s="195" t="n">
        <x:v>0.7960199</x:v>
      </x:c>
      <x:c r="F72" s="195" t="n">
        <x:v>1.2129827</x:v>
      </x:c>
      <x:c r="G72" s="195" t="n">
        <x:v>1.862118</x:v>
      </x:c>
    </x:row>
    <x:row r="73">
      <x:c r="A73" s="194" t="n">
        <x:v>44531</x:v>
      </x:c>
      <x:c r="B73" s="195" t="n">
        <x:v>105.34542</x:v>
      </x:c>
      <x:c r="C73" s="195" t="n">
        <x:v>155.31026</x:v>
      </x:c>
      <x:c r="D73" s="195" t="n">
        <x:v>47.654934</x:v>
      </x:c>
      <x:c r="E73" s="195" t="n">
        <x:v>0.8639842</x:v>
      </x:c>
      <x:c r="F73" s="195" t="n">
        <x:v>1.7230314</x:v>
      </x:c>
      <x:c r="G73" s="195" t="n">
        <x:v>2.4784005</x:v>
      </x:c>
    </x:row>
    <x:row r="74">
      <x:c r="A74" s="194" t="n">
        <x:v>44562</x:v>
      </x:c>
      <x:c r="B74" s="195" t="n">
        <x:v>138.67499</x:v>
      </x:c>
      <x:c r="C74" s="195" t="n">
        <x:v>199.48752</x:v>
      </x:c>
      <x:c r="D74" s="195" t="n">
        <x:v>63.25153</x:v>
      </x:c>
      <x:c r="E74" s="195" t="n">
        <x:v>0.7950359</x:v>
      </x:c>
      <x:c r="F74" s="195" t="n">
        <x:v>2.7777777</x:v>
      </x:c>
      <x:c r="G74" s="195" t="n">
        <x:v>3.3158813</x:v>
      </x:c>
    </x:row>
    <x:row r="75">
      <x:c r="A75" s="194" t="n">
        <x:v>44593</x:v>
      </x:c>
      <x:c r="B75" s="195" t="n">
        <x:v>216.15901</x:v>
      </x:c>
      <x:c r="C75" s="195" t="n">
        <x:v>320.60587</x:v>
      </x:c>
      <x:c r="D75" s="195" t="n">
        <x:v>105.21831</x:v>
      </x:c>
      <x:c r="E75" s="195" t="n">
        <x:v>1.5000503</x:v>
      </x:c>
      <x:c r="F75" s="195" t="n">
        <x:v>5.3961544</x:v>
      </x:c>
      <x:c r="G75" s="195" t="n">
        <x:v>4.8776803</x:v>
      </x:c>
    </x:row>
    <x:row r="76">
      <x:c r="A76" s="194" t="n">
        <x:v>44621</x:v>
      </x:c>
      <x:c r="B76" s="195" t="n">
        <x:v>318.95493</x:v>
      </x:c>
      <x:c r="C76" s="195" t="n">
        <x:v>403.71362</x:v>
      </x:c>
      <x:c r="D76" s="195" t="n">
        <x:v>250.95586</x:v>
      </x:c>
      <x:c r="E76" s="195" t="n">
        <x:v>2.474723</x:v>
      </x:c>
      <x:c r="F76" s="195" t="n">
        <x:v>8.801155</x:v>
      </x:c>
      <x:c r="G76" s="195" t="n">
        <x:v>6.899374</x:v>
      </x:c>
    </x:row>
    <x:row r="77">
      <x:c r="A77" s="194" t="n">
        <x:v>44652</x:v>
      </x:c>
      <x:c r="B77" s="195" t="n">
        <x:v>191.1431</x:v>
      </x:c>
      <x:c r="C77" s="195" t="n">
        <x:v>221.91055</x:v>
      </x:c>
      <x:c r="D77" s="195" t="n">
        <x:v>184.41782</x:v>
      </x:c>
      <x:c r="E77" s="195" t="n">
        <x:v>1.1256269</x:v>
      </x:c>
      <x:c r="F77" s="195" t="n">
        <x:v>4.8291144</x:v>
      </x:c>
      <x:c r="G77" s="195" t="n">
        <x:v>3.9659395</x:v>
      </x:c>
    </x:row>
    <x:row r="78">
      <x:c r="A78" s="194" t="n">
        <x:v>44682</x:v>
      </x:c>
      <x:c r="B78" s="195" t="n">
        <x:v>142.25848</x:v>
      </x:c>
      <x:c r="C78" s="195" t="n">
        <x:v>166.42456</x:v>
      </x:c>
      <x:c r="D78" s="195" t="n">
        <x:v>140.13734</x:v>
      </x:c>
      <x:c r="E78" s="195" t="n">
        <x:v>1.0073001</x:v>
      </x:c>
      <x:c r="F78" s="195" t="n">
        <x:v>3.19167</x:v>
      </x:c>
      <x:c r="G78" s="195" t="n">
        <x:v>3.146398</x:v>
      </x:c>
    </x:row>
    <x:row r="79">
      <x:c r="A79" s="194" t="n">
        <x:v>44713</x:v>
      </x:c>
      <x:c r="B79" s="195" t="n">
        <x:v>130.70732</x:v>
      </x:c>
      <x:c r="C79" s="195" t="n">
        <x:v>160.72696</x:v>
      </x:c>
      <x:c r="D79" s="195" t="n">
        <x:v>114.81469</x:v>
      </x:c>
      <x:c r="E79" s="195" t="n">
        <x:v>0.8535437</x:v>
      </x:c>
      <x:c r="F79" s="195" t="n">
        <x:v>3.0256653</x:v>
      </x:c>
      <x:c r="G79" s="195" t="n">
        <x:v>2.8785024</x:v>
      </x:c>
    </x:row>
    <x:row r="80">
      <x:c r="A80" s="194" t="n">
        <x:v>44743</x:v>
      </x:c>
      <x:c r="B80" s="195" t="n">
        <x:v>117.176765</x:v>
      </x:c>
      <x:c r="C80" s="195" t="n">
        <x:v>141.24294</x:v>
      </x:c>
      <x:c r="D80" s="195" t="n">
        <x:v>97.83873</x:v>
      </x:c>
      <x:c r="E80" s="195" t="n">
        <x:v>0.8132915</x:v>
      </x:c>
      <x:c r="F80" s="195" t="n">
        <x:v>2.6954803</x:v>
      </x:c>
      <x:c r="G80" s="195" t="n">
        <x:v>2.5851052</x:v>
      </x:c>
    </x:row>
    <x:row r="81">
      <x:c r="A81" s="194" t="n">
        <x:v>44774</x:v>
      </x:c>
      <x:c r="B81" s="195" t="n">
        <x:v>132.86322</x:v>
      </x:c>
      <x:c r="C81" s="195" t="n">
        <x:v>159.38303</x:v>
      </x:c>
      <x:c r="D81" s="195" t="n">
        <x:v>111.15858</x:v>
      </x:c>
      <x:c r="E81" s="195" t="n">
        <x:v>1.2375652</x:v>
      </x:c>
      <x:c r="F81" s="195" t="n">
        <x:v>2.4159167</x:v>
      </x:c>
      <x:c r="G81" s="195" t="n">
        <x:v>3.1324017</x:v>
      </x:c>
    </x:row>
    <x:row r="82">
      <x:c r="A82" s="194" t="n">
        <x:v>44805</x:v>
      </x:c>
      <x:c r="B82" s="195" t="n">
        <x:v>131.98587</x:v>
      </x:c>
      <x:c r="C82" s="195" t="n">
        <x:v>170.3118</x:v>
      </x:c>
      <x:c r="D82" s="195" t="n">
        <x:v>108.628075</x:v>
      </x:c>
      <x:c r="E82" s="195" t="n">
        <x:v>1.1369661</x:v>
      </x:c>
      <x:c r="F82" s="195" t="n">
        <x:v>3.0220914</x:v>
      </x:c>
      <x:c r="G82" s="195" t="n">
        <x:v>2.927835</x:v>
      </x:c>
    </x:row>
    <x:row r="83">
      <x:c r="A83" s="194" t="n">
        <x:v>44835</x:v>
      </x:c>
      <x:c r="B83" s="195" t="n">
        <x:v>143.16241</x:v>
      </x:c>
      <x:c r="C83" s="195" t="n">
        <x:v>185.2843</x:v>
      </x:c>
      <x:c r="D83" s="195" t="n">
        <x:v>112.675026</x:v>
      </x:c>
      <x:c r="E83" s="195" t="n">
        <x:v>1.1814154</x:v>
      </x:c>
      <x:c r="F83" s="195" t="n">
        <x:v>3.3852096</x:v>
      </x:c>
      <x:c r="G83" s="195" t="n">
        <x:v>3.4022493</x:v>
      </x:c>
    </x:row>
    <x:row r="84">
      <x:c r="A84" s="194" t="n">
        <x:v>44866</x:v>
      </x:c>
      <x:c r="B84" s="195" t="n">
        <x:v>116.716286</x:v>
      </x:c>
      <x:c r="C84" s="195" t="n">
        <x:v>143.04655</x:v>
      </x:c>
      <x:c r="D84" s="195" t="n">
        <x:v>98.68261</x:v>
      </x:c>
      <x:c r="E84" s="195" t="n">
        <x:v>1.1175096</x:v>
      </x:c>
      <x:c r="F84" s="195" t="n">
        <x:v>2.4630823</x:v>
      </x:c>
      <x:c r="G84" s="195" t="n">
        <x:v>2.696847</x:v>
      </x:c>
    </x:row>
    <x:row r="85">
      <x:c r="A85" s="194" t="n">
        <x:v>44896</x:v>
      </x:c>
      <x:c r="B85" s="195" t="n">
        <x:v>111.19594</x:v>
      </x:c>
      <x:c r="C85" s="195" t="n">
        <x:v>119.13853</x:v>
      </x:c>
      <x:c r="D85" s="195" t="n">
        <x:v>109.77222</x:v>
      </x:c>
      <x:c r="E85" s="195" t="n">
        <x:v>0.87409335</x:v>
      </x:c>
      <x:c r="F85" s="195" t="n">
        <x:v>2.2813218</x:v>
      </x:c>
      <x:c r="G85" s="195" t="n">
        <x:v>2.5540884</x:v>
      </x:c>
    </x:row>
    <x:row r="86">
      <x:c r="A86" s="194" t="n">
        <x:v>44927</x:v>
      </x:c>
      <x:c r="B86" s="195" t="n">
        <x:v>104.267044</x:v>
      </x:c>
      <x:c r="C86" s="195" t="n">
        <x:v>113.021355</x:v>
      </x:c>
      <x:c r="D86" s="195" t="n">
        <x:v>94.62994</x:v>
      </x:c>
      <x:c r="E86" s="195" t="n">
        <x:v>0.66969925</x:v>
      </x:c>
      <x:c r="F86" s="195" t="n">
        <x:v>1.9711903</x:v>
      </x:c>
      <x:c r="G86" s="195" t="n">
        <x:v>2.4071267</x:v>
      </x:c>
    </x:row>
    <x:row r="87">
      <x:c r="A87" s="194" t="n">
        <x:v>44958</x:v>
      </x:c>
      <x:c r="B87" s="195" t="n">
        <x:v>120.99438</x:v>
      </x:c>
      <x:c r="C87" s="195" t="n">
        <x:v>147.05016</x:v>
      </x:c>
      <x:c r="D87" s="195" t="n">
        <x:v>103.028755</x:v>
      </x:c>
      <x:c r="E87" s="195" t="n">
        <x:v>1.4876584</x:v>
      </x:c>
      <x:c r="F87" s="195" t="n">
        <x:v>2.3015344</x:v>
      </x:c>
      <x:c r="G87" s="195" t="n">
        <x:v>2.9753168</x:v>
      </x:c>
    </x:row>
    <x:row r="88">
      <x:c r="A88" s="194" t="n">
        <x:v>44986</x:v>
      </x:c>
      <x:c r="B88" s="195" t="n">
        <x:v>105.379974</x:v>
      </x:c>
      <x:c r="C88" s="195" t="n">
        <x:v>125.085846</x:v>
      </x:c>
      <x:c r="D88" s="195" t="n">
        <x:v>86.75404</x:v>
      </x:c>
      <x:c r="E88" s="195" t="n">
        <x:v>1.4093643</x:v>
      </x:c>
      <x:c r="F88" s="195" t="n">
        <x:v>2.046232</x:v>
      </x:c>
      <x:c r="G88" s="195" t="n">
        <x:v>2.6241302</x:v>
      </x:c>
    </x:row>
    <x:row r="89">
      <x:c r="A89" s="194" t="n">
        <x:v>45017</x:v>
      </x:c>
      <x:c r="B89" s="195" t="n">
        <x:v>106.809654</x:v>
      </x:c>
      <x:c r="C89" s="195" t="n">
        <x:v>118.166824</x:v>
      </x:c>
      <x:c r="D89" s="195" t="n">
        <x:v>93.24841</x:v>
      </x:c>
      <x:c r="E89" s="195" t="n">
        <x:v>1.225681</x:v>
      </x:c>
      <x:c r="F89" s="195" t="n">
        <x:v>1.8093386</x:v>
      </x:c>
      <x:c r="G89" s="195" t="n">
        <x:v>2.4448767</x:v>
      </x:c>
    </x:row>
    <x:row r="90">
      <x:c r="A90" s="194" t="n">
        <x:v>45047</x:v>
      </x:c>
      <x:c r="B90" s="195" t="n">
        <x:v>108.46768</x:v>
      </x:c>
      <x:c r="C90" s="195" t="n">
        <x:v>122.471504</x:v>
      </x:c>
      <x:c r="D90" s="195" t="n">
        <x:v>92.75944</x:v>
      </x:c>
      <x:c r="E90" s="195" t="n">
        <x:v>1.0844542</x:v>
      </x:c>
      <x:c r="F90" s="195" t="n">
        <x:v>1.9023385</x:v>
      </x:c>
      <x:c r="G90" s="195" t="n">
        <x:v>2.508179</x:v>
      </x:c>
    </x:row>
    <x:row r="91">
      <x:c r="A91" s="194" t="n">
        <x:v>45078</x:v>
      </x:c>
      <x:c r="B91" s="195" t="n">
        <x:v>110.528946</x:v>
      </x:c>
      <x:c r="C91" s="195" t="n">
        <x:v>129.40652</x:v>
      </x:c>
      <x:c r="D91" s="195" t="n">
        <x:v>95.27891</x:v>
      </x:c>
      <x:c r="E91" s="195" t="n">
        <x:v>1.0581686</x:v>
      </x:c>
      <x:c r="F91" s="195" t="n">
        <x:v>2.2142026</x:v>
      </x:c>
      <x:c r="G91" s="195" t="n">
        <x:v>2.458866</x:v>
      </x:c>
    </x:row>
    <x:row r="92">
      <x:c r="A92" s="194" t="n">
        <x:v>45108</x:v>
      </x:c>
      <x:c r="B92" s="195" t="n">
        <x:v>107.448784</x:v>
      </x:c>
      <x:c r="C92" s="195" t="n">
        <x:v>123.80915</x:v>
      </x:c>
      <x:c r="D92" s="195" t="n">
        <x:v>91.768005</x:v>
      </x:c>
      <x:c r="E92" s="195" t="n">
        <x:v>0.97491306</x:v>
      </x:c>
      <x:c r="F92" s="195" t="n">
        <x:v>2.0802286</x:v>
      </x:c>
      <x:c r="G92" s="195" t="n">
        <x:v>2.483855</x:v>
      </x:c>
    </x:row>
    <x:row r="93">
      <x:c r="A93" s="194" t="n">
        <x:v>45139</x:v>
      </x:c>
      <x:c r="B93" s="195" t="n">
        <x:v>101.14118</x:v>
      </x:c>
      <x:c r="C93" s="195" t="n">
        <x:v>117.609436</x:v>
      </x:c>
      <x:c r="D93" s="195" t="n">
        <x:v>83.60505</x:v>
      </x:c>
      <x:c r="E93" s="195" t="n">
        <x:v>0.98895764</x:v>
      </x:c>
      <x:c r="F93" s="195" t="n">
        <x:v>1.9657809</x:v>
      </x:c>
      <x:c r="G93" s="195" t="n">
        <x:v>2.1599321</x:v>
      </x:c>
    </x:row>
    <x:row r="94">
      <x:c r="A94" s="194" t="n">
        <x:v>45170</x:v>
      </x:c>
      <x:c r="B94" s="195" t="n">
        <x:v>98.63481</x:v>
      </x:c>
      <x:c r="C94" s="195" t="n">
        <x:v>125.651794</x:v>
      </x:c>
      <x:c r="D94" s="195" t="n">
        <x:v>68.46592</x:v>
      </x:c>
      <x:c r="E94" s="195" t="n">
        <x:v>1.0829451</x:v>
      </x:c>
      <x:c r="F94" s="195" t="n">
        <x:v>1.9057415</x:v>
      </x:c>
      <x:c r="G94" s="195" t="n">
        <x:v>2.22034</x:v>
      </x:c>
    </x:row>
    <x:row r="95">
      <x:c r="A95" s="194" t="n">
        <x:v>45200</x:v>
      </x:c>
      <x:c r="B95" s="195" t="n">
        <x:v>197.88701</x:v>
      </x:c>
      <x:c r="C95" s="195" t="n">
        <x:v>205.04005</x:v>
      </x:c>
      <x:c r="D95" s="195" t="n">
        <x:v>221.80394</x:v>
      </x:c>
      <x:c r="E95" s="195" t="n">
        <x:v>1.038992</x:v>
      </x:c>
      <x:c r="F95" s="195" t="n">
        <x:v>1.8391354</x:v>
      </x:c>
      <x:c r="G95" s="195" t="n">
        <x:v>4.424673</x:v>
      </x:c>
    </x:row>
    <x:row r="96">
      <x:c r="A96" s="194" t="n">
        <x:v>45231</x:v>
      </x:c>
      <x:c r="B96" s="195" t="n">
        <x:v>156.69614</x:v>
      </x:c>
      <x:c r="C96" s="195" t="n">
        <x:v>143.49435</x:v>
      </x:c>
      <x:c r="D96" s="195" t="n">
        <x:v>189.5544</x:v>
      </x:c>
      <x:c r="E96" s="195" t="n">
        <x:v>0.91995746</x:v>
      </x:c>
      <x:c r="F96" s="195" t="n">
        <x:v>1.2704175</x:v>
      </x:c>
      <x:c r="G96" s="195" t="n">
        <x:v>3.7298956</x:v>
      </x:c>
    </x:row>
    <x:row r="97">
      <x:c r="A97" s="194" t="n">
        <x:v>45261</x:v>
      </x:c>
      <x:c r="B97" s="195" t="n">
        <x:v>142.27946</x:v>
      </x:c>
      <x:c r="C97" s="195" t="n">
        <x:v>136.17839</x:v>
      </x:c>
      <x:c r="D97" s="195" t="n">
        <x:v>173.9638</x:v>
      </x:c>
      <x:c r="E97" s="195" t="n">
        <x:v>0.7015963</x:v>
      </x:c>
      <x:c r="F97" s="195" t="n">
        <x:v>1.4997425</x:v>
      </x:c>
      <x:c r="G97" s="195" t="n">
        <x:v>3.4243047</x:v>
      </x:c>
    </x:row>
    <x:row r="98">
      <x:c r="A98" s="194" t="n">
        <x:v>45292</x:v>
      </x:c>
      <x:c r="B98" s="195" t="n">
        <x:v>160.37366</x:v>
      </x:c>
      <x:c r="C98" s="195" t="n">
        <x:v>140.83609</x:v>
      </x:c>
      <x:c r="D98" s="195" t="n">
        <x:v>208.47115</x:v>
      </x:c>
      <x:c r="E98" s="195" t="n">
        <x:v>0.970813</x:v>
      </x:c>
      <x:c r="F98" s="195" t="n">
        <x:v>1.5533007</x:v>
      </x:c>
      <x:c r="G98" s="195" t="n">
        <x:v>3.8519354</x:v>
      </x:c>
    </x:row>
    <x:row r="99">
      <x:c r="A99" s="194" t="n">
        <x:v>45323</x:v>
      </x:c>
      <x:c r="B99" s="195" t="n">
        <x:v>146.59818</x:v>
      </x:c>
      <x:c r="C99" s="195" t="n">
        <x:v>140.24467</x:v>
      </x:c>
      <x:c r="D99" s="195" t="n">
        <x:v>171.18118</x:v>
      </x:c>
      <x:c r="E99" s="195" t="n">
        <x:v>0.77209973</x:v>
      </x:c>
      <x:c r="F99" s="195" t="n">
        <x:v>1.7208663</x:v>
      </x:c>
      <x:c r="G99" s="195" t="n">
        <x:v>3.39593</x:v>
      </x:c>
    </x:row>
    <x:row r="100">
      <x:c r="A100" s="194" t="n">
        <x:v>45352</x:v>
      </x:c>
      <x:c r="B100" s="195" t="n">
        <x:v>133.21317</x:v>
      </x:c>
      <x:c r="C100" s="195" t="n">
        <x:v>121.53968</x:v>
      </x:c>
      <x:c r="D100" s="195" t="n">
        <x:v>151.814</x:v>
      </x:c>
      <x:c r="E100" s="195" t="n">
        <x:v>0.8790263</x:v>
      </x:c>
      <x:c r="F100" s="195" t="n">
        <x:v>1.5797886</x:v>
      </x:c>
      <x:c r="G100" s="195" t="n">
        <x:v>2.9444308</x:v>
      </x:c>
    </x:row>
    <x:row r="101">
      <x:c r="A101" s="194" t="n">
        <x:v>45383</x:v>
      </x:c>
      <x:c r="B101" s="195" t="n">
        <x:v>163.94734</x:v>
      </x:c>
      <x:c r="C101" s="195" t="n">
        <x:v>170.698</x:v>
      </x:c>
      <x:c r="D101" s="195" t="n">
        <x:v>165.99069</x:v>
      </x:c>
      <x:c r="E101" s="195" t="n">
        <x:v>1.0442377</x:v>
      </x:c>
      <x:c r="F101" s="195" t="n">
        <x:v>1.8289982</x:v>
      </x:c>
      <x:c r="G101" s="195" t="n">
        <x:v>4.018733</x:v>
      </x:c>
    </x:row>
    <x:row r="102">
      <x:c r="A102" s="194" t="n">
        <x:v>45413</x:v>
      </x:c>
      <x:c r="B102" s="195" t="n">
        <x:v>130.52187</x:v>
      </x:c>
      <x:c r="C102" s="195" t="n">
        <x:v>131.44713</x:v>
      </x:c>
      <x:c r="D102" s="195" t="n">
        <x:v>133.1543</x:v>
      </x:c>
      <x:c r="E102" s="195" t="n">
        <x:v>0.9358943</x:v>
      </x:c>
      <x:c r="F102" s="195" t="n">
        <x:v>1.7188647</x:v>
      </x:c>
      <x:c r="G102" s="195" t="n">
        <x:v>3.1074138</x:v>
      </x:c>
    </x:row>
    <x:row r="103">
      <x:c r="A103" s="194" t="n">
        <x:v>45444</x:v>
      </x:c>
      <x:c r="B103" s="195" t="n">
        <x:v>113.0928</x:v>
      </x:c>
      <x:c r="C103" s="195" t="n">
        <x:v>125.71303</x:v>
      </x:c>
      <x:c r="D103" s="195" t="n">
        <x:v>109.73841</x:v>
      </x:c>
      <x:c r="E103" s="195" t="n">
        <x:v>0.8939893</x:v>
      </x:c>
      <x:c r="F103" s="195" t="n">
        <x:v>1.4709612</x:v>
      </x:c>
      <x:c r="G103" s="195" t="n">
        <x:v>2.6883085</x:v>
      </x:c>
    </x:row>
    <x:row r="104">
      <x:c r="A104" s="194" t="n">
        <x:v>45474</x:v>
      </x:c>
      <x:c r="B104" s="195" t="n">
        <x:v>92.394875</x:v>
      </x:c>
      <x:c r="C104" s="195" t="n">
        <x:v>95.16028</x:v>
      </x:c>
      <x:c r="D104" s="195" t="n">
        <x:v>95.1103</x:v>
      </x:c>
      <x:c r="E104" s="195" t="n">
        <x:v>0.7328489</x:v>
      </x:c>
      <x:c r="F104" s="195" t="n">
        <x:v>0.9915014</x:v>
      </x:c>
      <x:c r="G104" s="195" t="n">
        <x:v>2.093854</x:v>
      </x:c>
    </x:row>
    <x:row r="105">
      <x:c r="A105" s="194" t="n">
        <x:v>45505</x:v>
      </x:c>
      <x:c r="B105" s="195" t="n">
        <x:v>140.97507</x:v>
      </x:c>
      <x:c r="C105" s="195" t="n">
        <x:v>124.804985</x:v>
      </x:c>
      <x:c r="D105" s="195" t="n">
        <x:v>165.17947</x:v>
      </x:c>
      <x:c r="E105" s="195" t="n">
        <x:v>0.63932145</x:v>
      </x:c>
      <x:c r="F105" s="195" t="n">
        <x:v>1.5508292</x:v>
      </x:c>
      <x:c r="G105" s="195" t="n">
        <x:v>3.209267</x:v>
      </x:c>
    </x:row>
    <x:row r="106">
      <x:c r="A106" s="194" t="n">
        <x:v>45536</x:v>
      </x:c>
      <x:c r="B106" s="195" t="n">
        <x:v>130.35878</x:v>
      </x:c>
      <x:c r="C106" s="195" t="n">
        <x:v>134.03705</x:v>
      </x:c>
      <x:c r="D106" s="195" t="n">
        <x:v>135.55461</x:v>
      </x:c>
      <x:c r="E106" s="195" t="n">
        <x:v>0.7676794</x:v>
      </x:c>
      <x:c r="F106" s="195" t="n">
        <x:v>1.4442782</x:v>
      </x:c>
      <x:c r="G106" s="195" t="n">
        <x:v>2.9731312</x:v>
      </x:c>
    </x:row>
    <x:row r="107">
      <x:c r="A107" s="194" t="n">
        <x:v>45566</x:v>
      </x:c>
      <x:c r="B107" s="195" t="n">
        <x:v>130.68921</x:v>
      </x:c>
      <x:c r="C107" s="195" t="n">
        <x:v>128.4097</x:v>
      </x:c>
      <x:c r="D107" s="195" t="n">
        <x:v>142.81839</x:v>
      </x:c>
      <x:c r="E107" s="195" t="n">
        <x:v>0.9768765</x:v>
      </x:c>
      <x:c r="F107" s="195" t="n">
        <x:v>1.3663905</x:v>
      </x:c>
      <x:c r="G107" s="195" t="n">
        <x:v>3.0295537</x:v>
      </x:c>
    </x:row>
    <x:row r="108">
      <x:c r="A108" s="194" t="n">
        <x:v>45597</x:v>
      </x:c>
      <x:c r="B108" s="195" t="n">
        <x:v>128.90164</x:v>
      </x:c>
      <x:c r="C108" s="195" t="n">
        <x:v>139.14867</x:v>
      </x:c>
      <x:c r="D108" s="195" t="n">
        <x:v>127.42887</x:v>
      </x:c>
      <x:c r="E108" s="195" t="n">
        <x:v>1.0074933</x:v>
      </x:c>
      <x:c r="F108" s="195" t="n">
        <x:v>1.9709086</x:v>
      </x:c>
      <x:c r="G108" s="195" t="n">
        <x:v>3.167307</x:v>
      </x:c>
    </x:row>
    <x:row r="109">
      <x:c r="A109" s="194" t="n">
        <x:v>45627</x:v>
      </x:c>
      <x:c r="B109" s="195" t="n">
        <x:v>142.36644</x:v>
      </x:c>
      <x:c r="C109" s="195" t="n">
        <x:v>128.26247</x:v>
      </x:c>
      <x:c r="D109" s="195" t="n">
        <x:v>164.81374</x:v>
      </x:c>
      <x:c r="E109" s="195" t="n">
        <x:v>0.841505</x:v>
      </x:c>
      <x:c r="F109" s="195" t="n">
        <x:v>2.2950137</x:v>
      </x:c>
      <x:c r="G109" s="195" t="n">
        <x:v>3.2895195</x:v>
      </x:c>
    </x:row>
    <x:row r="110">
      <x:c r="A110" s="194" t="n">
        <x:v>45658</x:v>
      </x:c>
      <x:c r="B110" s="195" t="n">
        <x:v>113.233154</x:v>
      </x:c>
      <x:c r="C110" s="195" t="n">
        <x:v>117.08644</x:v>
      </x:c>
      <x:c r="D110" s="195" t="n">
        <x:v>109.50494</x:v>
      </x:c>
      <x:c r="E110" s="195" t="n">
        <x:v>0.85689265</x:v>
      </x:c>
      <x:c r="F110" s="195" t="n">
        <x:v>1.1258444</x:v>
      </x:c>
      <x:c r="G110" s="195" t="n">
        <x:v>2.7458093</x:v>
      </x:c>
    </x:row>
    <x:row r="111">
      <x:c r="A111" s="194" t="n">
        <x:v>45689</x:v>
      </x:c>
      <x:c r="B111" s="195" t="n">
        <x:v>136.98059</x:v>
      </x:c>
      <x:c r="C111" s="195" t="n">
        <x:v>138.76765</x:v>
      </x:c>
      <x:c r="D111" s="195" t="n">
        <x:v>140.78716</x:v>
      </x:c>
      <x:c r="E111" s="195" t="n">
        <x:v>1.1046003</x:v>
      </x:c>
      <x:c r="F111" s="195" t="n">
        <x:v>1.9532566</x:v>
      </x:c>
      <x:c r="G111" s="195" t="n">
        <x:v>3.536068</x:v>
      </x:c>
    </x:row>
    <x:row r="112">
      <x:c r="A112" s="194" t="n">
        <x:v>45717</x:v>
      </x:c>
      <x:c r="B112" s="195" t="n">
        <x:v>175.90112</x:v>
      </x:c>
      <x:c r="C112" s="195" t="n">
        <x:v>195.67752</x:v>
      </x:c>
      <x:c r="D112" s="195" t="n">
        <x:v>159.82245</x:v>
      </x:c>
      <x:c r="E112" s="195" t="n">
        <x:v>1.0789021</x:v>
      </x:c>
      <x:c r="F112" s="195" t="n">
        <x:v>2.47199</x:v>
      </x:c>
      <x:c r="G112" s="195" t="n">
        <x:v>4.505306</x:v>
      </x:c>
    </x:row>
    <x:row r="113">
      <x:c r="A113" s="194" t="n">
        <x:v>45748</x:v>
      </x:c>
      <x:c r="B113" s="195" t="n">
        <x:v>140.9737</x:v>
      </x:c>
      <x:c r="C113" s="195" t="n">
        <x:v>159.25746</x:v>
      </x:c>
      <x:c r="D113" s="195" t="n">
        <x:v>132.05573</x:v>
      </x:c>
      <x:c r="E113" s="195" t="n">
        <x:v>1.055569</x:v>
      </x:c>
      <x:c r="F113" s="195" t="n">
        <x:v>1.5226886</x:v>
      </x:c>
      <x:c r="G113" s="195" t="n">
        <x:v>3.5185635</x:v>
      </x:c>
    </x:row>
    <x:row r="114">
      <x:c r="A114" s="194" t="n">
        <x:v>45778</x:v>
      </x:c>
      <x:c r="B114" s="195" t="n">
        <x:v>166.82773</x:v>
      </x:c>
      <x:c r="C114" s="195" t="n">
        <x:v>205.17381</x:v>
      </x:c>
      <x:c r="D114" s="195" t="n">
        <x:v>149.21245</x:v>
      </x:c>
      <x:c r="E114" s="195" t="n">
        <x:v>1.1295136</x:v>
      </x:c>
      <x:c r="F114" s="195" t="n">
        <x:v>1.5040674</x:v>
      </x:c>
      <x:c r="G114" s="195" t="n">
        <x:v>4.1259437</x:v>
      </x:c>
    </x:row>
    <x:row r="115">
      <x:c r="A115" s="194" t="n">
        <x:v>45809</x:v>
      </x:c>
      <x:c r="B115" s="195" t="n">
        <x:v>221.1349</x:v>
      </x:c>
      <x:c r="C115" s="195" t="n">
        <x:v>286.4391</x:v>
      </x:c>
      <x:c r="D115" s="195" t="n">
        <x:v>182.07474</x:v>
      </x:c>
      <x:c r="E115" s="195" t="n">
        <x:v>1.3924286</x:v>
      </x:c>
      <x:c r="F115" s="195" t="n">
        <x:v>2.1694536</x:v>
      </x:c>
      <x:c r="G115" s="195" t="n">
        <x:v>5.638093</x:v>
      </x:c>
    </x:row>
    <x:row r="116">
      <x:c r="A116" s="194" t="n">
        <x:v>45839</x:v>
      </x:c>
      <x:c r="B116" s="195" t="n">
        <x:v>134.222</x:v>
      </x:c>
      <x:c r="C116" s="195" t="n">
        <x:v>156.11005</x:v>
      </x:c>
      <x:c r="D116" s="195" t="n">
        <x:v>119.33243</x:v>
      </x:c>
      <x:c r="E116" s="195" t="n">
        <x:v>0.899324</x:v>
      </x:c>
      <x:c r="F116" s="195" t="n">
        <x:v>1.394254</x:v>
      </x:c>
      <x:c r="G116" s="195" t="n">
        <x:v>3.168759</x:v>
      </x:c>
    </x:row>
    <x:row r="117">
      <x:c r="A117" s="194" t="n">
        <x:v>45870</x:v>
      </x:c>
      <x:c r="B117" s="195" t="n">
        <x:v>138.98846</x:v>
      </x:c>
      <x:c r="C117" s="195" t="n">
        <x:v>160.41519</x:v>
      </x:c>
      <x:c r="D117" s="195" t="n">
        <x:v>121.73106</x:v>
      </x:c>
      <x:c r="E117" s="195" t="n">
        <x:v>0.81841433</x:v>
      </x:c>
      <x:c r="F117" s="195" t="n">
        <x:v>1.713555</x:v>
      </x:c>
      <x:c r="G117" s="195" t="n">
        <x:v>3.4015346</x:v>
      </x:c>
    </x:row>
    <x:row r="118">
      <x:c r="A118" s="194" t="n">
        <x:v>45901</x:v>
      </x:c>
      <x:c r="B118" s="195" t="n">
        <x:v>126.740585</x:v>
      </x:c>
      <x:c r="C118" s="195" t="n">
        <x:v>142.89134</x:v>
      </x:c>
      <x:c r="D118" s="195" t="n">
        <x:v>115.22395</x:v>
      </x:c>
      <x:c r="E118" s="195" t="n">
        <x:v>1.0189419</x:v>
      </x:c>
      <x:c r="F118" s="195" t="n">
        <x:v>1.4565643</x:v>
      </x:c>
      <x:c r="G118" s="195" t="n">
        <x:v>3.128674</x:v>
      </x:c>
    </x:row>
    <x:row r="119">
      <x:c r="A119" s="194" t="n">
        <x:v>45931</x:v>
      </x:c>
      <x:c r="B119" s="195" t="n">
        <x:v>154.51292</x:v>
      </x:c>
      <x:c r="C119" s="195" t="n">
        <x:v>167.99814</x:v>
      </x:c>
      <x:c r="D119" s="195" t="n">
        <x:v>151.54868</x:v>
      </x:c>
      <x:c r="E119" s="195" t="n">
        <x:v>0.9443993</x:v>
      </x:c>
      <x:c r="F119" s="195" t="n">
        <x:v>1.5135405</x:v>
      </x:c>
      <x:c r="G119" s="195" t="n">
        <x:v>3.75258</x:v>
      </x:c>
    </x:row>
    <x:row r="120">
      <x:c r="A120" s="194" t="n">
        <x:v>45962</x:v>
      </x:c>
      <x:c r="B120" s="195" t="n">
        <x:v>104.35177</x:v>
      </x:c>
      <x:c r="C120" s="195" t="n">
        <x:v>118.69732</x:v>
      </x:c>
      <x:c r="D120" s="195" t="n">
        <x:v>88.69731</x:v>
      </x:c>
      <x:c r="E120" s="195" t="n">
        <x:v>0.6473509</x:v>
      </x:c>
      <x:c r="F120" s="195" t="n">
        <x:v>1.2884169</x:v>
      </x:c>
      <x:c r="G120" s="195" t="n">
        <x:v>2.658538</x:v>
      </x:c>
    </x:row>
    <x:row r="121">
      <x:c r="A121" s="194" t="n">
        <x:v>45992</x:v>
      </x:c>
      <x:c r="B121" s="195" t="n">
        <x:v>132.48622</x:v>
      </x:c>
      <x:c r="C121" s="195" t="n">
        <x:v>146.35893</x:v>
      </x:c>
      <x:c r="D121" s="195" t="n">
        <x:v>123.53462</x:v>
      </x:c>
      <x:c r="E121" s="195" t="n">
        <x:v>1.0032787</x:v>
      </x:c>
      <x:c r="F121" s="195" t="n">
        <x:v>1.6983607</x:v>
      </x:c>
      <x:c r="G121" s="195" t="n">
        <x:v>3.2459016</x:v>
      </x:c>
    </x:row>
    <x:row r="122">
      <x:c r="A122" s="194" t="n">
        <x:v>46023</x:v>
      </x:c>
      <x:c r="B122" s="195" t="n">
        <x:v>168.62987</x:v>
      </x:c>
      <x:c r="C122" s="195" t="n">
        <x:v>220.17142</x:v>
      </x:c>
      <x:c r="D122" s="195" t="n">
        <x:v>100.2221</x:v>
      </x:c>
      <x:c r="E122" s="195" t="n">
        <x:v>1.5055369</x:v>
      </x:c>
      <x:c r="F122" s="195" t="n">
        <x:v>1.9036955</x:v>
      </x:c>
      <x:c r="G122" s="195" t="n">
        <x:v>4.5663805</x:v>
      </x:c>
    </x:row>
    <x:row r="123">
      <x:c r="A123" s="194" t="n">
        <x:v>46054</x:v>
      </x:c>
      <x:c r="B123" s="195" t="n">
        <x:v>119.86541</x:v>
      </x:c>
      <x:c r="C123" s="195" t="n">
        <x:v>156.00601</x:v>
      </x:c>
      <x:c r="D123" s="195" t="n">
        <x:v>81.24062</x:v>
      </x:c>
      <x:c r="E123" s="195" t="n">
        <x:v>0.87076986</x:v>
      </x:c>
      <x:c r="F123" s="195" t="n">
        <x:v>1.2863646</x:v>
      </x:c>
      <x:c r="G123" s="195" t="n">
        <x:v>3.0740814</x:v>
      </x:c>
    </x:row>
    <x:row r="124">
      <x:c r="A124" s="194" t="n">
        <x:v>46082</x:v>
      </x:c>
      <x:c r="B124" s="195" t="n">
        <x:v>330.94464</x:v>
      </x:c>
      <x:c r="C124" s="195" t="n">
        <x:v>320.1606</x:v>
      </x:c>
      <x:c r="D124" s="195" t="n">
        <x:v>450.74365</x:v>
      </x:c>
      <x:c r="E124" s="195" t="n">
        <x:v>1.698526</x:v>
      </x:c>
      <x:c r="F124" s="195" t="n">
        <x:v>2.5046062</x:v>
      </x:c>
      <x:c r="G124" s="195" t="n">
        <x:v>8.682634</x:v>
      </x:c>
    </x:row>
    <x:row r="125">
      <x:c r="A125" s="194" t="n">
        <x:v>46113</x:v>
      </x:c>
      <x:c r="B125" s="195" t="n">
        <x:v>254.4295</x:v>
      </x:c>
      <x:c r="C125" s="195" t="n">
        <x:v>274.10672</x:v>
      </x:c>
      <x:c r="D125" s="195" t="n">
        <x:v>310.0836</x:v>
      </x:c>
      <x:c r="E125" s="195" t="n">
        <x:v>1.6724479</x:v>
      </x:c>
      <x:c r="F125" s="195" t="n">
        <x:v>1.746779</x:v>
      </x:c>
      <x:c r="G125" s="195" t="n">
        <x:v>6.7269573</x:v>
      </x:c>
    </x:row>
    <x:row r="126">
      <x:c r="A126" s="194" t="n">
        <x:v>46143</x:v>
      </x:c>
      <x:c r="B126" s="195" t="n">
        <x:v>203.55667</x:v>
      </x:c>
      <x:c r="C126" s="195" t="n">
        <x:v>233.46385</x:v>
      </x:c>
      <x:c r="D126" s="195" t="n">
        <x:v>215.21938</x:v>
      </x:c>
      <x:c r="E126" s="195" t="n">
        <x:v>1.7222084</x:v>
      </x:c>
      <x:c r="F126" s="195" t="n">
        <x:v>1.6600348</x:v>
      </x:c>
      <x:c r="G126" s="195" t="n">
        <x:v>5.303407</x:v>
      </x:c>
    </x:row>
    <x:row r="127">
      <x:c r="A127" s="194" t="n">
        <x:v>46174</x:v>
      </x:c>
      <x:c r="B127" s="195" t="n">
        <x:v>173.63956</x:v>
      </x:c>
      <x:c r="C127" s="195" t="n">
        <x:v>210.58104</x:v>
      </x:c>
      <x:c r="D127" s="195" t="n">
        <x:v>177.95995</x:v>
      </x:c>
      <x:c r="E127" s="195" t="n">
        <x:v>0.8033797</x:v>
      </x:c>
      <x:c r="F127" s="195" t="n">
        <x:v>1.2466238</x:v>
      </x:c>
      <x:c r="G127" s="195" t="n">
        <x:v>4.5363255</x:v>
      </x:c>
    </x:row>
  </x:sheetData>
  <x:pageMargins left="0.7" right="0.7" top="0.75" bottom="0.75" header="0.3" footer="0.3"/>
  <x:tableParts count="1">
    <x:tablePart xmlns:r="http://schemas.openxmlformats.org/officeDocument/2006/relationships" r:id="Re1424abf4d6949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45" hidden="0" customWidth="1"/>
  </x:cols>
  <x:sheetData>
    <x:row r="1" ht="23" customHeight="1">
      <x:c r="A1" s="203" t="str">
        <x:v>数据质量与防泄漏检查</x:v>
      </x:c>
      <x:c r="B1" s="203"/>
      <x:c r="C1" s="203"/>
      <x:c r="D1" s="203"/>
      <x:c r="E1" s="203"/>
      <x:c r="F1" s="203"/>
    </x:row>
    <x:row r="2" ht="23" customHeight="1">
      <x:c r="A2" s="200"/>
      <x:c r="B2" s="200"/>
      <x:c r="C2" s="200"/>
      <x:c r="D2" s="200"/>
      <x:c r="E2" s="200"/>
      <x:c r="F2" s="200"/>
    </x:row>
    <x:row r="3" ht="23" customHeight="1">
      <x:c r="A3" s="202" t="str">
        <x:v>自动规则基于本次处理结果；许可闸门为保守口径，不构成法律意见。</x:v>
      </x:c>
      <x:c r="B3" s="202"/>
      <x:c r="C3" s="202"/>
      <x:c r="D3" s="202"/>
      <x:c r="E3" s="202"/>
      <x:c r="F3" s="202"/>
    </x:row>
    <x:row r="5">
      <x:c r="A5" t="str">
        <x:v>检查项</x:v>
      </x:c>
      <x:c r="B5" t="str">
        <x:v>实际值</x:v>
      </x:c>
      <x:c r="C5" t="str">
        <x:v>通过阈值</x:v>
      </x:c>
      <x:c r="D5" t="str">
        <x:v>状态</x:v>
      </x:c>
      <x:c r="E5" t="str">
        <x:v>阻断级别</x:v>
      </x:c>
      <x:c r="F5" t="str">
        <x:v>说明</x:v>
      </x:c>
    </x:row>
    <x:row r="6">
      <x:c r="A6" t="str">
        <x:v>价格表主键重复</x:v>
      </x:c>
      <x:c r="B6" t="n">
        <x:v>0</x:v>
      </x:c>
      <x:c r="C6" t="n">
        <x:v>0</x:v>
      </x:c>
      <x:c r="D6" t="str">
        <x:f>IF(B6=C6,"PASS","FAIL")</x:f>
        <x:v>PASS</x:v>
      </x:c>
      <x:c r="E6" t="str">
        <x:v>阻断</x:v>
      </x:c>
      <x:c r="F6" t="str">
        <x:v>date必须唯一</x:v>
      </x:c>
    </x:row>
    <x:row r="7">
      <x:c r="A7" t="str">
        <x:v>收益率表日期重复</x:v>
      </x:c>
      <x:c r="B7" t="n">
        <x:v>0</x:v>
      </x:c>
      <x:c r="C7" t="n">
        <x:v>0</x:v>
      </x:c>
      <x:c r="D7" t="str">
        <x:f>IF(B7=C7,"PASS","FAIL")</x:f>
        <x:v>PASS</x:v>
      </x:c>
      <x:c r="E7" t="str">
        <x:v>阻断</x:v>
      </x:c>
      <x:c r="F7" t="str">
        <x:v>date必须唯一</x:v>
      </x:c>
    </x:row>
    <x:row r="8">
      <x:c r="A8" t="str">
        <x:v>CFTC资产-报告日重复</x:v>
      </x:c>
      <x:c r="B8" t="n">
        <x:v>0</x:v>
      </x:c>
      <x:c r="C8" t="n">
        <x:v>0</x:v>
      </x:c>
      <x:c r="D8" t="str">
        <x:f>IF(B8=C8,"PASS","FAIL")</x:f>
        <x:v>PASS</x:v>
      </x:c>
      <x:c r="E8" t="str">
        <x:v>阻断</x:v>
      </x:c>
      <x:c r="F8" t="str">
        <x:v>asset+report_date必须唯一</x:v>
      </x:c>
    </x:row>
    <x:row r="9">
      <x:c r="A9" t="str">
        <x:v>非正黄金价格</x:v>
      </x:c>
      <x:c r="B9" t="n">
        <x:v>0</x:v>
      </x:c>
      <x:c r="C9" t="n">
        <x:v>0</x:v>
      </x:c>
      <x:c r="D9" t="str">
        <x:f>IF(B9=C9,"PASS","FAIL")</x:f>
        <x:v>PASS</x:v>
      </x:c>
      <x:c r="E9" t="str">
        <x:v>阻断</x:v>
      </x:c>
      <x:c r="F9" t="str">
        <x:v>月均价必须&gt;0</x:v>
      </x:c>
    </x:row>
    <x:row r="10">
      <x:c r="A10" t="str">
        <x:v>非正白银价格</x:v>
      </x:c>
      <x:c r="B10" t="n">
        <x:v>0</x:v>
      </x:c>
      <x:c r="C10" t="n">
        <x:v>0</x:v>
      </x:c>
      <x:c r="D10" t="str">
        <x:f>IF(B10=C10,"PASS","FAIL")</x:f>
        <x:v>PASS</x:v>
      </x:c>
      <x:c r="E10" t="str">
        <x:v>阻断</x:v>
      </x:c>
      <x:c r="F10" t="str">
        <x:v>月均价必须&gt;0</x:v>
      </x:c>
    </x:row>
    <x:row r="11">
      <x:c r="A11" t="str">
        <x:v>特征月份早于样本月份</x:v>
      </x:c>
      <x:c r="B11" t="n">
        <x:v>1</x:v>
      </x:c>
      <x:c r="C11" t="n">
        <x:v>1</x:v>
      </x:c>
      <x:c r="D11" t="str">
        <x:f>IF(B11=C11,"PASS","FAIL")</x:f>
        <x:v>PASS</x:v>
      </x:c>
      <x:c r="E11" t="str">
        <x:v>阻断</x:v>
      </x:c>
      <x:c r="F11" t="str">
        <x:v>统一lag1，避免同月信息回填</x:v>
      </x:c>
    </x:row>
    <x:row r="12">
      <x:c r="A12" t="str">
        <x:v>月度价格行数</x:v>
      </x:c>
      <x:c r="B12" t="n">
        <x:v>126</x:v>
      </x:c>
      <x:c r="C12" t="n">
        <x:v>126</x:v>
      </x:c>
      <x:c r="D12" t="str">
        <x:f>IF(B12=C12,"PASS","FAIL")</x:f>
        <x:v>PASS</x:v>
      </x:c>
      <x:c r="E12" t="str">
        <x:v>提示</x:v>
      </x:c>
      <x:c r="F12" t="str">
        <x:v>2016-01-01—2026-06-01</x:v>
      </x:c>
    </x:row>
    <x:row r="13">
      <x:c r="A13" t="str">
        <x:v>财政部日度行数</x:v>
      </x:c>
      <x:c r="B13" t="n">
        <x:v>2630</x:v>
      </x:c>
      <x:c r="C13" t="n">
        <x:v>2630</x:v>
      </x:c>
      <x:c r="D13" t="str">
        <x:f>IF(B13=C13,"PASS","FAIL")</x:f>
        <x:v>PASS</x:v>
      </x:c>
      <x:c r="E13" t="str">
        <x:v>提示</x:v>
      </x:c>
      <x:c r="F13" t="str">
        <x:v>2016-01-04—2026-07-10</x:v>
      </x:c>
    </x:row>
    <x:row r="14">
      <x:c r="A14" t="str">
        <x:v>CFTC金银行数</x:v>
      </x:c>
      <x:c r="B14" t="n">
        <x:v>1098</x:v>
      </x:c>
      <x:c r="C14" t="n">
        <x:v>1098</x:v>
      </x:c>
      <x:c r="D14" t="str">
        <x:f>IF(B14=C14,"PASS","FAIL")</x:f>
        <x:v>PASS</x:v>
      </x:c>
      <x:c r="E14" t="str">
        <x:v>提示</x:v>
      </x:c>
      <x:c r="F14" t="str">
        <x:v>Gold/Silver各周记录</x:v>
      </x:c>
    </x:row>
    <x:row r="15">
      <x:c r="A15" t="str">
        <x:v>GPR月度行数</x:v>
      </x:c>
      <x:c r="B15" t="n">
        <x:v>126</x:v>
      </x:c>
      <x:c r="C15" t="n">
        <x:v>126</x:v>
      </x:c>
      <x:c r="D15" t="str">
        <x:f>IF(B15=C15,"PASS","FAIL")</x:f>
        <x:v>PASS</x:v>
      </x:c>
      <x:c r="E15" t="str">
        <x:v>提示</x:v>
      </x:c>
      <x:c r="F15" t="str">
        <x:v>最新月份可能修订</x:v>
      </x:c>
    </x:row>
    <x:row r="16">
      <x:c r="A16" t="str">
        <x:v>可交付训练源许可白名单</x:v>
      </x:c>
      <x:c r="B16" t="n">
        <x:v>5</x:v>
      </x:c>
      <x:c r="C16" t="n">
        <x:v>5</x:v>
      </x:c>
      <x:c r="D16" t="str">
        <x:f>IF(B16=C16,"PASS","FAIL")</x:f>
        <x:v>PASS</x:v>
      </x:c>
      <x:c r="E16" t="str">
        <x:v>阻断</x:v>
      </x:c>
      <x:c r="F16" t="str">
        <x:v>WB、Treasury、Fed H10、CFTC、GPR</x:v>
      </x:c>
    </x:row>
    <x:row r="17">
      <x:c r="A17" t="str">
        <x:v>受限数据误入训练表</x:v>
      </x:c>
      <x:c r="B17" t="n">
        <x:v>0</x:v>
      </x:c>
      <x:c r="C17" t="n">
        <x:v>0</x:v>
      </x:c>
      <x:c r="D17" t="str">
        <x:f>IF(B17=C17,"PASS","FAIL")</x:f>
        <x:v>PASS</x:v>
      </x:c>
      <x:c r="E17" t="str">
        <x:v>阻断</x:v>
      </x:c>
      <x:c r="F17" t="str">
        <x:v>LBMA/WGC/SGE/CME/CBOE均仅目录</x:v>
      </x:c>
    </x:row>
    <x:row r="18">
      <x:c r="A18" t="str">
        <x:v>FRED镜像误入训练表</x:v>
      </x:c>
      <x:c r="B18" t="n">
        <x:v>0</x:v>
      </x:c>
      <x:c r="C18" t="n">
        <x:v>0</x:v>
      </x:c>
      <x:c r="D18" t="str">
        <x:f>IF(B18=C18,"PASS","FAIL")</x:f>
        <x:v>PASS</x:v>
      </x:c>
      <x:c r="E18" t="str">
        <x:v>阻断</x:v>
      </x:c>
      <x:c r="F18" t="str">
        <x:v>已改用财政部/美联储原始端</x:v>
      </x:c>
    </x:row>
    <x:row r="19">
      <x:c r="A19" t="str">
        <x:v>2026完整年度标记</x:v>
      </x:c>
      <x:c r="B19" t="n">
        <x:v>0</x:v>
      </x:c>
      <x:c r="C19" t="n">
        <x:v>0</x:v>
      </x:c>
      <x:c r="D19" t="str">
        <x:f>IF(B19=C19,"PASS","FAIL")</x:f>
        <x:v>PASS</x:v>
      </x:c>
      <x:c r="E19" t="str">
        <x:v>提示</x:v>
      </x:c>
      <x:c r="F19" t="str">
        <x:v>2026价格仅截至6月</x:v>
      </x:c>
    </x:row>
    <x:row r="21">
      <x:c r="A21" s="222" t="str">
        <x:v>Point-in-time规则：observation_date（指标描述时期）、release_ts（官方发布时间）和available_from_ts（模型合法可用时间）必须分列。当前月度基线统一将所有因素滞后1个月；若升级日频，应改为逐字段as-of join，并按上金所15:30 Asia/Shanghai截止时点处理美国市场数据。</x:v>
      </x:c>
      <x:c r="B21" s="223"/>
      <x:c r="C21" s="223"/>
      <x:c r="D21" s="223"/>
      <x:c r="E21" s="223"/>
      <x:c r="F21" s="224"/>
    </x:row>
    <x:row r="22">
      <x:c r="A22" s="225"/>
      <x:c r="B22" s="226"/>
      <x:c r="C22" s="226"/>
      <x:c r="D22" s="226"/>
      <x:c r="E22" s="226"/>
      <x:c r="F22" s="227"/>
    </x:row>
    <x:row r="23">
      <x:c r="A23" s="225"/>
      <x:c r="B23" s="226"/>
      <x:c r="C23" s="226"/>
      <x:c r="D23" s="226"/>
      <x:c r="E23" s="226"/>
      <x:c r="F23" s="227"/>
    </x:row>
    <x:row r="24">
      <x:c r="A24" s="225"/>
      <x:c r="B24" s="226"/>
      <x:c r="C24" s="226"/>
      <x:c r="D24" s="226"/>
      <x:c r="E24" s="226"/>
      <x:c r="F24" s="227"/>
    </x:row>
    <x:row r="25">
      <x:c r="A25" s="228"/>
      <x:c r="B25" s="229"/>
      <x:c r="C25" s="229"/>
      <x:c r="D25" s="229"/>
      <x:c r="E25" s="229"/>
      <x:c r="F25" s="230"/>
    </x:row>
  </x:sheetData>
  <x:mergeCells>
    <x:mergeCell ref="A1:F2"/>
    <x:mergeCell ref="A3:F3"/>
    <x:mergeCell ref="A21:F25"/>
  </x:mergeCells>
  <x:conditionalFormatting sqref="D6:D19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d4f0f106af04460"/>
  </x:tableParts>
</x:worksheet>
</file>