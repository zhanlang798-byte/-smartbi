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6fe6ca547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账结果" sheetId="1" r:id="Rd659d5ede7594cbe"/>
    <x:sheet xmlns:r="http://schemas.openxmlformats.org/officeDocument/2006/relationships" name="source_id抽查" sheetId="2" r:id="R9d6905fcec0642a8"/>
    <x:sheet xmlns:r="http://schemas.openxmlformats.org/officeDocument/2006/relationships" name="性能计时" sheetId="3" r:id="R33dbfaea446a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1"/>
      <x:color rgb="FF1F2937"/>
      <x:name val="Microsoft YaHei"/>
    </x:font>
    <x:font>
      <x:b/>
      <x:sz val="16"/>
      <x:color rgb="FFFFFFFF"/>
      <x:name val="Microsoft YaHei"/>
    </x:font>
    <x:font>
      <x:b/>
      <x:sz val="11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365F73"/>
      </x:patternFill>
    </x:fill>
    <x:fill>
      <x:patternFill patternType="solid">
        <x:fgColor rgb="FFEAF1F5"/>
      </x:patternFill>
    </x:fill>
    <x:fill>
      <x:patternFill patternType="solid">
        <x:fgColor rgb="FFC4E7F5"/>
      </x:patternFill>
    </x:fill>
  </x:fills>
  <x:borders count="6">
    <x:border/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200" fontId="1" fillId="4" borderId="5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f5dddf64b4611" /><Relationship Type="http://schemas.openxmlformats.org/officeDocument/2006/relationships/theme" Target="/xl/theme/theme1.xml" Id="R85e39c5eabd1449d" /><Relationship Type="http://schemas.openxmlformats.org/officeDocument/2006/relationships/sharedStrings" Target="/xl/sharedStrings.xml" Id="R87a4ad2130f04790" /><Relationship Type="http://schemas.openxmlformats.org/officeDocument/2006/relationships/worksheet" Target="/xl/worksheets/sheet1.xml" Id="Rd659d5ede7594cbe" /><Relationship Type="http://schemas.openxmlformats.org/officeDocument/2006/relationships/worksheet" Target="/xl/worksheets/sheet2.xml" Id="R9d6905fcec0642a8" /><Relationship Type="http://schemas.openxmlformats.org/officeDocument/2006/relationships/worksheet" Target="/xl/worksheets/sheet3.xml" Id="R33dbfaea446a41a3" /></Relationships>
</file>

<file path=xl/tables/table1.xml><?xml version="1.0" encoding="utf-8"?>
<x:table xmlns:x="http://schemas.openxmlformats.org/spreadsheetml/2006/main" id="1" name="DB05ReconciliationTable" displayName="DB05ReconciliationTable" ref="A2:F19" headerRowCount="1" totalsRowCount="0" totalsRowShown="0">
  <x:autoFilter ref="A2:F19"/>
  <x:tableColumns count="6">
    <x:tableColumn id="1" name="检查项"/>
    <x:tableColumn id="2" name="预期/冻结口径"/>
    <x:tableColumn id="3" name="现场实际"/>
    <x:tableColumn id="4" name="结果"/>
    <x:tableColumn id="5" name="责任/下一动作"/>
    <x:tableColumn id="6" name="证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B05SourceSpotCheckTable" displayName="DB05SourceSpotCheckTable" ref="A2:R12" headerRowCount="1" totalsRowCount="0" totalsRowShown="0">
  <x:autoFilter ref="A2:R12"/>
  <x:tableColumns count="18">
    <x:tableColumn id="1" name="source_id"/>
    <x:tableColumn id="2" name="页面页码"/>
    <x:tableColumn id="3" name="publisher"/>
    <x:tableColumn id="4" name="dataset_name"/>
    <x:tableColumn id="5" name="source_url"/>
    <x:tableColumn id="6" name="license"/>
    <x:tableColumn id="7" name="coverage_start"/>
    <x:tableColumn id="8" name="coverage_end"/>
    <x:tableColumn id="9" name="publication_date"/>
    <x:tableColumn id="10" name="fetch_timestamp"/>
    <x:tableColumn id="11" name="data_version"/>
    <x:tableColumn id="12" name="sha256"/>
    <x:tableColumn id="13" name="quality_flag"/>
    <x:tableColumn id="14" name="formal_use_state"/>
    <x:tableColumn id="15" name="12字段空白数"/>
    <x:tableColumn id="16" name="已核单元格"/>
    <x:tableColumn id="17" name="结果"/>
    <x:tableColumn id="18" name="页面证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B05PerformanceTable" displayName="DB05PerformanceTable" ref="A2:G7" headerRowCount="1" totalsRowCount="0" totalsRowShown="0">
  <x:autoFilter ref="A2:G7"/>
  <x:tableColumns count="7">
    <x:tableColumn id="1" name="操作"/>
    <x:tableColumn id="2" name="现场结果"/>
    <x:tableColumn id="3" name="耗时（秒）"/>
    <x:tableColumn id="4" name="结果"/>
    <x:tableColumn id="5" name="作用域核对"/>
    <x:tableColumn id="6" name="证据"/>
    <x:tableColumn id="7" name="阈值（秒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3b665ce03c45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cac8d892eb46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f91a0c14194a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51.25" hidden="0" customWidth="1"/>
    <x:col min="3" max="3" width="50" hidden="0" customWidth="1"/>
    <x:col min="4" max="4" width="30" hidden="0" customWidth="1"/>
    <x:col min="5" max="5" width="48.75" hidden="0" customWidth="1"/>
    <x:col min="6" max="6" width="37.5" hidden="0" customWidth="1"/>
  </x:cols>
  <x:sheetData>
    <x:row r="1" ht="33" customHeight="1">
      <x:c r="A1" s="11" t="str">
        <x:v>DB05 页面对账与验收结果｜2026-09-01</x:v>
      </x:c>
      <x:c r="B1" s="11"/>
      <x:c r="C1" s="11"/>
      <x:c r="D1" s="11"/>
      <x:c r="E1" s="11"/>
      <x:c r="F1" s="11"/>
    </x:row>
    <x:row r="2" ht="27" customHeight="1">
      <x:c r="A2" s="12" t="str">
        <x:v>检查项</x:v>
      </x:c>
      <x:c r="B2" s="10" t="str">
        <x:v>预期/冻结口径</x:v>
      </x:c>
      <x:c r="C2" s="10" t="str">
        <x:v>现场实际</x:v>
      </x:c>
      <x:c r="D2" s="10" t="str">
        <x:v>结果</x:v>
      </x:c>
      <x:c r="E2" s="10" t="str">
        <x:v>责任/下一动作</x:v>
      </x:c>
      <x:c r="F2" s="13" t="str">
        <x:v>证据</x:v>
      </x:c>
    </x:row>
    <x:row r="3" ht="48" customHeight="1">
      <x:c r="A3" s="15" t="str">
        <x:v>对象与标题</x:v>
      </x:c>
      <x:c r="B3" s="15" t="str">
        <x:v>DB05_XH202612_V50_EVIDENCE_CENTER；标题和回答说明齐全</x:v>
      </x:c>
      <x:c r="C3" s="15" t="str">
        <x:v>对象页预览正常；标题与说明完整</x:v>
      </x:c>
      <x:c r="D3" s="15" t="str">
        <x:v>PASS_PAGE</x:v>
      </x:c>
      <x:c r="E3" s="15" t="str">
        <x:v>B页面运行时已核</x:v>
      </x:c>
      <x:c r="F3" s="15" t="str">
        <x:v>01a/01b/04a</x:v>
      </x:c>
    </x:row>
    <x:row r="4" ht="48" customHeight="1">
      <x:c r="A4" s="14" t="str">
        <x:v>四筛选器字段</x:v>
      </x:c>
      <x:c r="B4" s="14" t="str">
        <x:v>国家=V50_dim_country.country_name_zh；年份=V50_dim_year.year_key；来源类型=data_class；复核状态=manual_review_status</x:v>
      </x:c>
      <x:c r="C4" s="14" t="str">
        <x:v>四项运行时行为符合自定义作用范围；年份未使用year2</x:v>
      </x:c>
      <x:c r="D4" s="14" t="str">
        <x:v>PASS_RUNTIME</x:v>
      </x:c>
      <x:c r="E4" s="14" t="str">
        <x:v>B已核</x:v>
      </x:c>
      <x:c r="F4" s="14" t="str">
        <x:v>03a—03e</x:v>
      </x:c>
    </x:row>
    <x:row r="5" ht="48" customHeight="1">
      <x:c r="A5" s="15" t="str">
        <x:v>正式来源登记源表</x:v>
      </x:c>
      <x:c r="B5" s="15" t="str">
        <x:v>交付包_Smartbi数据包_20260820/data/smartbi/source_registry.xlsx，734行</x:v>
      </x:c>
      <x:c r="C5" s="15" t="str">
        <x:v>SmartBI正式交付源表734行；source_id唯一</x:v>
      </x:c>
      <x:c r="D5" s="15" t="str">
        <x:v>PASS_SOURCE</x:v>
      </x:c>
      <x:c r="E5" s="15" t="str">
        <x:v>正式对账必须使用该文件</x:v>
      </x:c>
      <x:c r="F5" s="15" t="str">
        <x:v>源表A1:AP735</x:v>
      </x:c>
    </x:row>
    <x:row r="6" ht="48" customHeight="1">
      <x:c r="A6" s="14" t="str">
        <x:v>旧curated源表隔离</x:v>
      </x:c>
      <x:c r="B6" s="14" t="str">
        <x:v>不得拿688行旧源表冒充当前SmartBI正式源</x:v>
      </x:c>
      <x:c r="C6" s="14" t="str">
        <x:v>D0-D12_数据交付_V4.2/data/curated/source_registry.xlsx仅688行</x:v>
      </x:c>
      <x:c r="D6" s="14" t="str">
        <x:v>PASS_RISK_CLOSED</x:v>
      </x:c>
      <x:c r="E6" s="14" t="str">
        <x:v>已从正式抽查输入中排除</x:v>
      </x:c>
      <x:c r="F6" s="14" t="str">
        <x:v>本轮只读检查</x:v>
      </x:c>
    </x:row>
    <x:row r="7" ht="48" customHeight="1">
      <x:c r="A7" s="15" t="str">
        <x:v>政策事实源表基线</x:v>
      </x:c>
      <x:c r="B7" s="15" t="str">
        <x:v>V50_country_policy_year=2744；no_conflict=2704；机提待核=40</x:v>
      </x:c>
      <x:c r="C7" s="15" t="str">
        <x:v>默认页面2744；待核筛选40</x:v>
      </x:c>
      <x:c r="D7" s="15" t="str">
        <x:v>PASS_DATA</x:v>
      </x:c>
      <x:c r="E7" s="15" t="str">
        <x:v>B已核</x:v>
      </x:c>
      <x:c r="F7" s="15" t="str">
        <x:v>01a/03e/04a</x:v>
      </x:c>
    </x:row>
    <x:row r="8" ht="48" customHeight="1">
      <x:c r="A8" s="14" t="str">
        <x:v>政策表默认页脚</x:v>
      </x:c>
      <x:c r="B8" s="14" t="str">
        <x:v>2026-09-01变更后冻结口径：页面默认完整返回2744/138页，不采用1000行截断</x:v>
      </x:c>
      <x:c r="C8" s="14" t="str">
        <x:v>当前页面显示2744/138页；七段简报已同步</x:v>
      </x:c>
      <x:c r="D8" s="14" t="str">
        <x:v>PASS_FULL_RETURN</x:v>
      </x:c>
      <x:c r="E8" s="14" t="str">
        <x:v>变更已应用；B已本人签署，等待A只读复核</x:v>
      </x:c>
      <x:c r="F8" s="14" t="str">
        <x:v>05a/05b；DB05_CHANGE_CONTROL_20260901.txt</x:v>
      </x:c>
    </x:row>
    <x:row r="9" ht="48" customHeight="1">
      <x:c r="A9" s="15" t="str">
        <x:v>来源追溯与处置基线</x:v>
      </x:c>
      <x:c r="B9" s="15" t="str">
        <x:v>C2=734；C3=734；空值保持空；PENDING_MANUAL保留</x:v>
      </x:c>
      <x:c r="C9" s="15" t="str">
        <x:v>734 / 734；抽查可见真实空白；SRC0691 pending</x:v>
      </x:c>
      <x:c r="D9" s="15" t="str">
        <x:v>PASS_RUNTIME</x:v>
      </x:c>
      <x:c r="E9" s="15" t="str">
        <x:v>B已核</x:v>
      </x:c>
      <x:c r="F9" s="15" t="str">
        <x:v>01a/01b/02i/04a</x:v>
      </x:c>
    </x:row>
    <x:row r="10" ht="48" customHeight="1">
      <x:c r="A10" s="14" t="str">
        <x:v>10个source_id抽查</x:v>
      </x:c>
      <x:c r="B10" s="14" t="str">
        <x:v>随机/代表性10行×12字段=120单元格，与正式源表逐项一致</x:v>
      </x:c>
      <x:c r="C10" s="14" t="str">
        <x:v>10行覆盖EXCLUDED/CORE/SUPPLEMENT/REPLACED/PENDING_MANUAL及完整官方记录；120/120</x:v>
      </x:c>
      <x:c r="D10" s="14" t="str">
        <x:v>PASS_120_CELLS</x:v>
      </x:c>
      <x:c r="E10" s="14" t="str">
        <x:v>明细见source_id抽查sheet</x:v>
      </x:c>
      <x:c r="F10" s="14" t="str">
        <x:v>02a—02i</x:v>
      </x:c>
    </x:row>
    <x:row r="11" ht="48" customHeight="1">
      <x:c r="A11" s="15" t="str">
        <x:v>国家筛选作用域</x:v>
      </x:c>
      <x:c r="B11" s="15" t="str">
        <x:v>只影响C1</x:v>
      </x:c>
      <x:c r="C11" s="15" t="str">
        <x:v>埃及69条；C2/C3仍734</x:v>
      </x:c>
      <x:c r="D11" s="15" t="str">
        <x:v>PASS_RUNTIME</x:v>
      </x:c>
      <x:c r="E11" s="15" t="str">
        <x:v>B已核；1.729秒</x:v>
      </x:c>
      <x:c r="F11" s="15" t="str">
        <x:v>03a</x:v>
      </x:c>
    </x:row>
    <x:row r="12" ht="48" customHeight="1">
      <x:c r="A12" s="14" t="str">
        <x:v>年份2023作用域</x:v>
      </x:c>
      <x:c r="B12" s="14" t="str">
        <x:v>只影响C1；年份列均为2023</x:v>
      </x:c>
      <x:c r="C12" s="14" t="str">
        <x:v>C1=80；C2/C3仍734</x:v>
      </x:c>
      <x:c r="D12" s="14" t="str">
        <x:v>PASS_RUNTIME</x:v>
      </x:c>
      <x:c r="E12" s="14" t="str">
        <x:v>B已核；1.738秒</x:v>
      </x:c>
      <x:c r="F12" s="14" t="str">
        <x:v>03c</x:v>
      </x:c>
    </x:row>
    <x:row r="13" ht="48" customHeight="1">
      <x:c r="A13" s="15" t="str">
        <x:v>来源类型作用域</x:v>
      </x:c>
      <x:c r="B13" s="15" t="str">
        <x:v>只影响C2/C3</x:v>
      </x:c>
      <x:c r="C13" s="15" t="str">
        <x:v>DOCUMENT_OFFICIAL：C2=42、C3=42；C1=2744</x:v>
      </x:c>
      <x:c r="D13" s="15" t="str">
        <x:v>PASS_RUNTIME</x:v>
      </x:c>
      <x:c r="E13" s="15" t="str">
        <x:v>B已核；1.892秒</x:v>
      </x:c>
      <x:c r="F13" s="15" t="str">
        <x:v>03d</x:v>
      </x:c>
    </x:row>
    <x:row r="14" ht="48" customHeight="1">
      <x:c r="A14" s="14" t="str">
        <x:v>待核状态作用域</x:v>
      </x:c>
      <x:c r="B14" s="14" t="str">
        <x:v>只影响C1；机提待核=40</x:v>
      </x:c>
      <x:c r="C14" s="14" t="str">
        <x:v>C1=40；C2/C3仍734</x:v>
      </x:c>
      <x:c r="D14" s="14" t="str">
        <x:v>PASS_RUNTIME</x:v>
      </x:c>
      <x:c r="E14" s="14" t="str">
        <x:v>B已核；1.823秒</x:v>
      </x:c>
      <x:c r="F14" s="14" t="str">
        <x:v>03e</x:v>
      </x:c>
    </x:row>
    <x:row r="15" ht="48" customHeight="1">
      <x:c r="A15" s="15" t="str">
        <x:v>五项典型操作性能</x:v>
      </x:c>
      <x:c r="B15" s="15" t="str">
        <x:v>每项≤10秒</x:v>
      </x:c>
      <x:c r="C15" s="15" t="str">
        <x:v>1.729 / 0.685 / 1.738 / 1.892 / 1.823秒</x:v>
      </x:c>
      <x:c r="D15" s="15" t="str">
        <x:f>IF(COUNTIF('性能计时'!D3:D7,"FAIL")=0,"PASS_RUNTIME","FAIL")</x:f>
        <x:v>PASS_RUNTIME</x:v>
      </x:c>
      <x:c r="E15" s="15" t="str">
        <x:v>见性能计时sheet</x:v>
      </x:c>
      <x:c r="F15" s="15" t="str">
        <x:v>03a—03e</x:v>
      </x:c>
    </x:row>
    <x:row r="16" ht="48" customHeight="1">
      <x:c r="A16" s="14" t="str">
        <x:v>复测后默认态</x:v>
      </x:c>
      <x:c r="B16" s="14" t="str">
        <x:v>四筛选器全部/不限；C1、C2、C3恢复默认</x:v>
      </x:c>
      <x:c r="C16" s="14" t="str">
        <x:v>四筛选器已清空；2744 / 734 / 734；七段简报为全量口径</x:v>
      </x:c>
      <x:c r="D16" s="14" t="str">
        <x:v>PASS_RUNTIME</x:v>
      </x:c>
      <x:c r="E16" s="14" t="str">
        <x:v>已恢复并留图</x:v>
      </x:c>
      <x:c r="F16" s="14" t="str">
        <x:v>05a/05b</x:v>
      </x:c>
    </x:row>
    <x:row r="17" ht="48" customHeight="1">
      <x:c r="A17" s="15" t="str">
        <x:v>B本人签署</x:v>
      </x:c>
      <x:c r="B17" s="15" t="str">
        <x:v>B核对正式材料后本人签PASS/FAIL/BLOCKED</x:v>
      </x:c>
      <x:c r="C17" s="15" t="str">
        <x:v>B已于2026-09-01 22:30 +08:00本人签署PASS；AI不代签</x:v>
      </x:c>
      <x:c r="D17" s="15" t="str">
        <x:v>B_SIGNED_PASS</x:v>
      </x:c>
      <x:c r="E17" s="15" t="str">
        <x:v>提交A只读复核</x:v>
      </x:c>
      <x:c r="F17" s="15" t="str">
        <x:v>DB05_ACCEPTANCE_V50.txt</x:v>
      </x:c>
    </x:row>
    <x:row r="18" ht="48" customHeight="1">
      <x:c r="A18" s="14" t="str">
        <x:v>A只读复核</x:v>
      </x:c>
      <x:c r="B18" s="14" t="str">
        <x:v>A只读复核并签PASS/FAIL/BLOCKED</x:v>
      </x:c>
      <x:c r="C18" s="14" t="str">
        <x:v>待A复核；B不代签A</x:v>
      </x:c>
      <x:c r="D18" s="14" t="str">
        <x:v>A_REVIEW_PENDING</x:v>
      </x:c>
      <x:c r="E18" s="14" t="str">
        <x:v>向A提交本目录正式证据</x:v>
      </x:c>
      <x:c r="F18" s="14" t="str">
        <x:v>本工作簿+组件映射+验收文本</x:v>
      </x:c>
    </x:row>
    <x:row r="19" ht="48" customHeight="1">
      <x:c r="A19" s="15" t="str">
        <x:v>DB05当前正式状态</x:v>
      </x:c>
      <x:c r="B19" s="15" t="str">
        <x:v>三件套、B签署、A复核及冻结口径全部闭环后PASS</x:v>
      </x:c>
      <x:c r="C19" s="15" t="str">
        <x:v>截图/10个source_id/性能/三件套齐全；全量2744口径已应用；B已本人签署PASS；A未签</x:v>
      </x:c>
      <x:c r="D19" s="15" t="str">
        <x:v>B_SIGNED_PASS / A_REVIEW_PENDING</x:v>
      </x:c>
      <x:c r="E19" s="15" t="str">
        <x:v>等待A本人只读复核并签署</x:v>
      </x:c>
      <x:c r="F19" s="15" t="str">
        <x:v>DB05_ACCEPTANCE_V50.txt</x:v>
      </x:c>
    </x:row>
  </x:sheetData>
  <x:mergeCells>
    <x:mergeCell ref="A1:F1"/>
  </x:mergeCells>
  <x:conditionalFormatting sqref="D3:D19">
    <x:cfRule type="containsText" dxfId="0" priority="1" operator="containsText" text="PASS"/>
    <x:cfRule type="containsText" dxfId="1" priority="2" operator="containsText" text="READY"/>
    <x:cfRule type="containsText" dxfId="2" priority="3" operator="containsText" text="PENDING"/>
    <x:cfRule type="containsText" dxfId="3" priority="4" operator="containsText" text="BLOCKED"/>
    <x:cfRule type="containsText" dxfId="4" priority="5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c43b665ce03c45c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0" hidden="0" customWidth="1"/>
    <x:col min="3" max="3" width="23.75" hidden="0" customWidth="1"/>
    <x:col min="4" max="4" width="38.75" hidden="0" customWidth="1"/>
    <x:col min="5" max="5" width="48.75" hidden="0" customWidth="1"/>
    <x:col min="6" max="6" width="32.5" hidden="0" customWidth="1"/>
    <x:col min="7" max="7" width="13.130000114440918" hidden="0" customWidth="1"/>
    <x:col min="8" max="8" width="13.130000114440918" hidden="0" customWidth="1"/>
    <x:col min="9" max="9" width="15" hidden="0" customWidth="1"/>
    <x:col min="10" max="10" width="22.5" hidden="0" customWidth="1"/>
    <x:col min="11" max="11" width="26.25" hidden="0" customWidth="1"/>
    <x:col min="12" max="12" width="45" hidden="0" customWidth="1"/>
    <x:col min="13" max="13" width="26.25" hidden="0" customWidth="1"/>
    <x:col min="14" max="14" width="20" hidden="0" customWidth="1"/>
    <x:col min="15" max="15" width="13.75" hidden="0" customWidth="1"/>
    <x:col min="16" max="16" width="13.75" hidden="0" customWidth="1"/>
    <x:col min="17" max="17" width="12.5" hidden="0" customWidth="1"/>
    <x:col min="18" max="18" width="21.25" hidden="0" customWidth="1"/>
  </x:cols>
  <x:sheetData>
    <x:row r="1" ht="33" customHeight="1">
      <x:c r="A1" s="11" t="str">
        <x:v>DB05 source_id 正式抽查｜10行×12字段=120单元格｜2026-09-01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</x:row>
    <x:row r="2" ht="27" customHeight="1">
      <x:c r="A2" s="12" t="str">
        <x:v>source_id</x:v>
      </x:c>
      <x:c r="B2" s="10" t="str">
        <x:v>页面页码</x:v>
      </x:c>
      <x:c r="C2" s="10" t="str">
        <x:v>publisher</x:v>
      </x:c>
      <x:c r="D2" s="10" t="str">
        <x:v>dataset_name</x:v>
      </x:c>
      <x:c r="E2" s="10" t="str">
        <x:v>source_url</x:v>
      </x:c>
      <x:c r="F2" s="10" t="str">
        <x:v>license</x:v>
      </x:c>
      <x:c r="G2" s="10" t="str">
        <x:v>coverage_start</x:v>
      </x:c>
      <x:c r="H2" s="10" t="str">
        <x:v>coverage_end</x:v>
      </x:c>
      <x:c r="I2" s="10" t="str">
        <x:v>publication_date</x:v>
      </x:c>
      <x:c r="J2" s="10" t="str">
        <x:v>fetch_timestamp</x:v>
      </x:c>
      <x:c r="K2" s="10" t="str">
        <x:v>data_version</x:v>
      </x:c>
      <x:c r="L2" s="10" t="str">
        <x:v>sha256</x:v>
      </x:c>
      <x:c r="M2" s="10" t="str">
        <x:v>quality_flag</x:v>
      </x:c>
      <x:c r="N2" s="10" t="str">
        <x:v>formal_use_state</x:v>
      </x:c>
      <x:c r="O2" s="10" t="str">
        <x:v>12字段空白数</x:v>
      </x:c>
      <x:c r="P2" s="10" t="str">
        <x:v>已核单元格</x:v>
      </x:c>
      <x:c r="Q2" s="10" t="str">
        <x:v>结果</x:v>
      </x:c>
      <x:c r="R2" s="13" t="str">
        <x:v>页面证据</x:v>
      </x:c>
    </x:row>
    <x:row r="3" ht="69" customHeight="1">
      <x:c r="A3" s="15" t="str">
        <x:v>SRC0001</x:v>
      </x:c>
      <x:c r="B3" s="15" t="n">
        <x:v>1</x:v>
      </x:c>
      <x:c r="C3" s="15" t="str">
        <x:v>项目已有资料</x:v>
      </x:c>
      <x:c r="D3" s="15" t="str">
        <x:v>~$XH-202612比赛硬性要求与评分标准_含技术方案.xlsx</x:v>
      </x:c>
      <x:c r="E3" s="15" t="str">
        <x:v>（空）</x:v>
      </x:c>
      <x:c r="F3" s="15" t="str">
        <x:v>仅题录可用,正文不再分发</x:v>
      </x:c>
      <x:c r="G3" s="15" t="str">
        <x:v>（空）</x:v>
      </x:c>
      <x:c r="H3" s="15" t="str">
        <x:v>（空）</x:v>
      </x:c>
      <x:c r="I3" s="15" t="str">
        <x:v>（空）</x:v>
      </x:c>
      <x:c r="J3" s="15" t="str">
        <x:v>（空）</x:v>
      </x:c>
      <x:c r="K3" s="15" t="str">
        <x:v>（空）</x:v>
      </x:c>
      <x:c r="L3" s="15" t="str">
        <x:v>（空）</x:v>
      </x:c>
      <x:c r="M3" s="15" t="str">
        <x:v>reject</x:v>
      </x:c>
      <x:c r="N3" s="15" t="str">
        <x:v>EXCLUDED</x:v>
      </x:c>
      <x:c r="O3" s="15" t="n">
        <x:v>7</x:v>
      </x:c>
      <x:c r="P3" s="15" t="n">
        <x:v>12</x:v>
      </x:c>
      <x:c r="Q3" s="15" t="str">
        <x:f>IF(P3=12,"PASS","FAIL")</x:f>
        <x:v>PASS</x:v>
      </x:c>
      <x:c r="R3" s="15" t="str">
        <x:v>02a/02b</x:v>
      </x:c>
    </x:row>
    <x:row r="4" ht="69" customHeight="1">
      <x:c r="A4" s="14" t="str">
        <x:v>SRC0002</x:v>
      </x:c>
      <x:c r="B4" s="14" t="n">
        <x:v>1</x:v>
      </x:c>
      <x:c r="C4" s="14" t="str">
        <x:v>项目已有资料</x:v>
      </x:c>
      <x:c r="D4" s="14" t="str">
        <x:v>02数据创新平台.pdf</x:v>
      </x:c>
      <x:c r="E4" s="14" t="str">
        <x:v>（空）</x:v>
      </x:c>
      <x:c r="F4" s="14" t="str">
        <x:v>公开共享许可,原件可随提交包再分发</x:v>
      </x:c>
      <x:c r="G4" s="14" t="str">
        <x:v>（空）</x:v>
      </x:c>
      <x:c r="H4" s="14" t="str">
        <x:v>（空）</x:v>
      </x:c>
      <x:c r="I4" s="14" t="str">
        <x:v>（空）</x:v>
      </x:c>
      <x:c r="J4" s="14" t="str">
        <x:v>（空）</x:v>
      </x:c>
      <x:c r="K4" s="14" t="str">
        <x:v>（空）</x:v>
      </x:c>
      <x:c r="L4" s="14" t="str">
        <x:v>（空）</x:v>
      </x:c>
      <x:c r="M4" s="14" t="str">
        <x:v>review</x:v>
      </x:c>
      <x:c r="N4" s="14" t="str">
        <x:v>CORE</x:v>
      </x:c>
      <x:c r="O4" s="14" t="n">
        <x:v>7</x:v>
      </x:c>
      <x:c r="P4" s="14" t="n">
        <x:v>12</x:v>
      </x:c>
      <x:c r="Q4" s="14" t="str">
        <x:f>IF(P4=12,"PASS","FAIL")</x:f>
        <x:v>PASS</x:v>
      </x:c>
      <x:c r="R4" s="14" t="str">
        <x:v>02a/02b</x:v>
      </x:c>
    </x:row>
    <x:row r="5" ht="69" customHeight="1">
      <x:c r="A5" s="15" t="str">
        <x:v>SRC0003</x:v>
      </x:c>
      <x:c r="B5" s="15" t="n">
        <x:v>1</x:v>
      </x:c>
      <x:c r="C5" s="15" t="str">
        <x:v>项目团队</x:v>
      </x:c>
      <x:c r="D5" s="15" t="str">
        <x:v>案例档案.md</x:v>
      </x:c>
      <x:c r="E5" s="15" t="str">
        <x:v>（空）</x:v>
      </x:c>
      <x:c r="F5" s="15" t="str">
        <x:v>公开共享许可,原件可随提交包再分发</x:v>
      </x:c>
      <x:c r="G5" s="15" t="str">
        <x:v>（空）</x:v>
      </x:c>
      <x:c r="H5" s="15" t="str">
        <x:v>（空）</x:v>
      </x:c>
      <x:c r="I5" s="15" t="str">
        <x:v>（空）</x:v>
      </x:c>
      <x:c r="J5" s="15" t="str">
        <x:v>（空）</x:v>
      </x:c>
      <x:c r="K5" s="15" t="str">
        <x:v>（空）</x:v>
      </x:c>
      <x:c r="L5" s="15" t="str">
        <x:v>（空）</x:v>
      </x:c>
      <x:c r="M5" s="15" t="str">
        <x:v>review</x:v>
      </x:c>
      <x:c r="N5" s="15" t="str">
        <x:v>SUPPLEMENT</x:v>
      </x:c>
      <x:c r="O5" s="15" t="n">
        <x:v>7</x:v>
      </x:c>
      <x:c r="P5" s="15" t="n">
        <x:v>12</x:v>
      </x:c>
      <x:c r="Q5" s="15" t="str">
        <x:f>IF(P5=12,"PASS","FAIL")</x:f>
        <x:v>PASS</x:v>
      </x:c>
      <x:c r="R5" s="15" t="str">
        <x:v>02a/02b</x:v>
      </x:c>
    </x:row>
    <x:row r="6" ht="69" customHeight="1">
      <x:c r="A6" s="14" t="str">
        <x:v>SRC0119</x:v>
      </x:c>
      <x:c r="B6" s="14" t="n">
        <x:v>6</x:v>
      </x:c>
      <x:c r="C6" s="14" t="str">
        <x:v>项目已有资料</x:v>
      </x:c>
      <x:c r="D6" s="14" t="str">
        <x:v>01_金银传导链.png</x:v>
      </x:c>
      <x:c r="E6" s="14" t="str">
        <x:v>（空）</x:v>
      </x:c>
      <x:c r="F6" s="14" t="str">
        <x:v>公开共享许可,原件可随提交包再分发</x:v>
      </x:c>
      <x:c r="G6" s="14" t="str">
        <x:v>（空）</x:v>
      </x:c>
      <x:c r="H6" s="14" t="str">
        <x:v>（空）</x:v>
      </x:c>
      <x:c r="I6" s="14" t="str">
        <x:v>（空）</x:v>
      </x:c>
      <x:c r="J6" s="14" t="str">
        <x:v>（空）</x:v>
      </x:c>
      <x:c r="K6" s="14" t="str">
        <x:v>（空）</x:v>
      </x:c>
      <x:c r="L6" s="14" t="str">
        <x:v>（空）</x:v>
      </x:c>
      <x:c r="M6" s="14" t="str">
        <x:v>warn</x:v>
      </x:c>
      <x:c r="N6" s="14" t="str">
        <x:v>REPLACED</x:v>
      </x:c>
      <x:c r="O6" s="14" t="n">
        <x:v>7</x:v>
      </x:c>
      <x:c r="P6" s="14" t="n">
        <x:v>12</x:v>
      </x:c>
      <x:c r="Q6" s="14" t="str">
        <x:f>IF(P6=12,"PASS","FAIL")</x:f>
        <x:v>PASS</x:v>
      </x:c>
      <x:c r="R6" s="14" t="str">
        <x:v>02c/02d</x:v>
      </x:c>
    </x:row>
    <x:row r="7" ht="69" customHeight="1">
      <x:c r="A7" s="15" t="str">
        <x:v>SRC0120</x:v>
      </x:c>
      <x:c r="B7" s="15" t="n">
        <x:v>6</x:v>
      </x:c>
      <x:c r="C7" s="15" t="str">
        <x:v>项目已有资料</x:v>
      </x:c>
      <x:c r="D7" s="15" t="str">
        <x:v>02_金银因素表.png</x:v>
      </x:c>
      <x:c r="E7" s="15" t="str">
        <x:v>（空）</x:v>
      </x:c>
      <x:c r="F7" s="15" t="str">
        <x:v>公开共享许可,原件可随提交包再分发</x:v>
      </x:c>
      <x:c r="G7" s="15" t="str">
        <x:v>（空）</x:v>
      </x:c>
      <x:c r="H7" s="15" t="str">
        <x:v>（空）</x:v>
      </x:c>
      <x:c r="I7" s="15" t="str">
        <x:v>（空）</x:v>
      </x:c>
      <x:c r="J7" s="15" t="str">
        <x:v>（空）</x:v>
      </x:c>
      <x:c r="K7" s="15" t="str">
        <x:v>（空）</x:v>
      </x:c>
      <x:c r="L7" s="15" t="str">
        <x:v>（空）</x:v>
      </x:c>
      <x:c r="M7" s="15" t="str">
        <x:v>warn</x:v>
      </x:c>
      <x:c r="N7" s="15" t="str">
        <x:v>REPLACED</x:v>
      </x:c>
      <x:c r="O7" s="15" t="n">
        <x:v>7</x:v>
      </x:c>
      <x:c r="P7" s="15" t="n">
        <x:v>12</x:v>
      </x:c>
      <x:c r="Q7" s="15" t="str">
        <x:f>IF(P7=12,"PASS","FAIL")</x:f>
        <x:v>PASS</x:v>
      </x:c>
      <x:c r="R7" s="15" t="str">
        <x:v>02c/02d</x:v>
      </x:c>
    </x:row>
    <x:row r="8" ht="69" customHeight="1">
      <x:c r="A8" s="14" t="str">
        <x:v>SRC0689</x:v>
      </x:c>
      <x:c r="B8" s="14" t="n">
        <x:v>35</x:v>
      </x:c>
      <x:c r="C8" s="14" t="str">
        <x:v>Hiro Ito (Portland State University)</x:v>
      </x:c>
      <x:c r="D8" s="14" t="str">
        <x:v>Chinn-Ito KAOPEN index kaopen_2023.xls + Readme_kaopen2023.pdf</x:v>
      </x:c>
      <x:c r="E8" s="14" t="str">
        <x:v>https://web.pdx.edu/~ito/kaopen_2023.xls</x:v>
      </x:c>
      <x:c r="F8" s="14" t="str">
        <x:v>（空）</x:v>
      </x:c>
      <x:c r="G8" s="14" t="n">
        <x:v>1970</x:v>
      </x:c>
      <x:c r="H8" s="14" t="n">
        <x:v>2023</x:v>
      </x:c>
      <x:c r="I8" s="14" t="str">
        <x:v>（空）</x:v>
      </x:c>
      <x:c r="J8" s="14" t="str">
        <x:v>2026-08-19</x:v>
      </x:c>
      <x:c r="K8" s="14" t="str">
        <x:v>kaopen_2023 (AREAER 2024 based, released 2026-01-05)</x:v>
      </x:c>
      <x:c r="L8" s="14" t="str">
        <x:v>（空）</x:v>
      </x:c>
      <x:c r="M8" s="14" t="str">
        <x:v>final</x:v>
      </x:c>
      <x:c r="N8" s="14" t="str">
        <x:v>CORE</x:v>
      </x:c>
      <x:c r="O8" s="14" t="n">
        <x:v>3</x:v>
      </x:c>
      <x:c r="P8" s="14" t="n">
        <x:v>12</x:v>
      </x:c>
      <x:c r="Q8" s="14" t="str">
        <x:f>IF(P8=12,"PASS","FAIL")</x:f>
        <x:v>PASS</x:v>
      </x:c>
      <x:c r="R8" s="14" t="str">
        <x:v>02e—02i</x:v>
      </x:c>
    </x:row>
    <x:row r="9" ht="69" customHeight="1">
      <x:c r="A9" s="15" t="str">
        <x:v>SRC0690</x:v>
      </x:c>
      <x:c r="B9" s="15" t="n">
        <x:v>35</x:v>
      </x:c>
      <x:c r="C9" s="15" t="str">
        <x:v>Ilzetzki, Reinhart, Rogoff</x:v>
      </x:c>
      <x:c r="D9" s="15" t="str">
        <x:v>ERA_Classification_Monthly_1940-2019.xlsx</x:v>
      </x:c>
      <x:c r="E9" s="15" t="str">
        <x:v>https://www.ilzetzki.com/irr-data</x:v>
      </x:c>
      <x:c r="F9" s="15" t="str">
        <x:v>（空）</x:v>
      </x:c>
      <x:c r="G9" s="15" t="n">
        <x:v>1940</x:v>
      </x:c>
      <x:c r="H9" s="15" t="n">
        <x:v>2019</x:v>
      </x:c>
      <x:c r="I9" s="15" t="str">
        <x:v>（空）</x:v>
      </x:c>
      <x:c r="J9" s="15" t="str">
        <x:v>2026-08-19</x:v>
      </x:c>
      <x:c r="K9" s="15" t="str">
        <x:v>last update 2021-08-27</x:v>
      </x:c>
      <x:c r="L9" s="15" t="str">
        <x:v>（空）</x:v>
      </x:c>
      <x:c r="M9" s="15" t="str">
        <x:v>final</x:v>
      </x:c>
      <x:c r="N9" s="15" t="str">
        <x:v>CORE</x:v>
      </x:c>
      <x:c r="O9" s="15" t="n">
        <x:v>3</x:v>
      </x:c>
      <x:c r="P9" s="15" t="n">
        <x:v>12</x:v>
      </x:c>
      <x:c r="Q9" s="15" t="str">
        <x:f>IF(P9=12,"PASS","FAIL")</x:f>
        <x:v>PASS</x:v>
      </x:c>
      <x:c r="R9" s="15" t="str">
        <x:v>02e—02i</x:v>
      </x:c>
    </x:row>
    <x:row r="10" ht="69" customHeight="1">
      <x:c r="A10" s="14" t="str">
        <x:v>SRC0691</x:v>
      </x:c>
      <x:c r="B10" s="14" t="n">
        <x:v>35</x:v>
      </x:c>
      <x:c r="C10" s="14" t="str">
        <x:v>IMF</x:v>
      </x:c>
      <x:c r="D10" s="14" t="str">
        <x:v>AREAER online database (elibrary-areaer.imf.org)</x:v>
      </x:c>
      <x:c r="E10" s="14" t="str">
        <x:v>https://www.elibrary-areaer.imf.org/</x:v>
      </x:c>
      <x:c r="F10" s="14" t="str">
        <x:v>（空）</x:v>
      </x:c>
      <x:c r="G10" s="14" t="str">
        <x:v>（空）</x:v>
      </x:c>
      <x:c r="H10" s="14" t="str">
        <x:v>（空）</x:v>
      </x:c>
      <x:c r="I10" s="14" t="str">
        <x:v>（空）</x:v>
      </x:c>
      <x:c r="J10" s="14" t="str">
        <x:v>（空）</x:v>
      </x:c>
      <x:c r="K10" s="14" t="str">
        <x:v>（空）</x:v>
      </x:c>
      <x:c r="L10" s="14" t="str">
        <x:v>（空）</x:v>
      </x:c>
      <x:c r="M10" s="14" t="str">
        <x:v>pending</x:v>
      </x:c>
      <x:c r="N10" s="14" t="str">
        <x:v>PENDING_MANUAL</x:v>
      </x:c>
      <x:c r="O10" s="14" t="n">
        <x:v>7</x:v>
      </x:c>
      <x:c r="P10" s="14" t="n">
        <x:v>12</x:v>
      </x:c>
      <x:c r="Q10" s="14" t="str">
        <x:f>IF(P10=12,"PASS","FAIL")</x:f>
        <x:v>PASS</x:v>
      </x:c>
      <x:c r="R10" s="14" t="str">
        <x:v>02e—02i</x:v>
      </x:c>
    </x:row>
    <x:row r="11" ht="69" customHeight="1">
      <x:c r="A11" s="15" t="str">
        <x:v>SRC0693</x:v>
      </x:c>
      <x:c r="B11" s="15" t="n">
        <x:v>35</x:v>
      </x:c>
      <x:c r="C11" s="15" t="str">
        <x:v>World Bank</x:v>
      </x:c>
      <x:c r="D11" s="15" t="str">
        <x:v>Brazil - Systematic country diagnostic (Vol. 1 of 3)</x:v>
      </x:c>
      <x:c r="E11" s="15" t="str">
        <x:v>http://documents.worldbank.org/curated/en/180351467995438283/pdf/101431-REVISED-SCD-Brazil-SCD-Final-version-May-6-2016.pdf</x:v>
      </x:c>
      <x:c r="F11" s="15" t="str">
        <x:v>官方公开报告；许可状态未单独核定</x:v>
      </x:c>
      <x:c r="G11" s="15" t="n">
        <x:v>2015</x:v>
      </x:c>
      <x:c r="H11" s="15" t="n">
        <x:v>2016</x:v>
      </x:c>
      <x:c r="I11" s="15" t="str">
        <x:v>2016-02-23</x:v>
      </x:c>
      <x:c r="J11" s="15" t="n">
        <x:v>46253.36676876157</x:v>
      </x:c>
      <x:c r="K11" s="15" t="str">
        <x:v>2016-02-23</x:v>
      </x:c>
      <x:c r="L11" s="15" t="str">
        <x:v>713cd2e3ccb6121e86bacf3f536e714ccfb9207c47fc5210bcb085375fef5f2f</x:v>
      </x:c>
      <x:c r="M11" s="15" t="str">
        <x:v>ai_evidence_final_user_confirmed</x:v>
      </x:c>
      <x:c r="N11" s="15" t="str">
        <x:v>CORE</x:v>
      </x:c>
      <x:c r="O11" s="15" t="n">
        <x:v>0</x:v>
      </x:c>
      <x:c r="P11" s="15" t="n">
        <x:v>12</x:v>
      </x:c>
      <x:c r="Q11" s="15" t="str">
        <x:f>IF(P11=12,"PASS","FAIL")</x:f>
        <x:v>PASS</x:v>
      </x:c>
      <x:c r="R11" s="15" t="str">
        <x:v>02e—02i</x:v>
      </x:c>
    </x:row>
    <x:row r="12" ht="69" customHeight="1">
      <x:c r="A12" s="14" t="str">
        <x:v>SRC0694</x:v>
      </x:c>
      <x:c r="B12" s="14" t="n">
        <x:v>35</x:v>
      </x:c>
      <x:c r="C12" s="14" t="str">
        <x:v>ECLAC</x:v>
      </x:c>
      <x:c r="D12" s="14" t="str">
        <x:v>Economic Survey of Latin America and the Caribbean 2016 - Colombia country note</x:v>
      </x:c>
      <x:c r="E12" s="14" t="str">
        <x:v>https://repositorio.cepal.org/server/api/core/bitstreams/ff7c322f-c8c7-434b-a371-c99b4b5019fa/content</x:v>
      </x:c>
      <x:c r="F12" s="14" t="str">
        <x:v>官方公开报告；许可状态未单独核定</x:v>
      </x:c>
      <x:c r="G12" s="14" t="n">
        <x:v>2014</x:v>
      </x:c>
      <x:c r="H12" s="14" t="n">
        <x:v>2016</x:v>
      </x:c>
      <x:c r="I12" s="14" t="str">
        <x:v>2016-09-01</x:v>
      </x:c>
      <x:c r="J12" s="14" t="n">
        <x:v>46254.03680940972</x:v>
      </x:c>
      <x:c r="K12" s="14" t="str">
        <x:v>2016-09-01</x:v>
      </x:c>
      <x:c r="L12" s="14" t="str">
        <x:v>27df661b13c9e179e6f924d42132db0d17ba7b07e71a9b1acab36407f6d6b306</x:v>
      </x:c>
      <x:c r="M12" s="14" t="str">
        <x:v>ai_evidence_final_user_confirmed</x:v>
      </x:c>
      <x:c r="N12" s="14" t="str">
        <x:v>CORE</x:v>
      </x:c>
      <x:c r="O12" s="14" t="n">
        <x:v>0</x:v>
      </x:c>
      <x:c r="P12" s="14" t="n">
        <x:v>12</x:v>
      </x:c>
      <x:c r="Q12" s="14" t="str">
        <x:f>IF(P12=12,"PASS","FAIL")</x:f>
        <x:v>PASS</x:v>
      </x:c>
      <x:c r="R12" s="14" t="str">
        <x:v>02e—02i</x:v>
      </x:c>
    </x:row>
  </x:sheetData>
  <x:mergeCells>
    <x:mergeCell ref="A1:R1"/>
  </x:mergeCells>
  <x:conditionalFormatting sqref="Q3:Q12">
    <x:cfRule type="containsText" dxfId="5" priority="1" operator="containsText" text="PASS"/>
    <x:cfRule type="containsText" dxfId="6" priority="2" operator="containsText" text="READY"/>
    <x:cfRule type="containsText" dxfId="7" priority="3" operator="containsText" text="PENDING"/>
    <x:cfRule type="containsText" dxfId="8" priority="4" operator="containsText" text="BLOCKED"/>
    <x:cfRule type="containsText" dxfId="9" priority="5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d2cac8d892eb46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5" hidden="0" customWidth="1"/>
    <x:col min="2" max="2" width="30" hidden="0" customWidth="1"/>
    <x:col min="3" max="3" width="13.75" hidden="0" customWidth="1"/>
    <x:col min="4" max="4" width="13.75" hidden="0" customWidth="1"/>
    <x:col min="5" max="5" width="42.5" hidden="0" customWidth="1"/>
    <x:col min="6" max="6" width="65" hidden="0" customWidth="1"/>
    <x:col min="7" max="7" width="12.5" hidden="0" customWidth="1"/>
  </x:cols>
  <x:sheetData>
    <x:row r="1" ht="33" customHeight="1">
      <x:c r="A1" s="11" t="str">
        <x:v>DB05 五项典型操作性能计时｜2026-09-01</x:v>
      </x:c>
      <x:c r="B1" s="11"/>
      <x:c r="C1" s="11"/>
      <x:c r="D1" s="11"/>
      <x:c r="E1" s="11"/>
      <x:c r="F1" s="11"/>
      <x:c r="G1" s="11"/>
    </x:row>
    <x:row r="2" ht="27" customHeight="1">
      <x:c r="A2" s="12" t="str">
        <x:v>操作</x:v>
      </x:c>
      <x:c r="B2" s="10" t="str">
        <x:v>现场结果</x:v>
      </x:c>
      <x:c r="C2" s="10" t="str">
        <x:v>耗时（秒）</x:v>
      </x:c>
      <x:c r="D2" s="10" t="str">
        <x:v>结果</x:v>
      </x:c>
      <x:c r="E2" s="10" t="str">
        <x:v>作用域核对</x:v>
      </x:c>
      <x:c r="F2" s="10" t="str">
        <x:v>证据</x:v>
      </x:c>
      <x:c r="G2" s="13" t="str">
        <x:v>阈值（秒）</x:v>
      </x:c>
    </x:row>
    <x:row r="3" ht="40.5" customHeight="1">
      <x:c r="A3" s="15" t="str">
        <x:v>国家=埃及</x:v>
      </x:c>
      <x:c r="B3" s="15" t="str">
        <x:v>政策表69条</x:v>
      </x:c>
      <x:c r="C3" s="16" t="n">
        <x:v>1.729</x:v>
      </x:c>
      <x:c r="D3" s="15" t="str">
        <x:f>IF(C3&lt;=G3,"PASS","FAIL")</x:f>
        <x:v>PASS</x:v>
      </x:c>
      <x:c r="E3" s="15" t="str">
        <x:v>仅C1变化；C2/C3保持734</x:v>
      </x:c>
      <x:c r="F3" s="15" t="str">
        <x:v>03a_DB05_性能1_国家埃及_69条_1.729秒_PASS_20260901.png</x:v>
      </x:c>
      <x:c r="G3" s="15" t="n">
        <x:v>10</x:v>
      </x:c>
    </x:row>
    <x:row r="4" ht="40.5" customHeight="1">
      <x:c r="A4" s="14" t="str">
        <x:v>清除国家并恢复默认</x:v>
      </x:c>
      <x:c r="B4" s="14" t="str">
        <x:v>政策表2744条</x:v>
      </x:c>
      <x:c r="C4" s="17" t="n">
        <x:v>0.685</x:v>
      </x:c>
      <x:c r="D4" s="14" t="str">
        <x:f>IF(C4&lt;=G4,"PASS","FAIL")</x:f>
        <x:v>PASS</x:v>
      </x:c>
      <x:c r="E4" s="14" t="str">
        <x:v>C1恢复默认；C2/C3保持734</x:v>
      </x:c>
      <x:c r="F4" s="14" t="str">
        <x:v>03b_DB05_性能2_恢复默认2744条_0.685秒_PASS_20260901.png</x:v>
      </x:c>
      <x:c r="G4" s="14" t="n">
        <x:v>10</x:v>
      </x:c>
    </x:row>
    <x:row r="5" ht="40.5" customHeight="1">
      <x:c r="A5" s="15" t="str">
        <x:v>年份=2023</x:v>
      </x:c>
      <x:c r="B5" s="15" t="str">
        <x:v>政策表80条</x:v>
      </x:c>
      <x:c r="C5" s="16" t="n">
        <x:v>1.738</x:v>
      </x:c>
      <x:c r="D5" s="15" t="str">
        <x:f>IF(C5&lt;=G5,"PASS","FAIL")</x:f>
        <x:v>PASS</x:v>
      </x:c>
      <x:c r="E5" s="15" t="str">
        <x:v>仅C1变化；年份列均为2023</x:v>
      </x:c>
      <x:c r="F5" s="15" t="str">
        <x:v>03c_DB05_性能3_年份2023_80条_1.738秒_PASS_20260901.png</x:v>
      </x:c>
      <x:c r="G5" s="15" t="n">
        <x:v>10</x:v>
      </x:c>
    </x:row>
    <x:row r="6" ht="40.5" customHeight="1">
      <x:c r="A6" s="14" t="str">
        <x:v>来源类型=DOCUMENT_OFFICIAL</x:v>
      </x:c>
      <x:c r="B6" s="14" t="str">
        <x:v>追溯表42条；处置表42条</x:v>
      </x:c>
      <x:c r="C6" s="17" t="n">
        <x:v>1.892</x:v>
      </x:c>
      <x:c r="D6" s="14" t="str">
        <x:f>IF(C6&lt;=G6,"PASS","FAIL")</x:f>
        <x:v>PASS</x:v>
      </x:c>
      <x:c r="E6" s="14" t="str">
        <x:v>仅C2/C3变化；C1保持2744</x:v>
      </x:c>
      <x:c r="F6" s="14" t="str">
        <x:v>03d_DB05_性能4_来源类型_DOCUMENT_OFFICIAL_双表42条_1.892秒_PASS_20260901.png</x:v>
      </x:c>
      <x:c r="G6" s="14" t="n">
        <x:v>10</x:v>
      </x:c>
    </x:row>
    <x:row r="7" ht="40.5" customHeight="1">
      <x:c r="A7" s="15" t="str">
        <x:v>政策复核状态=机提待核</x:v>
      </x:c>
      <x:c r="B7" s="15" t="str">
        <x:v>政策表40条</x:v>
      </x:c>
      <x:c r="C7" s="16" t="n">
        <x:v>1.823</x:v>
      </x:c>
      <x:c r="D7" s="15" t="str">
        <x:f>IF(C7&lt;=G7,"PASS","FAIL")</x:f>
        <x:v>PASS</x:v>
      </x:c>
      <x:c r="E7" s="15" t="str">
        <x:v>仅C1变化；C2/C3保持734</x:v>
      </x:c>
      <x:c r="F7" s="15" t="str">
        <x:v>03e_DB05_性能5_机提待核_40条_1.823秒_PASS_20260901.png</x:v>
      </x:c>
      <x:c r="G7" s="15" t="n">
        <x:v>10</x:v>
      </x:c>
    </x:row>
  </x:sheetData>
  <x:mergeCells>
    <x:mergeCell ref="A1:G1"/>
  </x:mergeCells>
  <x:conditionalFormatting sqref="D3:D7">
    <x:cfRule type="containsText" dxfId="10" priority="1" operator="containsText" text="PASS"/>
    <x:cfRule type="containsText" dxfId="11" priority="2" operator="containsText" text="READY"/>
    <x:cfRule type="containsText" dxfId="12" priority="3" operator="containsText" text="PENDING"/>
    <x:cfRule type="containsText" dxfId="13" priority="4" operator="containsText" text="BLOCKED"/>
    <x:cfRule type="containsText" dxfId="14" priority="5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adf91a0c14194a6e"/>
  </x:tableParts>
</x:worksheet>
</file>