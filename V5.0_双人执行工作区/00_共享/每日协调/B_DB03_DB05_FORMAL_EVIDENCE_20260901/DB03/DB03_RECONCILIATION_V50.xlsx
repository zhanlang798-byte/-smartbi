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99e39ac54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账结果" sheetId="1" r:id="R9b700a3b1b6746d0"/>
    <x:sheet xmlns:r="http://schemas.openxmlformats.org/officeDocument/2006/relationships" name="性能计时" sheetId="2" r:id="R249e9923c35e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1"/>
      <x:color rgb="FF1F2937"/>
      <x:name val="Microsoft YaHei"/>
    </x:font>
    <x:font>
      <x:b/>
      <x:sz val="16"/>
      <x:color rgb="FFFFFFFF"/>
      <x:name val="Microsoft YaHei"/>
    </x:font>
    <x:font>
      <x:b/>
      <x:sz val="11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65F73"/>
      </x:patternFill>
    </x:fill>
    <x:fill>
      <x:patternFill patternType="solid">
        <x:fgColor rgb="FFEAF1F5"/>
      </x:patternFill>
    </x:fill>
    <x:fill>
      <x:patternFill patternType="solid">
        <x:fgColor rgb="FFC4E7F5"/>
      </x:patternFill>
    </x:fill>
  </x:fills>
  <x:borders count="1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/>
    <x:xf numFmtId="0" fontId="1" fillId="0" borderId="4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200" fontId="1" fillId="4" borderId="7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21146119849d2" /><Relationship Type="http://schemas.openxmlformats.org/officeDocument/2006/relationships/theme" Target="/xl/theme/theme1.xml" Id="Rb7703e2346ca4490" /><Relationship Type="http://schemas.openxmlformats.org/officeDocument/2006/relationships/sharedStrings" Target="/xl/sharedStrings.xml" Id="Ra81a1fe34ad84051" /><Relationship Type="http://schemas.openxmlformats.org/officeDocument/2006/relationships/worksheet" Target="/xl/worksheets/sheet1.xml" Id="R9b700a3b1b6746d0" /><Relationship Type="http://schemas.openxmlformats.org/officeDocument/2006/relationships/worksheet" Target="/xl/worksheets/sheet2.xml" Id="R249e9923c35e49b4" /></Relationships>
</file>

<file path=xl/tables/table1.xml><?xml version="1.0" encoding="utf-8"?>
<x:table xmlns:x="http://schemas.openxmlformats.org/spreadsheetml/2006/main" id="1" name="DB03ReconciliationTable" displayName="DB03ReconciliationTable" ref="A2:F19" headerRowCount="1" totalsRowCount="0" totalsRowShown="0">
  <x:autoFilter ref="A2:F19"/>
  <x:tableColumns count="6">
    <x:tableColumn id="1" name="检查项"/>
    <x:tableColumn id="2" name="预期"/>
    <x:tableColumn id="3" name="现场实际"/>
    <x:tableColumn id="4" name="结果"/>
    <x:tableColumn id="5" name="责任/下一动作"/>
    <x:tableColumn id="6" name="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125323ec4540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5" hidden="0" customWidth="1"/>
    <x:col min="3" max="3" width="45" hidden="0" customWidth="1"/>
    <x:col min="4" max="4" width="22.5" hidden="0" customWidth="1"/>
    <x:col min="5" max="5" width="32.5" hidden="0" customWidth="1"/>
    <x:col min="6" max="6" width="41.25" hidden="0" customWidth="1"/>
  </x:cols>
  <x:sheetData>
    <x:row r="1" ht="33" customHeight="1">
      <x:c r="A1" s="11" t="str">
        <x:v>DB03 页面对账与验收结果｜2026-09-01</x:v>
      </x:c>
      <x:c r="B1" s="11"/>
      <x:c r="C1" s="11"/>
      <x:c r="D1" s="11"/>
      <x:c r="E1" s="11"/>
      <x:c r="F1" s="11"/>
    </x:row>
    <x:row r="2" ht="25.5" customHeight="1">
      <x:c r="A2" s="12" t="str">
        <x:v>检查项</x:v>
      </x:c>
      <x:c r="B2" s="10" t="str">
        <x:v>预期</x:v>
      </x:c>
      <x:c r="C2" s="10" t="str">
        <x:v>现场实际</x:v>
      </x:c>
      <x:c r="D2" s="10" t="str">
        <x:v>结果</x:v>
      </x:c>
      <x:c r="E2" s="10" t="str">
        <x:v>责任/下一动作</x:v>
      </x:c>
      <x:c r="F2" s="13" t="str">
        <x:v>证据</x:v>
      </x:c>
    </x:row>
    <x:row r="3" ht="43.5" customHeight="1">
      <x:c r="A3" s="15" t="str">
        <x:v>固定对象与标题</x:v>
      </x:c>
      <x:c r="B3" s="15" t="str">
        <x:v>DB03_XH202612_V50_COMPANY_BOUNDARY；标题和问题说明齐全</x:v>
      </x:c>
      <x:c r="C3" s="15" t="str">
        <x:v>对象页预览正常；标题与说明居中完整显示</x:v>
      </x:c>
      <x:c r="D3" s="15" t="str">
        <x:v>PASS_PAGE</x:v>
      </x:c>
      <x:c r="E3" s="15" t="str">
        <x:v>B页面运行时已核</x:v>
      </x:c>
      <x:c r="F3" s="15" t="str">
        <x:v>01c_DB03_默认全页_预览态_上半页_20260901.png</x:v>
      </x:c>
    </x:row>
    <x:row r="4" ht="43.5" customHeight="1">
      <x:c r="A4" s="14" t="str">
        <x:v>四筛选器字段与默认值</x:v>
      </x:c>
      <x:c r="B4" s="14" t="str">
        <x:v>企业/行业来自V50_dim_company；财年/质量来自V50_company_overseas_exposure；默认全部</x:v>
      </x:c>
      <x:c r="C4" s="14" t="str">
        <x:v>企业、行业、财年、数据质量四项齐；质量已从误绑fiscal_year修正为quality_flag</x:v>
      </x:c>
      <x:c r="D4" s="14" t="str">
        <x:v>PASS_CONFIG</x:v>
      </x:c>
      <x:c r="E4" s="14" t="str">
        <x:v>B已修正并完成运行时复测</x:v>
      </x:c>
      <x:c r="F4" s="14" t="str">
        <x:v>05d绑定证据；08e真实候选项</x:v>
      </x:c>
    </x:row>
    <x:row r="5" ht="43.5" customHeight="1">
      <x:c r="A5" s="15" t="str">
        <x:v>默认页面基线</x:v>
      </x:c>
      <x:c r="B5" s="15" t="str">
        <x:v>企业20；矩阵20家；Global160；Region8；Country0；收入字段0</x:v>
      </x:c>
      <x:c r="C5" s="15" t="str">
        <x:v>20 / 20 / 160 / 8 / 0 / 0</x:v>
      </x:c>
      <x:c r="D5" s="15" t="str">
        <x:v>PASS_RUNTIME</x:v>
      </x:c>
      <x:c r="E5" s="15" t="str">
        <x:v>B已核</x:v>
      </x:c>
      <x:c r="F5" s="15" t="str">
        <x:v>01c/01d；10b恢复默认</x:v>
      </x:c>
    </x:row>
    <x:row r="6" ht="43.5" customHeight="1">
      <x:c r="A6" s="14" t="str">
        <x:v>企业目录与排序</x:v>
      </x:c>
      <x:c r="B6" s="14" t="str">
        <x:v>20家；company_id全局升序；前五行COMP001—COMP005</x:v>
      </x:c>
      <x:c r="C6" s="14" t="str">
        <x:v>20条；前五行与华为、联想、中兴通讯、传音控股、海尔智家对应</x:v>
      </x:c>
      <x:c r="D6" s="14" t="str">
        <x:v>PASS_RUNTIME</x:v>
      </x:c>
      <x:c r="E6" s="14" t="str">
        <x:v>B已核</x:v>
      </x:c>
      <x:c r="F6" s="14" t="str">
        <x:v>01c_DB03_默认全页_预览态_上半页_20260901.png</x:v>
      </x:c>
    </x:row>
    <x:row r="7" ht="43.5" customHeight="1">
      <x:c r="A7" s="15" t="str">
        <x:v>披露矩阵默认口径</x:v>
      </x:c>
      <x:c r="B7" s="15" t="str">
        <x:v>行企业；列2018—2025；值为披露记录数和来源数</x:v>
      </x:c>
      <x:c r="C7" s="15" t="str">
        <x:v>默认20家；年份和两项度量可见；来源空值未补1</x:v>
      </x:c>
      <x:c r="D7" s="15" t="str">
        <x:v>PASS_RUNTIME</x:v>
      </x:c>
      <x:c r="E7" s="15" t="str">
        <x:v>B已核</x:v>
      </x:c>
      <x:c r="F7" s="15" t="str">
        <x:v>01c；08a定点6/1</x:v>
      </x:c>
    </x:row>
    <x:row r="8" ht="43.5" customHeight="1">
      <x:c r="A8" s="14" t="str">
        <x:v>企业筛选联动</x:v>
      </x:c>
      <x:c r="B8" s="14" t="str">
        <x:v>企业=华为后目录/矩阵/C4均1条；Global8；Region5；固定卡0/0</x:v>
      </x:c>
      <x:c r="C8" s="14" t="str">
        <x:v>1 / 1 / 1；8 / 5 / 0 / 0</x:v>
      </x:c>
      <x:c r="D8" s="14" t="str">
        <x:v>PASS_RUNTIME</x:v>
      </x:c>
      <x:c r="E8" s="14" t="str">
        <x:v>B已核</x:v>
      </x:c>
      <x:c r="F8" s="14" t="str">
        <x:v>07d_DB03_企业筛选_华为联动_干净预览态_20260901.png</x:v>
      </x:c>
    </x:row>
    <x:row r="9" ht="43.5" customHeight="1">
      <x:c r="A9" s="15" t="str">
        <x:v>财年定点联动</x:v>
      </x:c>
      <x:c r="B9" s="15" t="str">
        <x:v>华为×2020：披露记录数6、来源数1；固定卡保持0</x:v>
      </x:c>
      <x:c r="C9" s="15" t="str">
        <x:v>矩阵6 / 1；页面筛选状态可见；固定卡0 / 0</x:v>
      </x:c>
      <x:c r="D9" s="15" t="str">
        <x:v>PASS_RUNTIME</x:v>
      </x:c>
      <x:c r="E9" s="15" t="str">
        <x:v>B已核</x:v>
      </x:c>
      <x:c r="F9" s="15" t="str">
        <x:v>08a_DB03_华为_财年2020_披露6_来源1_20260901.png</x:v>
      </x:c>
    </x:row>
    <x:row r="10" ht="43.5" customHeight="1">
      <x:c r="A10" s="14" t="str">
        <x:v>数据质量绑定修复</x:v>
      </x:c>
      <x:c r="B10" s="14" t="str">
        <x:v>数据质量必须绑定quality_flag，不得绑定fiscal_year</x:v>
      </x:c>
      <x:c r="C10" s="14" t="str">
        <x:v>字段路径=V50_company_overseas_exposure\quality_flag；真实标签2个</x:v>
      </x:c>
      <x:c r="D10" s="14" t="str">
        <x:v>PASS_FIX_VERIFIED</x:v>
      </x:c>
      <x:c r="E10" s="14" t="str">
        <x:v>B已修正；旧错误截图仅保留问题闭环</x:v>
      </x:c>
      <x:c r="F10" s="14" t="str">
        <x:v>08b错误证据；05d修复证据；08e候选项</x:v>
      </x:c>
    </x:row>
    <x:row r="11" ht="43.5" customHeight="1">
      <x:c r="A11" s="15" t="str">
        <x:v>质量标签1联动</x:v>
      </x:c>
      <x:c r="B11" s="15" t="str">
        <x:v>ai_evidence_final_user_confirmed选择后矩阵与Global/Region合理变化；固定卡0</x:v>
      </x:c>
      <x:c r="C11" s="15" t="str">
        <x:v>矩阵2家；Global0；Region8；Country0；收入0</x:v>
      </x:c>
      <x:c r="D11" s="15" t="str">
        <x:v>PASS_RUNTIME</x:v>
      </x:c>
      <x:c r="E11" s="15" t="str">
        <x:v>B已核；刷新3.813秒</x:v>
      </x:c>
      <x:c r="F11" s="15" t="str">
        <x:v>08c_DB03_数据质量_ai_evidence联动_PASS_20260901.png</x:v>
      </x:c>
    </x:row>
    <x:row r="12" ht="43.5" customHeight="1">
      <x:c r="A12" s="14" t="str">
        <x:v>质量标签2联动</x:v>
      </x:c>
      <x:c r="B12" s="14" t="str">
        <x:v>user_confirmed_ai_review_sparse选择后矩阵与Global/Region合理变化；固定卡0</x:v>
      </x:c>
      <x:c r="C12" s="14" t="str">
        <x:v>矩阵20家；Global160；Region0；Country0；收入0</x:v>
      </x:c>
      <x:c r="D12" s="14" t="str">
        <x:v>PASS_RUNTIME</x:v>
      </x:c>
      <x:c r="E12" s="14" t="str">
        <x:v>B已核；刷新3.799秒</x:v>
      </x:c>
      <x:c r="F12" s="14" t="str">
        <x:v>08d_DB03_数据质量_user_confirmed联动_PASS_20260901.png</x:v>
      </x:c>
    </x:row>
    <x:row r="13" ht="43.5" customHeight="1">
      <x:c r="A13" s="15" t="str">
        <x:v>固定边界卡</x:v>
      </x:c>
      <x:c r="B13" s="15" t="str">
        <x:v>Country=0且解释无country；三个收入字段可用值=0；不随筛选变化</x:v>
      </x:c>
      <x:c r="C13" s="15" t="str">
        <x:v>企业/财年/质量切换时两卡始终0；恢复默认仍0</x:v>
      </x:c>
      <x:c r="D13" s="15" t="str">
        <x:v>PASS_FIXED_BOUNDARY</x:v>
      </x:c>
      <x:c r="E13" s="15" t="str">
        <x:v>B已核</x:v>
      </x:c>
      <x:c r="F13" s="15" t="str">
        <x:v>05c；07d；08a；08c；08d；10b</x:v>
      </x:c>
    </x:row>
    <x:row r="14" ht="43.5" customHeight="1">
      <x:c r="A14" s="14" t="str">
        <x:v>企业数据可答边界</x:v>
      </x:c>
      <x:c r="B14" s="14" t="str">
        <x:v>默认20条；单企业仅当前企业；字段来自MVP_company_data_status</x:v>
      </x:c>
      <x:c r="C14" s="14" t="str">
        <x:v>默认20条；华为筛选后仅1条；禁止推断和缺失原因可见</x:v>
      </x:c>
      <x:c r="D14" s="14" t="str">
        <x:v>PASS_RUNTIME</x:v>
      </x:c>
      <x:c r="E14" s="14" t="str">
        <x:v>B已核</x:v>
      </x:c>
      <x:c r="F14" s="14" t="str">
        <x:v>01d；07d；08a</x:v>
      </x:c>
    </x:row>
    <x:row r="15" ht="43.5" customHeight="1">
      <x:c r="A15" s="15" t="str">
        <x:v>典型操作性能</x:v>
      </x:c>
      <x:c r="B15" s="15" t="str">
        <x:v>至少3次典型操作，每次≤10秒</x:v>
      </x:c>
      <x:c r="C15" s="15" t="str">
        <x:v>4次：2.575 / 3.813 / 3.799 / 7.615秒；均≤10秒</x:v>
      </x:c>
      <x:c r="D15" s="15" t="str">
        <x:f>IF(COUNTIF('性能计时'!D3:D6,"FAIL")=0,"PASS_RUNTIME","FAIL")</x:f>
        <x:v>PASS_RUNTIME</x:v>
      </x:c>
      <x:c r="E15" s="15" t="str">
        <x:v>B已核；见性能计时sheet</x:v>
      </x:c>
      <x:c r="F15" s="15" t="str">
        <x:v>10a；08c；08d；10b</x:v>
      </x:c>
    </x:row>
    <x:row r="16" ht="43.5" customHeight="1">
      <x:c r="A16" s="14" t="str">
        <x:v>本轮稳定性</x:v>
      </x:c>
      <x:c r="B16" s="14" t="str">
        <x:v>无加载失败、空白组件或字段报错</x:v>
      </x:c>
      <x:c r="C16" s="14" t="str">
        <x:v>修正quality_flag后4次操作均完成刷新；未见空白组件或字段报错</x:v>
      </x:c>
      <x:c r="D16" s="14" t="str">
        <x:v>PASS_RUNTIME</x:v>
      </x:c>
      <x:c r="E16" s="14" t="str">
        <x:v>B已核</x:v>
      </x:c>
      <x:c r="F16" s="14" t="str">
        <x:v>08c/08d/10b</x:v>
      </x:c>
    </x:row>
    <x:row r="17" ht="43.5" customHeight="1">
      <x:c r="A17" s="15" t="str">
        <x:v>B本人签署</x:v>
      </x:c>
      <x:c r="B17" s="15" t="str">
        <x:v>B核对正式材料后本人签PASS/FAIL/BLOCKED</x:v>
      </x:c>
      <x:c r="C17" s="15" t="str">
        <x:v>待B本人签署；AI不代签</x:v>
      </x:c>
      <x:c r="D17" s="15" t="str">
        <x:v>READY_B_SIGN</x:v>
      </x:c>
      <x:c r="E17" s="15" t="str">
        <x:v>B确认后填写签名与时间</x:v>
      </x:c>
      <x:c r="F17" s="15" t="str">
        <x:v>DB03_ACCEPTANCE_V50.txt</x:v>
      </x:c>
    </x:row>
    <x:row r="18" ht="43.5" customHeight="1">
      <x:c r="A18" s="14" t="str">
        <x:v>A只读复核</x:v>
      </x:c>
      <x:c r="B18" s="14" t="str">
        <x:v>A只读复核并签PASS/FAIL/BLOCKED</x:v>
      </x:c>
      <x:c r="C18" s="14" t="str">
        <x:v>待A复核；B不代签A</x:v>
      </x:c>
      <x:c r="D18" s="14" t="str">
        <x:v>A_REVIEW_PENDING</x:v>
      </x:c>
      <x:c r="E18" s="14" t="str">
        <x:v>向A提交本目录正式证据</x:v>
      </x:c>
      <x:c r="F18" s="14" t="str">
        <x:v>本工作簿+组件映射+验收文本</x:v>
      </x:c>
    </x:row>
    <x:row r="19" ht="43.5" customHeight="1">
      <x:c r="A19" s="15" t="str">
        <x:v>DB03正式状态</x:v>
      </x:c>
      <x:c r="B19" s="15" t="str">
        <x:v>运行时、映射、对账、B签署、A复核均闭环后PASS</x:v>
      </x:c>
      <x:c r="C19" s="15" t="str">
        <x:v>运行时/映射/对账已齐；仍待B本人签署和A只读复核</x:v>
      </x:c>
      <x:c r="D19" s="15" t="str">
        <x:v>READY_B_SIGN / A_REVIEW_PENDING</x:v>
      </x:c>
      <x:c r="E19" s="15" t="str">
        <x:v>签署前不改正式PASS</x:v>
      </x:c>
      <x:c r="F19" s="15" t="str">
        <x:v>DB03_ACCEPTANCE_V50.txt</x:v>
      </x:c>
    </x:row>
  </x:sheetData>
  <x:mergeCells>
    <x:mergeCell ref="A1:F1"/>
  </x:mergeCells>
  <x:conditionalFormatting sqref="D3:D19">
    <x:cfRule type="containsText" dxfId="0" priority="1" operator="containsText" text="PASS"/>
    <x:cfRule type="containsText" dxfId="1" priority="2" operator="containsText" text="READY"/>
    <x:cfRule type="containsText" dxfId="2" priority="3" operator="containsText" text="PENDING"/>
    <x:cfRule type="containsText" dxfId="3" priority="4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6f125323ec4540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67.5" hidden="0" customWidth="1"/>
    <x:col min="3" max="3" width="15" hidden="0" customWidth="1"/>
    <x:col min="4" max="4" width="20" hidden="0" customWidth="1"/>
    <x:col min="6" max="6" width="15" hidden="0" customWidth="1"/>
    <x:col min="7" max="7" width="11.25" hidden="0" customWidth="1"/>
  </x:cols>
  <x:sheetData>
    <x:row r="1" ht="33" customHeight="1">
      <x:c r="A1" s="19" t="str">
        <x:v>DB03 典型操作性能计时｜2026-09-01</x:v>
      </x:c>
      <x:c r="B1" s="19" t="str">
        <x:v>DB03 典型操作性能计时｜2026-09-01</x:v>
      </x:c>
      <x:c r="C1" s="19" t="str">
        <x:v>DB03 典型操作性能计时｜2026-09-01</x:v>
      </x:c>
      <x:c r="D1" s="19" t="str">
        <x:v>DB03 典型操作性能计时｜2026-09-01</x:v>
      </x:c>
      <x:c r="F1" t="str">
        <x:v>阈值（秒）</x:v>
      </x:c>
      <x:c r="G1" t="n">
        <x:v>10</x:v>
      </x:c>
    </x:row>
    <x:row r="2" ht="25.5" customHeight="1">
      <x:c r="A2" s="23" t="str">
        <x:v>操作</x:v>
      </x:c>
      <x:c r="B2" s="23" t="str">
        <x:v>证据</x:v>
      </x:c>
      <x:c r="C2" s="23" t="str">
        <x:v>耗时（秒）</x:v>
      </x:c>
      <x:c r="D2" s="23" t="str">
        <x:v>结果</x:v>
      </x:c>
    </x:row>
    <x:row r="3" ht="36" customHeight="1">
      <x:c r="A3" s="51" t="str">
        <x:v>恢复企业筛选为全部并完成刷新</x:v>
      </x:c>
      <x:c r="B3" s="52" t="str">
        <x:v>10a_DB03_性能1_恢复默认全部企业_2.575秒_20260901.png</x:v>
      </x:c>
      <x:c r="C3" s="58" t="n">
        <x:v>2.575</x:v>
      </x:c>
      <x:c r="D3" s="53" t="str">
        <x:f>IF(C3&lt;=$G$1,"PASS","FAIL")</x:f>
        <x:v>PASS</x:v>
      </x:c>
    </x:row>
    <x:row r="4" ht="36" customHeight="1">
      <x:c r="A4" s="45" t="str">
        <x:v>选择质量标签 ai_evidence_final_user_confirmed</x:v>
      </x:c>
      <x:c r="B4" s="46" t="str">
        <x:v>08c_DB03_数据质量_ai_evidence联动_PASS_20260901.png</x:v>
      </x:c>
      <x:c r="C4" s="59" t="n">
        <x:v>3.813</x:v>
      </x:c>
      <x:c r="D4" s="47" t="str">
        <x:f>IF(C4&lt;=$G$1,"PASS","FAIL")</x:f>
        <x:v>PASS</x:v>
      </x:c>
    </x:row>
    <x:row r="5" ht="36" customHeight="1">
      <x:c r="A5" s="54" t="str">
        <x:v>选择质量标签 user_confirmed_ai_review_sparse</x:v>
      </x:c>
      <x:c r="B5" s="55" t="str">
        <x:v>08d_DB03_数据质量_user_confirmed联动_PASS_20260901.png</x:v>
      </x:c>
      <x:c r="C5" s="60" t="n">
        <x:v>3.799</x:v>
      </x:c>
      <x:c r="D5" s="56" t="str">
        <x:f>IF(C5&lt;=$G$1,"PASS","FAIL")</x:f>
        <x:v>PASS</x:v>
      </x:c>
    </x:row>
    <x:row r="6" ht="36" customHeight="1">
      <x:c r="A6" s="48" t="str">
        <x:v>恢复数据质量为全部并关闭下拉完成刷新</x:v>
      </x:c>
      <x:c r="B6" s="49" t="str">
        <x:v>10b_DB03_性能4_数据质量恢复全部_7.615秒_PASS_20260901.png</x:v>
      </x:c>
      <x:c r="C6" s="61" t="n">
        <x:v>7.615</x:v>
      </x:c>
      <x:c r="D6" s="50" t="str">
        <x:f>IF(C6&lt;=$G$1,"PASS","FAIL")</x:f>
        <x:v>PASS</x:v>
      </x:c>
    </x:row>
    <x:row r="8">
      <x:c r="A8" s="57" t="str">
        <x:v>四次典型操作全部不超过10秒</x:v>
      </x:c>
      <x:c r="B8" s="57" t="str">
        <x:v>四次典型操作全部不超过10秒</x:v>
      </x:c>
      <x:c r="C8" s="57" t="str">
        <x:v>四次典型操作全部不超过10秒</x:v>
      </x:c>
      <x:c r="D8" s="57" t="str">
        <x:f>IF(COUNTIF(D3:D6,"FAIL")=0,"PASS_RUNTIME","FAIL")</x:f>
        <x:v>PASS_RUNTIME</x:v>
      </x:c>
    </x:row>
  </x:sheetData>
  <x:mergeCells>
    <x:mergeCell ref="A1:D1"/>
    <x:mergeCell ref="A8:C8"/>
  </x:mergeCells>
  <x:conditionalFormatting sqref="D3:D8">
    <x:cfRule type="containsText" dxfId="4" priority="1" operator="containsText" text="PASS"/>
    <x:cfRule type="containsText" dxfId="5" priority="2" operator="containsText" text="READY"/>
    <x:cfRule type="containsText" dxfId="6" priority="3" operator="containsText" text="PENDING"/>
    <x:cfRule type="containsText" dxfId="7" priority="4" operator="containsText" text="BLOCKED"/>
  </x:conditionalFormatting>
  <x:pageMargins left="0.7" right="0.7" top="0.75" bottom="0.75" header="0.3" footer="0.3"/>
</x:worksheet>
</file>