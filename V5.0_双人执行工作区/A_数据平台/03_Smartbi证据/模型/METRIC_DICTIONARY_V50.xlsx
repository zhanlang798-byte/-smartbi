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b102a69bd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ab9a5c6fe4ea40dd"/>
    <x:sheet xmlns:r="http://schemas.openxmlformats.org/officeDocument/2006/relationships" name="指标字典" sheetId="2" r:id="R8bbea4cce51c4af8"/>
    <x:sheet xmlns:r="http://schemas.openxmlformats.org/officeDocument/2006/relationships" name="指标核验" sheetId="3" r:id="Re57fc594de4245c0"/>
    <x:sheet xmlns:r="http://schemas.openxmlformats.org/officeDocument/2006/relationships" name="页面映射" sheetId="4" r:id="R8145be35da874c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.00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9C0006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sz val="11"/>
      <x:color rgb="FF0000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0F6B78"/>
      </x:patternFill>
    </x:fill>
    <x:fill>
      <x:patternFill patternType="solid">
        <x:fgColor rgb="FFF7F9FC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1c2e7e801e4930" /><Relationship Type="http://schemas.openxmlformats.org/officeDocument/2006/relationships/theme" Target="/xl/theme/theme1.xml" Id="R24a5ccfa55be4fa6" /><Relationship Type="http://schemas.openxmlformats.org/officeDocument/2006/relationships/sharedStrings" Target="/xl/sharedStrings.xml" Id="Rf9934bbe38b6425a" /><Relationship Type="http://schemas.openxmlformats.org/officeDocument/2006/relationships/worksheet" Target="/xl/worksheets/sheet1.xml" Id="Rab9a5c6fe4ea40dd" /><Relationship Type="http://schemas.openxmlformats.org/officeDocument/2006/relationships/worksheet" Target="/xl/worksheets/sheet2.xml" Id="R8bbea4cce51c4af8" /><Relationship Type="http://schemas.openxmlformats.org/officeDocument/2006/relationships/worksheet" Target="/xl/worksheets/sheet3.xml" Id="Re57fc594de4245c0" /><Relationship Type="http://schemas.openxmlformats.org/officeDocument/2006/relationships/worksheet" Target="/xl/worksheets/sheet4.xml" Id="R8145be35da874c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4" hidden="0" customWidth="1"/>
    <x:col min="4" max="4" width="26" hidden="0" customWidth="1"/>
    <x:col min="5" max="5" width="14" hidden="0" customWidth="1"/>
    <x:col min="6" max="6" width="44" hidden="0" customWidth="1"/>
  </x:cols>
  <x:sheetData>
    <x:row r="1" ht="28" customHeight="1">
      <x:c r="A1" s="3" t="str">
        <x:v>METRIC_DICTIONARY_V50｜指标合同与误差核验</x:v>
      </x:c>
      <x:c r="B1" s="3"/>
      <x:c r="C1" s="3"/>
      <x:c r="D1" s="3"/>
      <x:c r="E1" s="3"/>
      <x:c r="F1" s="3"/>
    </x:row>
    <x:row r="2" ht="32" customHeight="1">
      <x:c r="A2" s="6" t="str">
        <x:v>状态：BLOCKED｜主办方已书面说明赛题不要求使用指标模型；Smartbi指标创建与误差测试标记为不适用。A04仍待B只读测试、冻结和A/B签收。</x:v>
      </x:c>
      <x:c r="B2" s="6"/>
      <x:c r="C2" s="6"/>
      <x:c r="D2" s="6"/>
      <x:c r="E2" s="6"/>
      <x:c r="F2" s="6"/>
    </x:row>
    <x:row r="3" ht="30" customHeight="1">
      <x:c r="A3" s="9" t="str">
        <x:v>只读输入：18张正式工作簿 + 3张控制工作簿。离线读数不等于Smartbi平台已完成。</x:v>
      </x:c>
      <x:c r="B3" s="9"/>
      <x:c r="C3" s="9"/>
      <x:c r="D3" s="9"/>
      <x:c r="E3" s="9"/>
      <x:c r="F3" s="9"/>
    </x:row>
    <x:row r="5">
      <x:c r="A5" s="11" t="str">
        <x:v>读数</x:v>
      </x:c>
      <x:c r="B5" s="11" t="str">
        <x:v>值</x:v>
      </x:c>
    </x:row>
    <x:row r="6">
      <x:c r="A6" s="12" t="str">
        <x:v>指标数</x:v>
      </x:c>
      <x:c r="B6" t="n">
        <x:v>19</x:v>
      </x:c>
    </x:row>
    <x:row r="7">
      <x:c r="A7" s="12" t="str">
        <x:v>基础计数指标</x:v>
      </x:c>
      <x:c r="B7" t="n">
        <x:v>5</x:v>
      </x:c>
    </x:row>
    <x:row r="8">
      <x:c r="A8" s="12" t="str">
        <x:v>误差门槛</x:v>
      </x:c>
      <x:c r="B8" s="19" t="n">
        <x:v>0.01</x:v>
      </x:c>
    </x:row>
    <x:row r="9">
      <x:c r="A9" s="12" t="str">
        <x:v>国家样本</x:v>
      </x:c>
      <x:c r="B9" t="n">
        <x:v>5</x:v>
      </x:c>
    </x:row>
    <x:row r="10">
      <x:c r="A10" s="12" t="str">
        <x:v>黄金网格样本</x:v>
      </x:c>
      <x:c r="B10" t="n">
        <x:v>5</x:v>
      </x:c>
    </x:row>
    <x:row r="12">
      <x:c r="A12" s="15" t="str">
        <x:v>步骤</x:v>
      </x:c>
      <x:c r="B12" s="15" t="str">
        <x:v>检查</x:v>
      </x:c>
      <x:c r="C12" s="15" t="str">
        <x:v>离线读数</x:v>
      </x:c>
      <x:c r="D12" s="15" t="str">
        <x:v>Smartbi证据</x:v>
      </x:c>
      <x:c r="E12" s="15" t="str">
        <x:v>状态</x:v>
      </x:c>
      <x:c r="F12" s="15" t="str">
        <x:v>下一动作</x:v>
      </x:c>
    </x:row>
    <x:row r="13">
      <x:c r="A13" s="17" t="n">
        <x:v>4</x:v>
      </x:c>
      <x:c r="B13" s="17" t="str">
        <x:v>130/40/23/20/734</x:v>
      </x:c>
      <x:c r="C13" s="17" t="str">
        <x:v>离线=130/40/23/20/734</x:v>
      </x:c>
      <x:c r="D13" s="17" t="str">
        <x:v>主办方群聊：赛题未要求使用指标模型</x:v>
      </x:c>
      <x:c r="E13" s="18" t="str">
        <x:v>不适用（主办方范围豁免）</x:v>
      </x:c>
      <x:c r="F13" s="17" t="str">
        <x:v>保留离线指标合同</x:v>
      </x:c>
    </x:row>
    <x:row r="14">
      <x:c r="A14" s="17" t="n">
        <x:v>5</x:v>
      </x:c>
      <x:c r="B14" s="17" t="str">
        <x:v>公式/粒度/单位/日期/空值/来源/页面</x:v>
      </x:c>
      <x:c r="C14" s="17" t="str">
        <x:v>19项均已写</x:v>
      </x:c>
      <x:c r="D14" s="17" t="str">
        <x:v>平台指标模型不要求</x:v>
      </x:c>
      <x:c r="E14" s="18" t="str">
        <x:v>不适用（主办方范围豁免）</x:v>
      </x:c>
      <x:c r="F14" s="17" t="str">
        <x:v>不创建IM模型</x:v>
      </x:c>
    </x:row>
    <x:row r="15">
      <x:c r="A15" s="17" t="n">
        <x:v>6</x:v>
      </x:c>
      <x:c r="B15" s="17" t="str">
        <x:v>关键指标误差≤1%</x:v>
      </x:c>
      <x:c r="C15" s="17" t="str">
        <x:v>离线样本已生成</x:v>
      </x:c>
      <x:c r="D15" s="17" t="str">
        <x:v>平台误差测试不要求</x:v>
      </x:c>
      <x:c r="E15" s="18" t="str">
        <x:v>不适用（主办方范围豁免）</x:v>
      </x:c>
      <x:c r="F15" s="17" t="str">
        <x:v>Smartbi实际值保持空</x:v>
      </x:c>
    </x:row>
  </x:sheetData>
  <x:mergeCells>
    <x:mergeCell ref="A1:F1"/>
    <x:mergeCell ref="A2:F2"/>
    <x:mergeCell ref="A3:F3"/>
  </x:mergeCells>
  <x:conditionalFormatting sqref="E13:E15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待人工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20" hidden="0" customWidth="1"/>
    <x:col min="4" max="4" width="48" hidden="0" customWidth="1"/>
    <x:col min="5" max="5" width="28" hidden="0" customWidth="1"/>
    <x:col min="6" max="6" width="14" hidden="0" customWidth="1"/>
    <x:col min="7" max="7" width="30" hidden="0" customWidth="1"/>
    <x:col min="8" max="8" width="32" hidden="0" customWidth="1"/>
    <x:col min="9" max="9" width="28" hidden="0" customWidth="1"/>
    <x:col min="10" max="10" width="28" hidden="0" customWidth="1"/>
    <x:col min="11" max="11" width="20" hidden="0" customWidth="1"/>
    <x:col min="12" max="12" width="14" hidden="0" customWidth="1"/>
    <x:col min="13" max="13" width="42" hidden="0" customWidth="1"/>
    <x:col min="14" max="14" width="36" hidden="0" customWidth="1"/>
    <x:col min="15" max="15" width="18" hidden="0" customWidth="1"/>
  </x:cols>
  <x:sheetData>
    <x:row r="1" ht="28" customHeight="1">
      <x:c r="A1" s="3" t="str">
        <x:v>指标字典｜缺失为空；禁止用DISTINCT掩盖重复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6" t="str">
        <x:v>状态：BLOCKED｜主办方已书面说明赛题不要求使用指标模型；Smartbi指标创建与误差测试标记为不适用。A04仍待B只读测试、冻结和A/B签收。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 ht="30" customHeight="1">
      <x:c r="A3" s="9" t="str">
        <x:v>只读输入：18张正式工作簿 + 3张控制工作簿。离线读数不等于Smartbi平台已完成。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</x:row>
    <x:row r="5" ht="32" customHeight="1">
      <x:c r="A5" s="21" t="str">
        <x:v>指标ID</x:v>
      </x:c>
      <x:c r="B5" s="21" t="str">
        <x:v>指标名</x:v>
      </x:c>
      <x:c r="C5" s="21" t="str">
        <x:v>中文名</x:v>
      </x:c>
      <x:c r="D5" s="21" t="str">
        <x:v>公式/取值逻辑</x:v>
      </x:c>
      <x:c r="E5" s="21" t="str">
        <x:v>粒度</x:v>
      </x:c>
      <x:c r="F5" s="21" t="str">
        <x:v>单位</x:v>
      </x:c>
      <x:c r="G5" s="21" t="str">
        <x:v>日期口径</x:v>
      </x:c>
      <x:c r="H5" s="21" t="str">
        <x:v>空值规则</x:v>
      </x:c>
      <x:c r="I5" s="21" t="str">
        <x:v>来源表</x:v>
      </x:c>
      <x:c r="J5" s="21" t="str">
        <x:v>来源字段</x:v>
      </x:c>
      <x:c r="K5" s="21" t="str">
        <x:v>允许页面</x:v>
      </x:c>
      <x:c r="L5" s="21" t="str">
        <x:v>离线期望</x:v>
      </x:c>
      <x:c r="M5" s="21" t="str">
        <x:v>说明</x:v>
      </x:c>
      <x:c r="N5" s="21" t="str">
        <x:v>Smartbi对象</x:v>
      </x:c>
      <x:c r="O5" s="21" t="str">
        <x:v>平台状态(人工)</x:v>
      </x:c>
    </x:row>
    <x:row r="6">
      <x:c r="A6" s="17" t="str">
        <x:v>M001</x:v>
      </x:c>
      <x:c r="B6" s="17" t="str">
        <x:v>country_count_130</x:v>
      </x:c>
      <x:c r="C6" s="17" t="str">
        <x:v>国家总数</x:v>
      </x:c>
      <x:c r="D6" s="17" t="str">
        <x:v>COUNT(dim_country.iso3)</x:v>
      </x:c>
      <x:c r="E6" s="17" t="str">
        <x:v>全局</x:v>
      </x:c>
      <x:c r="F6" s="17" t="str">
        <x:v>个</x:v>
      </x:c>
      <x:c r="G6" s="17" t="str">
        <x:v>不适用</x:v>
      </x:c>
      <x:c r="H6" s="17" t="str">
        <x:v>主键不得空；不使用DISTINCT</x:v>
      </x:c>
      <x:c r="I6" s="17" t="str">
        <x:v>dim_country</x:v>
      </x:c>
      <x:c r="J6" s="17" t="str">
        <x:v>iso3</x:v>
      </x:c>
      <x:c r="K6" s="17" t="str">
        <x:v>DB01/DB02</x:v>
      </x:c>
      <x:c r="L6" s="23" t="n">
        <x:v>130</x:v>
      </x:c>
      <x:c r="M6" s="17" t="str">
        <x:v>基础计数</x:v>
      </x:c>
      <x:c r="N6" s="17" t="str">
        <x:v>IM_XH202612_V50_COUNTRY_RESERVE</x:v>
      </x:c>
      <x:c r="O6" s="26" t="str">
        <x:v>不适用（主办方范围豁免）</x:v>
      </x:c>
    </x:row>
    <x:row r="7">
      <x:c r="A7" s="22" t="str">
        <x:v>M002</x:v>
      </x:c>
      <x:c r="B7" s="22" t="str">
        <x:v>selected_country_count_40</x:v>
      </x:c>
      <x:c r="C7" s="22" t="str">
        <x:v>重点国家数</x:v>
      </x:c>
      <x:c r="D7" s="22" t="str">
        <x:v>SUM(dim_country.is_selected_40)</x:v>
      </x:c>
      <x:c r="E7" s="22" t="str">
        <x:v>全局</x:v>
      </x:c>
      <x:c r="F7" s="22" t="str">
        <x:v>个</x:v>
      </x:c>
      <x:c r="G7" s="22" t="str">
        <x:v>不适用</x:v>
      </x:c>
      <x:c r="H7" s="22" t="str">
        <x:v>标志缺失保持空</x:v>
      </x:c>
      <x:c r="I7" s="22" t="str">
        <x:v>dim_country</x:v>
      </x:c>
      <x:c r="J7" s="22" t="str">
        <x:v>is_selected_40</x:v>
      </x:c>
      <x:c r="K7" s="22" t="str">
        <x:v>DB01</x:v>
      </x:c>
      <x:c r="L7" s="24" t="n">
        <x:v>40</x:v>
      </x:c>
      <x:c r="M7" s="22" t="str">
        <x:v>基础计数</x:v>
      </x:c>
      <x:c r="N7" s="22" t="str">
        <x:v>IM_XH202612_V50_COUNTRY_RESERVE</x:v>
      </x:c>
      <x:c r="O7" s="26" t="str">
        <x:v>不适用（主办方范围豁免）</x:v>
      </x:c>
    </x:row>
    <x:row r="8">
      <x:c r="A8" s="17" t="str">
        <x:v>M003</x:v>
      </x:c>
      <x:c r="B8" s="17" t="str">
        <x:v>country_event_count_23</x:v>
      </x:c>
      <x:c r="C8" s="17" t="str">
        <x:v>国别事件数</x:v>
      </x:c>
      <x:c r="D8" s="17" t="str">
        <x:v>COUNT(country_event.event_id)</x:v>
      </x:c>
      <x:c r="E8" s="17" t="str">
        <x:v>全局/国家</x:v>
      </x:c>
      <x:c r="F8" s="17" t="str">
        <x:v>条</x:v>
      </x:c>
      <x:c r="G8" s="17" t="str">
        <x:v>事件起止月</x:v>
      </x:c>
      <x:c r="H8" s="17" t="str">
        <x:v>无事件可显示0；事件字段缺失保持空</x:v>
      </x:c>
      <x:c r="I8" s="17" t="str">
        <x:v>country_event</x:v>
      </x:c>
      <x:c r="J8" s="17" t="str">
        <x:v>event_id</x:v>
      </x:c>
      <x:c r="K8" s="17" t="str">
        <x:v>DB01/DB02/DB05</x:v>
      </x:c>
      <x:c r="L8" s="23" t="n">
        <x:v>23</x:v>
      </x:c>
      <x:c r="M8" s="17" t="str">
        <x:v>主键已唯一，不用DISTINCT</x:v>
      </x:c>
      <x:c r="N8" s="17" t="str">
        <x:v>IM_XH202612_V50_COUNTRY_RESERVE</x:v>
      </x:c>
      <x:c r="O8" s="26" t="str">
        <x:v>不适用（主办方范围豁免）</x:v>
      </x:c>
    </x:row>
    <x:row r="9">
      <x:c r="A9" s="22" t="str">
        <x:v>M004</x:v>
      </x:c>
      <x:c r="B9" s="22" t="str">
        <x:v>company_count_20</x:v>
      </x:c>
      <x:c r="C9" s="22" t="str">
        <x:v>企业数</x:v>
      </x:c>
      <x:c r="D9" s="22" t="str">
        <x:v>COUNT(dim_company.company_id)</x:v>
      </x:c>
      <x:c r="E9" s="22" t="str">
        <x:v>全局</x:v>
      </x:c>
      <x:c r="F9" s="22" t="str">
        <x:v>家</x:v>
      </x:c>
      <x:c r="G9" s="22" t="str">
        <x:v>不适用</x:v>
      </x:c>
      <x:c r="H9" s="22" t="str">
        <x:v>主键不得空</x:v>
      </x:c>
      <x:c r="I9" s="22" t="str">
        <x:v>dim_company</x:v>
      </x:c>
      <x:c r="J9" s="22" t="str">
        <x:v>company_id</x:v>
      </x:c>
      <x:c r="K9" s="22" t="str">
        <x:v>DB03</x:v>
      </x:c>
      <x:c r="L9" s="24" t="n">
        <x:v>20</x:v>
      </x:c>
      <x:c r="M9" s="22" t="str">
        <x:v>基础计数</x:v>
      </x:c>
      <x:c r="N9" s="22" t="str">
        <x:v>IM_XH202612_V50_COUNTRY_RESERVE</x:v>
      </x:c>
      <x:c r="O9" s="26" t="str">
        <x:v>不适用（主办方范围豁免）</x:v>
      </x:c>
    </x:row>
    <x:row r="10">
      <x:c r="A10" s="17" t="str">
        <x:v>M005</x:v>
      </x:c>
      <x:c r="B10" s="17" t="str">
        <x:v>source_count_734</x:v>
      </x:c>
      <x:c r="C10" s="17" t="str">
        <x:v>来源数</x:v>
      </x:c>
      <x:c r="D10" s="17" t="str">
        <x:v>COUNT(source_registry.source_id)</x:v>
      </x:c>
      <x:c r="E10" s="17" t="str">
        <x:v>全局</x:v>
      </x:c>
      <x:c r="F10" s="17" t="str">
        <x:v>条</x:v>
      </x:c>
      <x:c r="G10" s="17" t="str">
        <x:v>不适用</x:v>
      </x:c>
      <x:c r="H10" s="17" t="str">
        <x:v>source_id不得虚构</x:v>
      </x:c>
      <x:c r="I10" s="17" t="str">
        <x:v>source_registry</x:v>
      </x:c>
      <x:c r="J10" s="17" t="str">
        <x:v>source_id</x:v>
      </x:c>
      <x:c r="K10" s="17" t="str">
        <x:v>DB05</x:v>
      </x:c>
      <x:c r="L10" s="23" t="n">
        <x:v>734</x:v>
      </x:c>
      <x:c r="M10" s="17" t="str">
        <x:v>基础计数</x:v>
      </x:c>
      <x:c r="N10" s="17" t="str">
        <x:v>IM_XH202612_V50_COUNTRY_RESERVE</x:v>
      </x:c>
      <x:c r="O10" s="26" t="str">
        <x:v>不适用（主办方范围豁免）</x:v>
      </x:c>
    </x:row>
    <x:row r="11">
      <x:c r="A11" s="22" t="str">
        <x:v>M006</x:v>
      </x:c>
      <x:c r="B11" s="22" t="str">
        <x:v>latest_fx_value</x:v>
      </x:c>
      <x:c r="C11" s="22" t="str">
        <x:v>最新汇率</x:v>
      </x:c>
      <x:c r="D11" s="22" t="str">
        <x:v>读取MVP_country_latest.latest_fx_value</x:v>
      </x:c>
      <x:c r="E11" s="22" t="str">
        <x:v>国家</x:v>
      </x:c>
      <x:c r="F11" s="22" t="str">
        <x:v>本币/美元</x:v>
      </x:c>
      <x:c r="G11" s="22" t="str">
        <x:v>latest_fx_date；每指标独立最新</x:v>
      </x:c>
      <x:c r="H11" s="22" t="str">
        <x:v>缺失为空，不填0</x:v>
      </x:c>
      <x:c r="I11" s="22" t="str">
        <x:v>MVP_country_latest</x:v>
      </x:c>
      <x:c r="J11" s="22" t="str">
        <x:v>latest_fx_value</x:v>
      </x:c>
      <x:c r="K11" s="22" t="str">
        <x:v>DB01/DB02/DB05</x:v>
      </x:c>
      <x:c r="L11" s="24"/>
      <x:c r="M11" s="22" t="str">
        <x:v>展示层字段</x:v>
      </x:c>
      <x:c r="N11" s="22" t="str">
        <x:v>IM_XH202612_V50_COUNTRY_RESERVE</x:v>
      </x:c>
      <x:c r="O11" s="26" t="str">
        <x:v>不适用（主办方范围豁免）</x:v>
      </x:c>
    </x:row>
    <x:row r="12">
      <x:c r="A12" s="17" t="str">
        <x:v>M007</x:v>
      </x:c>
      <x:c r="B12" s="17" t="str">
        <x:v>fx_12m_depr</x:v>
      </x:c>
      <x:c r="C12" s="17" t="str">
        <x:v>12个月汇率变动</x:v>
      </x:c>
      <x:c r="D12" s="17" t="str">
        <x:v>fx(t)/fx(t-12)-1；使用同一国家端点</x:v>
      </x:c>
      <x:c r="E12" s="17" t="str">
        <x:v>国家</x:v>
      </x:c>
      <x:c r="F12" s="17" t="str">
        <x:v>比率</x:v>
      </x:c>
      <x:c r="G12" s="17" t="str">
        <x:v>latest_fx_date与12月前</x:v>
      </x:c>
      <x:c r="H12" s="17" t="str">
        <x:v>任一端点缺失则空</x:v>
      </x:c>
      <x:c r="I12" s="17" t="str">
        <x:v>MVP_country_latest</x:v>
      </x:c>
      <x:c r="J12" s="17" t="str">
        <x:v>fx_12m_depr</x:v>
      </x:c>
      <x:c r="K12" s="17" t="str">
        <x:v>DB01/DB02</x:v>
      </x:c>
      <x:c r="L12" s="23"/>
      <x:c r="M12" s="17" t="str">
        <x:v>正值=本币对美元贬值</x:v>
      </x:c>
      <x:c r="N12" s="17" t="str">
        <x:v>IM_XH202612_V50_COUNTRY_RESERVE</x:v>
      </x:c>
      <x:c r="O12" s="26" t="str">
        <x:v>不适用（主办方范围豁免）</x:v>
      </x:c>
    </x:row>
    <x:row r="13">
      <x:c r="A13" s="22" t="str">
        <x:v>M008</x:v>
      </x:c>
      <x:c r="B13" s="22" t="str">
        <x:v>latest_cpi_value</x:v>
      </x:c>
      <x:c r="C13" s="22" t="str">
        <x:v>最新CPI指数</x:v>
      </x:c>
      <x:c r="D13" s="22" t="str">
        <x:v>读取MVP_country_latest.latest_cpi_value</x:v>
      </x:c>
      <x:c r="E13" s="22" t="str">
        <x:v>国家</x:v>
      </x:c>
      <x:c r="F13" s="22" t="str">
        <x:v>指数</x:v>
      </x:c>
      <x:c r="G13" s="22" t="str">
        <x:v>latest_cpi_date；每指标独立最新</x:v>
      </x:c>
      <x:c r="H13" s="22" t="str">
        <x:v>缺失为空，不填0</x:v>
      </x:c>
      <x:c r="I13" s="22" t="str">
        <x:v>MVP_country_latest</x:v>
      </x:c>
      <x:c r="J13" s="22" t="str">
        <x:v>latest_cpi_value</x:v>
      </x:c>
      <x:c r="K13" s="22" t="str">
        <x:v>DB01/DB02/DB05</x:v>
      </x:c>
      <x:c r="L13" s="24"/>
      <x:c r="M13" s="22" t="str">
        <x:v>展示层字段</x:v>
      </x:c>
      <x:c r="N13" s="22" t="str">
        <x:v>IM_XH202612_V50_COUNTRY_RESERVE</x:v>
      </x:c>
      <x:c r="O13" s="26" t="str">
        <x:v>不适用（主办方范围豁免）</x:v>
      </x:c>
    </x:row>
    <x:row r="14">
      <x:c r="A14" s="17" t="str">
        <x:v>M009</x:v>
      </x:c>
      <x:c r="B14" s="17" t="str">
        <x:v>cpi_yoy</x:v>
      </x:c>
      <x:c r="C14" s="17" t="str">
        <x:v>CPI同比</x:v>
      </x:c>
      <x:c r="D14" s="17" t="str">
        <x:v>CPI(t)/CPI(t-12)-1</x:v>
      </x:c>
      <x:c r="E14" s="17" t="str">
        <x:v>国家</x:v>
      </x:c>
      <x:c r="F14" s="17" t="str">
        <x:v>比率</x:v>
      </x:c>
      <x:c r="G14" s="17" t="str">
        <x:v>latest_cpi_date与12月前</x:v>
      </x:c>
      <x:c r="H14" s="17" t="str">
        <x:v>任一端点缺失则空</x:v>
      </x:c>
      <x:c r="I14" s="17" t="str">
        <x:v>MVP_country_latest</x:v>
      </x:c>
      <x:c r="J14" s="17" t="str">
        <x:v>cpi_yoy</x:v>
      </x:c>
      <x:c r="K14" s="17" t="str">
        <x:v>DB01/DB02</x:v>
      </x:c>
      <x:c r="L14" s="23"/>
      <x:c r="M14" s="17" t="str">
        <x:v>不同指标不可强制同月</x:v>
      </x:c>
      <x:c r="N14" s="17" t="str">
        <x:v>IM_XH202612_V50_COUNTRY_RESERVE</x:v>
      </x:c>
      <x:c r="O14" s="26" t="str">
        <x:v>不适用（主办方范围豁免）</x:v>
      </x:c>
    </x:row>
    <x:row r="15">
      <x:c r="A15" s="22" t="str">
        <x:v>M010</x:v>
      </x:c>
      <x:c r="B15" s="22" t="str">
        <x:v>latest_reserve_usd</x:v>
      </x:c>
      <x:c r="C15" s="22" t="str">
        <x:v>最新外汇储备</x:v>
      </x:c>
      <x:c r="D15" s="22" t="str">
        <x:v>读取MVP_country_latest.latest_reserve_usd</x:v>
      </x:c>
      <x:c r="E15" s="22" t="str">
        <x:v>国家</x:v>
      </x:c>
      <x:c r="F15" s="22" t="str">
        <x:v>美元</x:v>
      </x:c>
      <x:c r="G15" s="22" t="str">
        <x:v>latest_reserve_date；独立最新</x:v>
      </x:c>
      <x:c r="H15" s="22" t="str">
        <x:v>缺失为空，不填0</x:v>
      </x:c>
      <x:c r="I15" s="22" t="str">
        <x:v>MVP_country_latest</x:v>
      </x:c>
      <x:c r="J15" s="22" t="str">
        <x:v>latest_reserve_usd</x:v>
      </x:c>
      <x:c r="K15" s="22" t="str">
        <x:v>DB01/DB02</x:v>
      </x:c>
      <x:c r="L15" s="24"/>
      <x:c r="M15" s="22" t="str">
        <x:v>展示层字段</x:v>
      </x:c>
      <x:c r="N15" s="22" t="str">
        <x:v>IM_XH202612_V50_COUNTRY_RESERVE</x:v>
      </x:c>
      <x:c r="O15" s="26" t="str">
        <x:v>不适用（主办方范围豁免）</x:v>
      </x:c>
    </x:row>
    <x:row r="16">
      <x:c r="A16" s="17" t="str">
        <x:v>M011</x:v>
      </x:c>
      <x:c r="B16" s="17" t="str">
        <x:v>latest_odi_stock_usd</x:v>
      </x:c>
      <x:c r="C16" s="17" t="str">
        <x:v>最新ODI存量</x:v>
      </x:c>
      <x:c r="D16" s="17" t="str">
        <x:v>读取MVP_country_latest.latest_odi_stock_usd</x:v>
      </x:c>
      <x:c r="E16" s="17" t="str">
        <x:v>国家</x:v>
      </x:c>
      <x:c r="F16" s="17" t="str">
        <x:v>美元</x:v>
      </x:c>
      <x:c r="G16" s="17" t="str">
        <x:v>latest_odi_stock_year</x:v>
      </x:c>
      <x:c r="H16" s="17" t="str">
        <x:v>缺失为空，不填0</x:v>
      </x:c>
      <x:c r="I16" s="17" t="str">
        <x:v>MVP_country_latest</x:v>
      </x:c>
      <x:c r="J16" s="17" t="str">
        <x:v>latest_odi_stock_usd</x:v>
      </x:c>
      <x:c r="K16" s="17" t="str">
        <x:v>DB01/DB02</x:v>
      </x:c>
      <x:c r="L16" s="23"/>
      <x:c r="M16" s="17" t="str">
        <x:v>年份必须同时展示</x:v>
      </x:c>
      <x:c r="N16" s="17" t="str">
        <x:v>IM_XH202612_V50_COUNTRY_RESERVE</x:v>
      </x:c>
      <x:c r="O16" s="26" t="str">
        <x:v>不适用（主办方范围豁免）</x:v>
      </x:c>
    </x:row>
    <x:row r="17">
      <x:c r="A17" s="22" t="str">
        <x:v>M012</x:v>
      </x:c>
      <x:c r="B17" s="22" t="str">
        <x:v>equity_drawdown</x:v>
      </x:c>
      <x:c r="C17" s="22" t="str">
        <x:v>股市回撤</x:v>
      </x:c>
      <x:c r="D17" s="22" t="str">
        <x:v>当前指数/截至当月历史峰值-1</x:v>
      </x:c>
      <x:c r="E17" s="22" t="str">
        <x:v>全球-月</x:v>
      </x:c>
      <x:c r="F17" s="22" t="str">
        <x:v>比率</x:v>
      </x:c>
      <x:c r="G17" s="22" t="str">
        <x:v>month_end；只用≤t信息</x:v>
      </x:c>
      <x:c r="H17" s="22" t="str">
        <x:v>历史不足则空</x:v>
      </x:c>
      <x:c r="I17" s="22" t="str">
        <x:v>global_cycle_month</x:v>
      </x:c>
      <x:c r="J17" s="22" t="str">
        <x:v>equity_drawdown</x:v>
      </x:c>
      <x:c r="K17" s="22" t="str">
        <x:v>DB06</x:v>
      </x:c>
      <x:c r="L17" s="24"/>
      <x:c r="M17" s="22" t="str">
        <x:v>不得使用未来峰值</x:v>
      </x:c>
      <x:c r="N17" s="22" t="str">
        <x:v>IM_XH202612_V50_COUNTRY_RESERVE</x:v>
      </x:c>
      <x:c r="O17" s="26" t="str">
        <x:v>不适用（主办方范围豁免）</x:v>
      </x:c>
    </x:row>
    <x:row r="18">
      <x:c r="A18" s="17" t="str">
        <x:v>M013</x:v>
      </x:c>
      <x:c r="B18" s="17" t="str">
        <x:v>cum_return</x:v>
      </x:c>
      <x:c r="C18" s="17" t="str">
        <x:v>情景累计收益</x:v>
      </x:c>
      <x:c r="D18" s="17" t="str">
        <x:v>读取portfolio_scenario.cum_return</x:v>
      </x:c>
      <x:c r="E18" s="17" t="str">
        <x:v>情景-国家-期限-窗口</x:v>
      </x:c>
      <x:c r="F18" s="17" t="str">
        <x:v>比率</x:v>
      </x:c>
      <x:c r="G18" s="17" t="str">
        <x:v>window_end</x:v>
      </x:c>
      <x:c r="H18" s="17" t="str">
        <x:v>缺失为空</x:v>
      </x:c>
      <x:c r="I18" s="17" t="str">
        <x:v>portfolio_scenario</x:v>
      </x:c>
      <x:c r="J18" s="17" t="str">
        <x:v>cum_return</x:v>
      </x:c>
      <x:c r="K18" s="17" t="str">
        <x:v>DB04/DB06</x:v>
      </x:c>
      <x:c r="L18" s="23"/>
      <x:c r="M18" s="17" t="str">
        <x:v>按现有情景行</x:v>
      </x:c>
      <x:c r="N18" s="17" t="str">
        <x:v>IM_XH202612_V50_COUNTRY_RESERVE</x:v>
      </x:c>
      <x:c r="O18" s="26" t="str">
        <x:v>不适用（主办方范围豁免）</x:v>
      </x:c>
    </x:row>
    <x:row r="19">
      <x:c r="A19" s="22" t="str">
        <x:v>M014</x:v>
      </x:c>
      <x:c r="B19" s="22" t="str">
        <x:v>max_drawdown</x:v>
      </x:c>
      <x:c r="C19" s="22" t="str">
        <x:v>情景最大回撤</x:v>
      </x:c>
      <x:c r="D19" s="22" t="str">
        <x:v>读取portfolio_scenario.max_drawdown</x:v>
      </x:c>
      <x:c r="E19" s="22" t="str">
        <x:v>情景-国家-期限-窗口</x:v>
      </x:c>
      <x:c r="F19" s="22" t="str">
        <x:v>比率</x:v>
      </x:c>
      <x:c r="G19" s="22" t="str">
        <x:v>window_end</x:v>
      </x:c>
      <x:c r="H19" s="22" t="str">
        <x:v>缺失为空</x:v>
      </x:c>
      <x:c r="I19" s="22" t="str">
        <x:v>portfolio_scenario</x:v>
      </x:c>
      <x:c r="J19" s="22" t="str">
        <x:v>max_drawdown</x:v>
      </x:c>
      <x:c r="K19" s="22" t="str">
        <x:v>DB04/DB06</x:v>
      </x:c>
      <x:c r="L19" s="24"/>
      <x:c r="M19" s="22" t="str">
        <x:v>不得跨窗口重算</x:v>
      </x:c>
      <x:c r="N19" s="22" t="str">
        <x:v>IM_XH202612_V50_COUNTRY_RESERVE</x:v>
      </x:c>
      <x:c r="O19" s="26" t="str">
        <x:v>不适用（主办方范围豁免）</x:v>
      </x:c>
    </x:row>
    <x:row r="20">
      <x:c r="A20" s="17" t="str">
        <x:v>M015</x:v>
      </x:c>
      <x:c r="B20" s="17" t="str">
        <x:v>cvar_95</x:v>
      </x:c>
      <x:c r="C20" s="17" t="str">
        <x:v>95%条件在险价值</x:v>
      </x:c>
      <x:c r="D20" s="17" t="str">
        <x:v>读取portfolio_scenario.cvar_95</x:v>
      </x:c>
      <x:c r="E20" s="17" t="str">
        <x:v>情景-国家-期限-窗口</x:v>
      </x:c>
      <x:c r="F20" s="17" t="str">
        <x:v>比率</x:v>
      </x:c>
      <x:c r="G20" s="17" t="str">
        <x:v>window_end</x:v>
      </x:c>
      <x:c r="H20" s="17" t="str">
        <x:v>缺失为空</x:v>
      </x:c>
      <x:c r="I20" s="17" t="str">
        <x:v>portfolio_scenario</x:v>
      </x:c>
      <x:c r="J20" s="17" t="str">
        <x:v>cvar_95</x:v>
      </x:c>
      <x:c r="K20" s="17" t="str">
        <x:v>DB04/DB06</x:v>
      </x:c>
      <x:c r="L20" s="23"/>
      <x:c r="M20" s="17" t="str">
        <x:v>方向沿用源表</x:v>
      </x:c>
      <x:c r="N20" s="17" t="str">
        <x:v>IM_XH202612_V50_COUNTRY_RESERVE</x:v>
      </x:c>
      <x:c r="O20" s="26" t="str">
        <x:v>不适用（主办方范围豁免）</x:v>
      </x:c>
    </x:row>
    <x:row r="21">
      <x:c r="A21" s="22" t="str">
        <x:v>M016</x:v>
      </x:c>
      <x:c r="B21" s="22" t="str">
        <x:v>recovery_months</x:v>
      </x:c>
      <x:c r="C21" s="22" t="str">
        <x:v>恢复月数</x:v>
      </x:c>
      <x:c r="D21" s="22" t="str">
        <x:v>读取portfolio_scenario.recovery_months</x:v>
      </x:c>
      <x:c r="E21" s="22" t="str">
        <x:v>情景-国家-期限-窗口</x:v>
      </x:c>
      <x:c r="F21" s="22" t="str">
        <x:v>月</x:v>
      </x:c>
      <x:c r="G21" s="22" t="str">
        <x:v>window_end</x:v>
      </x:c>
      <x:c r="H21" s="22" t="str">
        <x:v>未恢复/缺失保持空</x:v>
      </x:c>
      <x:c r="I21" s="22" t="str">
        <x:v>portfolio_scenario</x:v>
      </x:c>
      <x:c r="J21" s="22" t="str">
        <x:v>recovery_months</x:v>
      </x:c>
      <x:c r="K21" s="22" t="str">
        <x:v>DB04/DB06</x:v>
      </x:c>
      <x:c r="L21" s="24"/>
      <x:c r="M21" s="22" t="str">
        <x:v>不可把空填0</x:v>
      </x:c>
      <x:c r="N21" s="22" t="str">
        <x:v>IM_XH202612_V50_COUNTRY_RESERVE</x:v>
      </x:c>
      <x:c r="O21" s="26" t="str">
        <x:v>不适用（主办方范围豁免）</x:v>
      </x:c>
    </x:row>
    <x:row r="22">
      <x:c r="A22" s="17" t="str">
        <x:v>M017</x:v>
      </x:c>
      <x:c r="B22" s="17" t="str">
        <x:v>cost_total</x:v>
      </x:c>
      <x:c r="C22" s="17" t="str">
        <x:v>情景总成本</x:v>
      </x:c>
      <x:c r="D22" s="17" t="str">
        <x:v>读取portfolio_scenario.cost_total</x:v>
      </x:c>
      <x:c r="E22" s="17" t="str">
        <x:v>情景-国家-期限-窗口</x:v>
      </x:c>
      <x:c r="F22" s="17" t="str">
        <x:v>比率</x:v>
      </x:c>
      <x:c r="G22" s="17" t="str">
        <x:v>window_end</x:v>
      </x:c>
      <x:c r="H22" s="17" t="str">
        <x:v>缺失为空</x:v>
      </x:c>
      <x:c r="I22" s="17" t="str">
        <x:v>portfolio_scenario</x:v>
      </x:c>
      <x:c r="J22" s="17" t="str">
        <x:v>cost_total</x:v>
      </x:c>
      <x:c r="K22" s="17" t="str">
        <x:v>DB04/DB06</x:v>
      </x:c>
      <x:c r="L22" s="23"/>
      <x:c r="M22" s="17" t="str">
        <x:v>按源表口径</x:v>
      </x:c>
      <x:c r="N22" s="17" t="str">
        <x:v>IM_XH202612_V50_COUNTRY_RESERVE</x:v>
      </x:c>
      <x:c r="O22" s="26" t="str">
        <x:v>不适用（主办方范围豁免）</x:v>
      </x:c>
    </x:row>
    <x:row r="23">
      <x:c r="A23" s="22" t="str">
        <x:v>M018</x:v>
      </x:c>
      <x:c r="B23" s="22" t="str">
        <x:v>gold_weight</x:v>
      </x:c>
      <x:c r="C23" s="22" t="str">
        <x:v>黄金权重</x:v>
      </x:c>
      <x:c r="D23" s="22" t="str">
        <x:v>读取portfolio_scenario.gold_weight</x:v>
      </x:c>
      <x:c r="E23" s="22" t="str">
        <x:v>情景</x:v>
      </x:c>
      <x:c r="F23" s="22" t="str">
        <x:v>比率</x:v>
      </x:c>
      <x:c r="G23" s="22" t="str">
        <x:v>window_end</x:v>
      </x:c>
      <x:c r="H23" s="22" t="str">
        <x:v>参数缺失为空</x:v>
      </x:c>
      <x:c r="I23" s="22" t="str">
        <x:v>portfolio_scenario</x:v>
      </x:c>
      <x:c r="J23" s="22" t="str">
        <x:v>gold_weight</x:v>
      </x:c>
      <x:c r="K23" s="22" t="str">
        <x:v>DB04/DB06</x:v>
      </x:c>
      <x:c r="L23" s="24"/>
      <x:c r="M23" s="22" t="str">
        <x:v>仅0%-20%风险缓冲网格；非统一投资建议</x:v>
      </x:c>
      <x:c r="N23" s="22" t="str">
        <x:v>IM_XH202612_V50_COUNTRY_RESERVE</x:v>
      </x:c>
      <x:c r="O23" s="26" t="str">
        <x:v>不适用（主办方范围豁免）</x:v>
      </x:c>
    </x:row>
    <x:row r="24">
      <x:c r="A24" s="17" t="str">
        <x:v>M019</x:v>
      </x:c>
      <x:c r="B24" s="17" t="str">
        <x:v>weight_sum</x:v>
      </x:c>
      <x:c r="C24" s="17" t="str">
        <x:v>权重合计</x:v>
      </x:c>
      <x:c r="D24" s="17" t="str">
        <x:v>w_EQUITY+w_PROPERTY+w_CREDIT_SPREAD+w_OIL+w_VIX+gold_weight</x:v>
      </x:c>
      <x:c r="E24" s="17" t="str">
        <x:v>情景</x:v>
      </x:c>
      <x:c r="F24" s="17" t="str">
        <x:v>比率</x:v>
      </x:c>
      <x:c r="G24" s="17" t="str">
        <x:v>window_end</x:v>
      </x:c>
      <x:c r="H24" s="17" t="str">
        <x:v>任一权重缺失则空</x:v>
      </x:c>
      <x:c r="I24" s="17" t="str">
        <x:v>portfolio_scenario</x:v>
      </x:c>
      <x:c r="J24" s="17" t="str">
        <x:v>weight_sum</x:v>
      </x:c>
      <x:c r="K24" s="17" t="str">
        <x:v>DB04/DB06</x:v>
      </x:c>
      <x:c r="L24" s="23" t="n">
        <x:v>1</x:v>
      </x:c>
      <x:c r="M24" s="17" t="str">
        <x:v>允许误差≤1%</x:v>
      </x:c>
      <x:c r="N24" s="17" t="str">
        <x:v>IM_XH202612_V50_COUNTRY_RESERVE</x:v>
      </x:c>
      <x:c r="O24" s="26" t="str">
        <x:v>不适用（主办方范围豁免）</x:v>
      </x:c>
    </x:row>
  </x:sheetData>
  <x:mergeCells>
    <x:mergeCell ref="A1:O1"/>
    <x:mergeCell ref="A2:O2"/>
    <x:mergeCell ref="A3:O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52" hidden="0" customWidth="1"/>
    <x:col min="3" max="3" width="24" hidden="0" customWidth="1"/>
    <x:col min="4" max="4" width="18" hidden="0" customWidth="1"/>
    <x:col min="5" max="5" width="20" hidden="0" customWidth="1"/>
    <x:col min="6" max="6" width="18" hidden="0" customWidth="1"/>
    <x:col min="7" max="7" width="12" hidden="0" customWidth="1"/>
    <x:col min="8" max="8" width="16" hidden="0" customWidth="1"/>
    <x:col min="9" max="9" width="42" hidden="0" customWidth="1"/>
  </x:cols>
  <x:sheetData>
    <x:row r="1" ht="28" customHeight="1">
      <x:c r="A1" s="3" t="str">
        <x:v>指标核验｜离线参考；Smartbi指标模型由主办方范围豁免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6" t="str">
        <x:v>状态：BLOCKED｜主办方已书面说明赛题不要求使用指标模型；Smartbi指标创建与误差测试标记为不适用。A04仍待B只读测试、冻结和A/B签收。</x:v>
      </x:c>
      <x:c r="B2" s="6"/>
      <x:c r="C2" s="6"/>
      <x:c r="D2" s="6"/>
      <x:c r="E2" s="6"/>
      <x:c r="F2" s="6"/>
      <x:c r="G2" s="6"/>
      <x:c r="H2" s="6"/>
      <x:c r="I2" s="6"/>
    </x:row>
    <x:row r="3" ht="30" customHeight="1">
      <x:c r="A3" s="9" t="str">
        <x:v>只读输入：18张正式工作簿 + 3张控制工作簿。离线读数不等于Smartbi平台已完成。</x:v>
      </x:c>
      <x:c r="B3" s="9"/>
      <x:c r="C3" s="9"/>
      <x:c r="D3" s="9"/>
      <x:c r="E3" s="9"/>
      <x:c r="F3" s="9"/>
      <x:c r="G3" s="9"/>
      <x:c r="H3" s="9"/>
      <x:c r="I3" s="9"/>
    </x:row>
    <x:row r="5" ht="32" customHeight="1">
      <x:c r="A5" s="21" t="str">
        <x:v>类别</x:v>
      </x:c>
      <x:c r="B5" s="21" t="str">
        <x:v>样本键</x:v>
      </x:c>
      <x:c r="C5" s="21" t="str">
        <x:v>指标</x:v>
      </x:c>
      <x:c r="D5" s="21" t="str">
        <x:v>离线期望</x:v>
      </x:c>
      <x:c r="E5" s="21" t="str">
        <x:v>Smartbi实际（范围豁免，保持空）</x:v>
      </x:c>
      <x:c r="F5" s="21" t="str">
        <x:v>相对误差(公式)</x:v>
      </x:c>
      <x:c r="G5" s="21" t="str">
        <x:v>门槛</x:v>
      </x:c>
      <x:c r="H5" s="21" t="str">
        <x:v>判定/范围状态</x:v>
      </x:c>
      <x:c r="I5" s="21" t="str">
        <x:v>来源/说明</x:v>
      </x:c>
    </x:row>
    <x:row r="6">
      <x:c r="A6" s="17" t="str">
        <x:v>基础计数</x:v>
      </x:c>
      <x:c r="B6" s="17" t="str">
        <x:v>全局</x:v>
      </x:c>
      <x:c r="C6" s="17" t="str">
        <x:v>country_count_130</x:v>
      </x:c>
      <x:c r="D6" s="17" t="n">
        <x:v>130</x:v>
      </x:c>
      <x:c r="E6" s="26"/>
      <x:c r="F6" s="27" t="str">
        <x:f>IF(E6="","",ABS(E6-D6)/MAX(ABS(D6),0.000000000001))</x:f>
      </x:c>
      <x:c r="G6" s="27" t="n">
        <x:v>0.01</x:v>
      </x:c>
      <x:c r="H6" s="17" t="str">
        <x:f>IF(E6="","不适用（主办方范围豁免）",IF(F6&lt;=G6,"PASS","FAIL"))</x:f>
        <x:v>不适用（主办方范围豁免）</x:v>
      </x:c>
      <x:c r="I6" s="17" t="str">
        <x:v>dim_country</x:v>
      </x:c>
    </x:row>
    <x:row r="7">
      <x:c r="A7" s="22" t="str">
        <x:v>基础计数</x:v>
      </x:c>
      <x:c r="B7" s="22" t="str">
        <x:v>全局</x:v>
      </x:c>
      <x:c r="C7" s="22" t="str">
        <x:v>selected_country_count_40</x:v>
      </x:c>
      <x:c r="D7" s="22" t="n">
        <x:v>40</x:v>
      </x:c>
      <x:c r="E7" s="26"/>
      <x:c r="F7" s="28" t="str">
        <x:f>IF(E7="","",ABS(E7-D7)/MAX(ABS(D7),0.000000000001))</x:f>
      </x:c>
      <x:c r="G7" s="28" t="n">
        <x:v>0.01</x:v>
      </x:c>
      <x:c r="H7" s="22" t="str">
        <x:f>IF(E7="","不适用（主办方范围豁免）",IF(F7&lt;=G7,"PASS","FAIL"))</x:f>
        <x:v>不适用（主办方范围豁免）</x:v>
      </x:c>
      <x:c r="I7" s="22" t="str">
        <x:v>dim_country</x:v>
      </x:c>
    </x:row>
    <x:row r="8">
      <x:c r="A8" s="17" t="str">
        <x:v>基础计数</x:v>
      </x:c>
      <x:c r="B8" s="17" t="str">
        <x:v>全局</x:v>
      </x:c>
      <x:c r="C8" s="17" t="str">
        <x:v>country_event_count_23</x:v>
      </x:c>
      <x:c r="D8" s="17" t="n">
        <x:v>23</x:v>
      </x:c>
      <x:c r="E8" s="26"/>
      <x:c r="F8" s="27" t="str">
        <x:f>IF(E8="","",ABS(E8-D8)/MAX(ABS(D8),0.000000000001))</x:f>
      </x:c>
      <x:c r="G8" s="27" t="n">
        <x:v>0.01</x:v>
      </x:c>
      <x:c r="H8" s="17" t="str">
        <x:f>IF(E8="","不适用（主办方范围豁免）",IF(F8&lt;=G8,"PASS","FAIL"))</x:f>
        <x:v>不适用（主办方范围豁免）</x:v>
      </x:c>
      <x:c r="I8" s="17" t="str">
        <x:v>country_event</x:v>
      </x:c>
    </x:row>
    <x:row r="9">
      <x:c r="A9" s="22" t="str">
        <x:v>基础计数</x:v>
      </x:c>
      <x:c r="B9" s="22" t="str">
        <x:v>全局</x:v>
      </x:c>
      <x:c r="C9" s="22" t="str">
        <x:v>company_count_20</x:v>
      </x:c>
      <x:c r="D9" s="22" t="n">
        <x:v>20</x:v>
      </x:c>
      <x:c r="E9" s="26"/>
      <x:c r="F9" s="28" t="str">
        <x:f>IF(E9="","",ABS(E9-D9)/MAX(ABS(D9),0.000000000001))</x:f>
      </x:c>
      <x:c r="G9" s="28" t="n">
        <x:v>0.01</x:v>
      </x:c>
      <x:c r="H9" s="22" t="str">
        <x:f>IF(E9="","不适用（主办方范围豁免）",IF(F9&lt;=G9,"PASS","FAIL"))</x:f>
        <x:v>不适用（主办方范围豁免）</x:v>
      </x:c>
      <x:c r="I9" s="22" t="str">
        <x:v>dim_company</x:v>
      </x:c>
    </x:row>
    <x:row r="10">
      <x:c r="A10" s="17" t="str">
        <x:v>基础计数</x:v>
      </x:c>
      <x:c r="B10" s="17" t="str">
        <x:v>全局</x:v>
      </x:c>
      <x:c r="C10" s="17" t="str">
        <x:v>source_count_734</x:v>
      </x:c>
      <x:c r="D10" s="17" t="n">
        <x:v>734</x:v>
      </x:c>
      <x:c r="E10" s="26"/>
      <x:c r="F10" s="27" t="str">
        <x:f>IF(E10="","",ABS(E10-D10)/MAX(ABS(D10),0.000000000001))</x:f>
      </x:c>
      <x:c r="G10" s="27" t="n">
        <x:v>0.01</x:v>
      </x:c>
      <x:c r="H10" s="17" t="str">
        <x:f>IF(E10="","不适用（主办方范围豁免）",IF(F10&lt;=G10,"PASS","FAIL"))</x:f>
        <x:v>不适用（主办方范围豁免）</x:v>
      </x:c>
      <x:c r="I10" s="17" t="str">
        <x:v>source_registry</x:v>
      </x:c>
    </x:row>
    <x:row r="11">
      <x:c r="A11" s="22" t="str">
        <x:v>国家样本</x:v>
      </x:c>
      <x:c r="B11" s="22" t="str">
        <x:v>AGO</x:v>
      </x:c>
      <x:c r="C11" s="22" t="str">
        <x:v>latest_fx_value</x:v>
      </x:c>
      <x:c r="D11" s="22" t="n">
        <x:v>922.1956</x:v>
      </x:c>
      <x:c r="E11" s="26"/>
      <x:c r="F11" s="28" t="str">
        <x:f>IF(E11="","",ABS(E11-D11)/MAX(ABS(D11),0.000000000001))</x:f>
      </x:c>
      <x:c r="G11" s="28" t="n">
        <x:v>0.01</x:v>
      </x:c>
      <x:c r="H11" s="22" t="str">
        <x:f>IF(E11="","不适用（主办方范围豁免）",IF(F11&lt;=G11,"PASS","FAIL"))</x:f>
        <x:v>不适用（主办方范围豁免）</x:v>
      </x:c>
      <x:c r="I11" s="22" t="str">
        <x:v>2025-12-31；source_id=MOFCOM-2024公报;WEB-0048-R01</x:v>
      </x:c>
    </x:row>
    <x:row r="12">
      <x:c r="A12" s="17" t="str">
        <x:v>国家样本</x:v>
      </x:c>
      <x:c r="B12" s="17" t="str">
        <x:v>AGO</x:v>
      </x:c>
      <x:c r="C12" s="17" t="str">
        <x:v>fx_12m_depr</x:v>
      </x:c>
      <x:c r="D12" s="17" t="n">
        <x:v>-0.00176483450346709</x:v>
      </x:c>
      <x:c r="E12" s="26"/>
      <x:c r="F12" s="27" t="str">
        <x:f>IF(E12="","",ABS(E12-D12)/MAX(ABS(D12),0.000000000001))</x:f>
      </x:c>
      <x:c r="G12" s="27" t="n">
        <x:v>0.01</x:v>
      </x:c>
      <x:c r="H12" s="17" t="str">
        <x:f>IF(E12="","不适用（主办方范围豁免）",IF(F12&lt;=G12,"PASS","FAIL"))</x:f>
        <x:v>不适用（主办方范围豁免）</x:v>
      </x:c>
      <x:c r="I12" s="17" t="str">
        <x:v>2025-12-31；source_id=MOFCOM-2024公报;WEB-0048-R01</x:v>
      </x:c>
    </x:row>
    <x:row r="13">
      <x:c r="A13" s="22" t="str">
        <x:v>国家样本</x:v>
      </x:c>
      <x:c r="B13" s="22" t="str">
        <x:v>AGO</x:v>
      </x:c>
      <x:c r="C13" s="22" t="str">
        <x:v>latest_cpi_value</x:v>
      </x:c>
      <x:c r="D13" s="22" t="n">
        <x:v>256.03</x:v>
      </x:c>
      <x:c r="E13" s="26"/>
      <x:c r="F13" s="28" t="str">
        <x:f>IF(E13="","",ABS(E13-D13)/MAX(ABS(D13),0.000000000001))</x:f>
      </x:c>
      <x:c r="G13" s="28" t="n">
        <x:v>0.01</x:v>
      </x:c>
      <x:c r="H13" s="22" t="str">
        <x:f>IF(E13="","不适用（主办方范围豁免）",IF(F13&lt;=G13,"PASS","FAIL"))</x:f>
        <x:v>不适用（主办方范围豁免）</x:v>
      </x:c>
      <x:c r="I13" s="22" t="str">
        <x:v>2025-12-31；source_id=MOFCOM-2024公报;WEB-0048-R01</x:v>
      </x:c>
    </x:row>
    <x:row r="14">
      <x:c r="A14" s="17" t="str">
        <x:v>国家样本</x:v>
      </x:c>
      <x:c r="B14" s="17" t="str">
        <x:v>AGO</x:v>
      </x:c>
      <x:c r="C14" s="17" t="str">
        <x:v>cpi_yoy</x:v>
      </x:c>
      <x:c r="D14" s="17" t="n">
        <x:v>-0.774652401632456</x:v>
      </x:c>
      <x:c r="E14" s="26"/>
      <x:c r="F14" s="27" t="str">
        <x:f>IF(E14="","",ABS(E14-D14)/MAX(ABS(D14),0.000000000001))</x:f>
      </x:c>
      <x:c r="G14" s="27" t="n">
        <x:v>0.01</x:v>
      </x:c>
      <x:c r="H14" s="17" t="str">
        <x:f>IF(E14="","不适用（主办方范围豁免）",IF(F14&lt;=G14,"PASS","FAIL"))</x:f>
        <x:v>不适用（主办方范围豁免）</x:v>
      </x:c>
      <x:c r="I14" s="17" t="str">
        <x:v>2025-12-31；source_id=MOFCOM-2024公报;WEB-0048-R01</x:v>
      </x:c>
    </x:row>
    <x:row r="15">
      <x:c r="A15" s="22" t="str">
        <x:v>国家样本</x:v>
      </x:c>
      <x:c r="B15" s="22" t="str">
        <x:v>AGO</x:v>
      </x:c>
      <x:c r="C15" s="22" t="str">
        <x:v>latest_odi_stock_usd</x:v>
      </x:c>
      <x:c r="D15" s="22" t="n">
        <x:v>2132650000</x:v>
      </x:c>
      <x:c r="E15" s="26"/>
      <x:c r="F15" s="28" t="str">
        <x:f>IF(E15="","",ABS(E15-D15)/MAX(ABS(D15),0.000000000001))</x:f>
      </x:c>
      <x:c r="G15" s="28" t="n">
        <x:v>0.01</x:v>
      </x:c>
      <x:c r="H15" s="22" t="str">
        <x:f>IF(E15="","不适用（主办方范围豁免）",IF(F15&lt;=G15,"PASS","FAIL"))</x:f>
        <x:v>不适用（主办方范围豁免）</x:v>
      </x:c>
      <x:c r="I15" s="22" t="str">
        <x:v>2024；source_id=MOFCOM-2024公报;WEB-0048-R01</x:v>
      </x:c>
    </x:row>
    <x:row r="16">
      <x:c r="A16" s="17" t="str">
        <x:v>国家样本</x:v>
      </x:c>
      <x:c r="B16" s="17" t="str">
        <x:v>DJI</x:v>
      </x:c>
      <x:c r="C16" s="17" t="str">
        <x:v>latest_fx_value</x:v>
      </x:c>
      <x:c r="D16" s="17" t="n">
        <x:v>177.721</x:v>
      </x:c>
      <x:c r="E16" s="26"/>
      <x:c r="F16" s="27" t="str">
        <x:f>IF(E16="","",ABS(E16-D16)/MAX(ABS(D16),0.000000000001))</x:f>
      </x:c>
      <x:c r="G16" s="27" t="n">
        <x:v>0.01</x:v>
      </x:c>
      <x:c r="H16" s="17" t="str">
        <x:f>IF(E16="","不适用（主办方范围豁免）",IF(F16&lt;=G16,"PASS","FAIL"))</x:f>
        <x:v>不适用（主办方范围豁免）</x:v>
      </x:c>
      <x:c r="I16" s="17" t="str">
        <x:v>2025-12-31；source_id=MOFCOM-2024公报;WEB-0048-R01</x:v>
      </x:c>
    </x:row>
    <x:row r="17">
      <x:c r="A17" s="22" t="str">
        <x:v>国家样本</x:v>
      </x:c>
      <x:c r="B17" s="22" t="str">
        <x:v>DJI</x:v>
      </x:c>
      <x:c r="C17" s="22" t="str">
        <x:v>fx_12m_depr</x:v>
      </x:c>
      <x:c r="D17" s="22" t="n">
        <x:v>0</x:v>
      </x:c>
      <x:c r="E17" s="26"/>
      <x:c r="F17" s="28" t="str">
        <x:f>IF(E17="","",ABS(E17-D17)/MAX(ABS(D17),0.000000000001))</x:f>
      </x:c>
      <x:c r="G17" s="28" t="n">
        <x:v>0.01</x:v>
      </x:c>
      <x:c r="H17" s="22" t="str">
        <x:f>IF(E17="","不适用（主办方范围豁免）",IF(F17&lt;=G17,"PASS","FAIL"))</x:f>
        <x:v>不适用（主办方范围豁免）</x:v>
      </x:c>
      <x:c r="I17" s="22" t="str">
        <x:v>2025-12-31；source_id=MOFCOM-2024公报;WEB-0048-R01</x:v>
      </x:c>
    </x:row>
    <x:row r="18">
      <x:c r="A18" s="17" t="str">
        <x:v>国家样本</x:v>
      </x:c>
      <x:c r="B18" s="17" t="str">
        <x:v>DJI</x:v>
      </x:c>
      <x:c r="C18" s="17" t="str">
        <x:v>latest_cpi_value</x:v>
      </x:c>
      <x:c r="D18" s="17" t="n">
        <x:v>116.7232</x:v>
      </x:c>
      <x:c r="E18" s="26"/>
      <x:c r="F18" s="27" t="str">
        <x:f>IF(E18="","",ABS(E18-D18)/MAX(ABS(D18),0.000000000001))</x:f>
      </x:c>
      <x:c r="G18" s="27" t="n">
        <x:v>0.01</x:v>
      </x:c>
      <x:c r="H18" s="17" t="str">
        <x:f>IF(E18="","不适用（主办方范围豁免）",IF(F18&lt;=G18,"PASS","FAIL"))</x:f>
        <x:v>不适用（主办方范围豁免）</x:v>
      </x:c>
      <x:c r="I18" s="17" t="str">
        <x:v>2025-12-31；source_id=MOFCOM-2024公报;WEB-0048-R01</x:v>
      </x:c>
    </x:row>
    <x:row r="19">
      <x:c r="A19" s="22" t="str">
        <x:v>国家样本</x:v>
      </x:c>
      <x:c r="B19" s="22" t="str">
        <x:v>DJI</x:v>
      </x:c>
      <x:c r="C19" s="22" t="str">
        <x:v>cpi_yoy</x:v>
      </x:c>
      <x:c r="D19" s="22" t="n">
        <x:v>0.00682295341587591</x:v>
      </x:c>
      <x:c r="E19" s="26"/>
      <x:c r="F19" s="28" t="str">
        <x:f>IF(E19="","",ABS(E19-D19)/MAX(ABS(D19),0.000000000001))</x:f>
      </x:c>
      <x:c r="G19" s="28" t="n">
        <x:v>0.01</x:v>
      </x:c>
      <x:c r="H19" s="22" t="str">
        <x:f>IF(E19="","不适用（主办方范围豁免）",IF(F19&lt;=G19,"PASS","FAIL"))</x:f>
        <x:v>不适用（主办方范围豁免）</x:v>
      </x:c>
      <x:c r="I19" s="22" t="str">
        <x:v>2025-12-31；source_id=MOFCOM-2024公报;WEB-0048-R01</x:v>
      </x:c>
    </x:row>
    <x:row r="20">
      <x:c r="A20" s="17" t="str">
        <x:v>国家样本</x:v>
      </x:c>
      <x:c r="B20" s="17" t="str">
        <x:v>DJI</x:v>
      </x:c>
      <x:c r="C20" s="17" t="str">
        <x:v>latest_odi_stock_usd</x:v>
      </x:c>
      <x:c r="D20" s="17" t="n">
        <x:v>94330000</x:v>
      </x:c>
      <x:c r="E20" s="26"/>
      <x:c r="F20" s="27" t="str">
        <x:f>IF(E20="","",ABS(E20-D20)/MAX(ABS(D20),0.000000000001))</x:f>
      </x:c>
      <x:c r="G20" s="27" t="n">
        <x:v>0.01</x:v>
      </x:c>
      <x:c r="H20" s="17" t="str">
        <x:f>IF(E20="","不适用（主办方范围豁免）",IF(F20&lt;=G20,"PASS","FAIL"))</x:f>
        <x:v>不适用（主办方范围豁免）</x:v>
      </x:c>
      <x:c r="I20" s="17" t="str">
        <x:v>2024；source_id=MOFCOM-2024公报;WEB-0048-R01</x:v>
      </x:c>
    </x:row>
    <x:row r="21">
      <x:c r="A21" s="22" t="str">
        <x:v>国家样本</x:v>
      </x:c>
      <x:c r="B21" s="22" t="str">
        <x:v>GRD</x:v>
      </x:c>
      <x:c r="C21" s="22" t="str">
        <x:v>latest_fx_value</x:v>
      </x:c>
      <x:c r="D21" s="22" t="n">
        <x:v>2.7</x:v>
      </x:c>
      <x:c r="E21" s="26"/>
      <x:c r="F21" s="28" t="str">
        <x:f>IF(E21="","",ABS(E21-D21)/MAX(ABS(D21),0.000000000001))</x:f>
      </x:c>
      <x:c r="G21" s="28" t="n">
        <x:v>0.01</x:v>
      </x:c>
      <x:c r="H21" s="22" t="str">
        <x:f>IF(E21="","不适用（主办方范围豁免）",IF(F21&lt;=G21,"PASS","FAIL"))</x:f>
        <x:v>不适用（主办方范围豁免）</x:v>
      </x:c>
      <x:c r="I21" s="22" t="str">
        <x:v>2025-12-31；source_id=MOFCOM-2024公报;WEB-0048-R01</x:v>
      </x:c>
    </x:row>
    <x:row r="22">
      <x:c r="A22" s="17" t="str">
        <x:v>国家样本</x:v>
      </x:c>
      <x:c r="B22" s="17" t="str">
        <x:v>GRD</x:v>
      </x:c>
      <x:c r="C22" s="17" t="str">
        <x:v>fx_12m_depr</x:v>
      </x:c>
      <x:c r="D22" s="17" t="n">
        <x:v>0</x:v>
      </x:c>
      <x:c r="E22" s="26"/>
      <x:c r="F22" s="27" t="str">
        <x:f>IF(E22="","",ABS(E22-D22)/MAX(ABS(D22),0.000000000001))</x:f>
      </x:c>
      <x:c r="G22" s="27" t="n">
        <x:v>0.01</x:v>
      </x:c>
      <x:c r="H22" s="17" t="str">
        <x:f>IF(E22="","不适用（主办方范围豁免）",IF(F22&lt;=G22,"PASS","FAIL"))</x:f>
        <x:v>不适用（主办方范围豁免）</x:v>
      </x:c>
      <x:c r="I22" s="17" t="str">
        <x:v>2025-12-31；source_id=MOFCOM-2024公报;WEB-0048-R01</x:v>
      </x:c>
    </x:row>
    <x:row r="23">
      <x:c r="A23" s="22" t="str">
        <x:v>国家样本</x:v>
      </x:c>
      <x:c r="B23" s="22" t="str">
        <x:v>GRD</x:v>
      </x:c>
      <x:c r="C23" s="22" t="str">
        <x:v>latest_cpi_value</x:v>
      </x:c>
      <x:c r="D23" s="22" t="n">
        <x:v>120.87</x:v>
      </x:c>
      <x:c r="E23" s="26"/>
      <x:c r="F23" s="28" t="str">
        <x:f>IF(E23="","",ABS(E23-D23)/MAX(ABS(D23),0.000000000001))</x:f>
      </x:c>
      <x:c r="G23" s="28" t="n">
        <x:v>0.01</x:v>
      </x:c>
      <x:c r="H23" s="22" t="str">
        <x:f>IF(E23="","不适用（主办方范围豁免）",IF(F23&lt;=G23,"PASS","FAIL"))</x:f>
        <x:v>不适用（主办方范围豁免）</x:v>
      </x:c>
      <x:c r="I23" s="22" t="str">
        <x:v>2025-12-31；source_id=MOFCOM-2024公报;WEB-0048-R01</x:v>
      </x:c>
    </x:row>
    <x:row r="24">
      <x:c r="A24" s="17" t="str">
        <x:v>国家样本</x:v>
      </x:c>
      <x:c r="B24" s="17" t="str">
        <x:v>GRD</x:v>
      </x:c>
      <x:c r="C24" s="17" t="str">
        <x:v>cpi_yoy</x:v>
      </x:c>
      <x:c r="D24" s="17" t="n">
        <x:v>0.00574138791812273</x:v>
      </x:c>
      <x:c r="E24" s="26"/>
      <x:c r="F24" s="27" t="str">
        <x:f>IF(E24="","",ABS(E24-D24)/MAX(ABS(D24),0.000000000001))</x:f>
      </x:c>
      <x:c r="G24" s="27" t="n">
        <x:v>0.01</x:v>
      </x:c>
      <x:c r="H24" s="17" t="str">
        <x:f>IF(E24="","不适用（主办方范围豁免）",IF(F24&lt;=G24,"PASS","FAIL"))</x:f>
        <x:v>不适用（主办方范围豁免）</x:v>
      </x:c>
      <x:c r="I24" s="17" t="str">
        <x:v>2025-12-31；source_id=MOFCOM-2024公报;WEB-0048-R01</x:v>
      </x:c>
    </x:row>
    <x:row r="25">
      <x:c r="A25" s="22" t="str">
        <x:v>国家样本</x:v>
      </x:c>
      <x:c r="B25" s="22" t="str">
        <x:v>GRD</x:v>
      </x:c>
      <x:c r="C25" s="22" t="str">
        <x:v>latest_odi_stock_usd</x:v>
      </x:c>
      <x:c r="D25" s="22" t="n">
        <x:v>1080000</x:v>
      </x:c>
      <x:c r="E25" s="26"/>
      <x:c r="F25" s="28" t="str">
        <x:f>IF(E25="","",ABS(E25-D25)/MAX(ABS(D25),0.000000000001))</x:f>
      </x:c>
      <x:c r="G25" s="28" t="n">
        <x:v>0.01</x:v>
      </x:c>
      <x:c r="H25" s="22" t="str">
        <x:f>IF(E25="","不适用（主办方范围豁免）",IF(F25&lt;=G25,"PASS","FAIL"))</x:f>
        <x:v>不适用（主办方范围豁免）</x:v>
      </x:c>
      <x:c r="I25" s="22" t="str">
        <x:v>2024；source_id=MOFCOM-2024公报;WEB-0048-R01</x:v>
      </x:c>
    </x:row>
    <x:row r="26">
      <x:c r="A26" s="17" t="str">
        <x:v>国家样本</x:v>
      </x:c>
      <x:c r="B26" s="17" t="str">
        <x:v>MEX</x:v>
      </x:c>
      <x:c r="C26" s="17" t="str">
        <x:v>latest_fx_value</x:v>
      </x:c>
      <x:c r="D26" s="17" t="n">
        <x:v>18.07524</x:v>
      </x:c>
      <x:c r="E26" s="26"/>
      <x:c r="F26" s="27" t="str">
        <x:f>IF(E26="","",ABS(E26-D26)/MAX(ABS(D26),0.000000000001))</x:f>
      </x:c>
      <x:c r="G26" s="27" t="n">
        <x:v>0.01</x:v>
      </x:c>
      <x:c r="H26" s="17" t="str">
        <x:f>IF(E26="","不适用（主办方范围豁免）",IF(F26&lt;=G26,"PASS","FAIL"))</x:f>
        <x:v>不适用（主办方范围豁免）</x:v>
      </x:c>
      <x:c r="I26" s="17" t="str">
        <x:v>2025-12-31；source_id=MOFCOM-2024公报;WEB-0048-R01</x:v>
      </x:c>
    </x:row>
    <x:row r="27">
      <x:c r="A27" s="22" t="str">
        <x:v>国家样本</x:v>
      </x:c>
      <x:c r="B27" s="22" t="str">
        <x:v>MEX</x:v>
      </x:c>
      <x:c r="C27" s="22" t="str">
        <x:v>fx_12m_depr</x:v>
      </x:c>
      <x:c r="D27" s="22" t="n">
        <x:v>-0.108119190207649</x:v>
      </x:c>
      <x:c r="E27" s="26"/>
      <x:c r="F27" s="28" t="str">
        <x:f>IF(E27="","",ABS(E27-D27)/MAX(ABS(D27),0.000000000001))</x:f>
      </x:c>
      <x:c r="G27" s="28" t="n">
        <x:v>0.01</x:v>
      </x:c>
      <x:c r="H27" s="22" t="str">
        <x:f>IF(E27="","不适用（主办方范围豁免）",IF(F27&lt;=G27,"PASS","FAIL"))</x:f>
        <x:v>不适用（主办方范围豁免）</x:v>
      </x:c>
      <x:c r="I27" s="22" t="str">
        <x:v>2025-12-31；source_id=MOFCOM-2024公报;WEB-0048-R01</x:v>
      </x:c>
    </x:row>
    <x:row r="28">
      <x:c r="A28" s="17" t="str">
        <x:v>国家样本</x:v>
      </x:c>
      <x:c r="B28" s="17" t="str">
        <x:v>MEX</x:v>
      </x:c>
      <x:c r="C28" s="17" t="str">
        <x:v>latest_cpi_value</x:v>
      </x:c>
      <x:c r="D28" s="17" t="n">
        <x:v>197.1579</x:v>
      </x:c>
      <x:c r="E28" s="26"/>
      <x:c r="F28" s="27" t="str">
        <x:f>IF(E28="","",ABS(E28-D28)/MAX(ABS(D28),0.000000000001))</x:f>
      </x:c>
      <x:c r="G28" s="27" t="n">
        <x:v>0.01</x:v>
      </x:c>
      <x:c r="H28" s="17" t="str">
        <x:f>IF(E28="","不适用（主办方范围豁免）",IF(F28&lt;=G28,"PASS","FAIL"))</x:f>
        <x:v>不适用（主办方范围豁免）</x:v>
      </x:c>
      <x:c r="I28" s="17" t="str">
        <x:v>2025-12-31；source_id=MOFCOM-2024公报;WEB-0048-R01</x:v>
      </x:c>
    </x:row>
    <x:row r="29">
      <x:c r="A29" s="22" t="str">
        <x:v>国家样本</x:v>
      </x:c>
      <x:c r="B29" s="22" t="str">
        <x:v>MEX</x:v>
      </x:c>
      <x:c r="C29" s="22" t="str">
        <x:v>cpi_yoy</x:v>
      </x:c>
      <x:c r="D29" s="22" t="n">
        <x:v>0.0369194811560649</x:v>
      </x:c>
      <x:c r="E29" s="26"/>
      <x:c r="F29" s="28" t="str">
        <x:f>IF(E29="","",ABS(E29-D29)/MAX(ABS(D29),0.000000000001))</x:f>
      </x:c>
      <x:c r="G29" s="28" t="n">
        <x:v>0.01</x:v>
      </x:c>
      <x:c r="H29" s="22" t="str">
        <x:f>IF(E29="","不适用（主办方范围豁免）",IF(F29&lt;=G29,"PASS","FAIL"))</x:f>
        <x:v>不适用（主办方范围豁免）</x:v>
      </x:c>
      <x:c r="I29" s="22" t="str">
        <x:v>2025-12-31；source_id=MOFCOM-2024公报;WEB-0048-R01</x:v>
      </x:c>
    </x:row>
    <x:row r="30">
      <x:c r="A30" s="17" t="str">
        <x:v>国家样本</x:v>
      </x:c>
      <x:c r="B30" s="17" t="str">
        <x:v>MEX</x:v>
      </x:c>
      <x:c r="C30" s="17" t="str">
        <x:v>latest_odi_stock_usd</x:v>
      </x:c>
      <x:c r="D30" s="17" t="n">
        <x:v>4875140000</x:v>
      </x:c>
      <x:c r="E30" s="26"/>
      <x:c r="F30" s="27" t="str">
        <x:f>IF(E30="","",ABS(E30-D30)/MAX(ABS(D30),0.000000000001))</x:f>
      </x:c>
      <x:c r="G30" s="27" t="n">
        <x:v>0.01</x:v>
      </x:c>
      <x:c r="H30" s="17" t="str">
        <x:f>IF(E30="","不适用（主办方范围豁免）",IF(F30&lt;=G30,"PASS","FAIL"))</x:f>
        <x:v>不适用（主办方范围豁免）</x:v>
      </x:c>
      <x:c r="I30" s="17" t="str">
        <x:v>2024；source_id=MOFCOM-2024公报;WEB-0048-R01</x:v>
      </x:c>
    </x:row>
    <x:row r="31">
      <x:c r="A31" s="22" t="str">
        <x:v>国家样本</x:v>
      </x:c>
      <x:c r="B31" s="22" t="str">
        <x:v>SDN</x:v>
      </x:c>
      <x:c r="C31" s="22" t="str">
        <x:v>latest_fx_value</x:v>
      </x:c>
      <x:c r="D31" s="22" t="n">
        <x:v>635.6141</x:v>
      </x:c>
      <x:c r="E31" s="26"/>
      <x:c r="F31" s="28" t="str">
        <x:f>IF(E31="","",ABS(E31-D31)/MAX(ABS(D31),0.000000000001))</x:f>
      </x:c>
      <x:c r="G31" s="28" t="n">
        <x:v>0.01</x:v>
      </x:c>
      <x:c r="H31" s="22" t="str">
        <x:f>IF(E31="","不适用（主办方范围豁免）",IF(F31&lt;=G31,"PASS","FAIL"))</x:f>
        <x:v>不适用（主办方范围豁免）</x:v>
      </x:c>
      <x:c r="I31" s="22" t="str">
        <x:v>2023-10-31；source_id=MOFCOM-2024公报;WEB-0048-R01</x:v>
      </x:c>
    </x:row>
    <x:row r="32">
      <x:c r="A32" s="17" t="str">
        <x:v>国家样本</x:v>
      </x:c>
      <x:c r="B32" s="17" t="str">
        <x:v>SDN</x:v>
      </x:c>
      <x:c r="C32" s="17" t="str">
        <x:v>fx_12m_depr</x:v>
      </x:c>
      <x:c r="D32" s="17" t="n">
        <x:v>0.112434611350467</x:v>
      </x:c>
      <x:c r="E32" s="26"/>
      <x:c r="F32" s="27" t="str">
        <x:f>IF(E32="","",ABS(E32-D32)/MAX(ABS(D32),0.000000000001))</x:f>
      </x:c>
      <x:c r="G32" s="27" t="n">
        <x:v>0.01</x:v>
      </x:c>
      <x:c r="H32" s="17" t="str">
        <x:f>IF(E32="","不适用（主办方范围豁免）",IF(F32&lt;=G32,"PASS","FAIL"))</x:f>
        <x:v>不适用（主办方范围豁免）</x:v>
      </x:c>
      <x:c r="I32" s="17" t="str">
        <x:v>2023-10-31；source_id=MOFCOM-2024公报;WEB-0048-R01</x:v>
      </x:c>
    </x:row>
    <x:row r="33">
      <x:c r="A33" s="22" t="str">
        <x:v>国家样本</x:v>
      </x:c>
      <x:c r="B33" s="22" t="str">
        <x:v>SDN</x:v>
      </x:c>
      <x:c r="C33" s="22" t="str">
        <x:v>latest_cpi_value</x:v>
      </x:c>
      <x:c r="D33" s="22" t="n">
        <x:v>47954.2419061244</x:v>
      </x:c>
      <x:c r="E33" s="26"/>
      <x:c r="F33" s="28" t="str">
        <x:f>IF(E33="","",ABS(E33-D33)/MAX(ABS(D33),0.000000000001))</x:f>
      </x:c>
      <x:c r="G33" s="28" t="n">
        <x:v>0.01</x:v>
      </x:c>
      <x:c r="H33" s="22" t="str">
        <x:f>IF(E33="","不适用（主办方范围豁免）",IF(F33&lt;=G33,"PASS","FAIL"))</x:f>
        <x:v>不适用（主办方范围豁免）</x:v>
      </x:c>
      <x:c r="I33" s="22" t="str">
        <x:v>2023-02-28；source_id=MOFCOM-2024公报;WEB-0048-R01</x:v>
      </x:c>
    </x:row>
    <x:row r="34">
      <x:c r="A34" s="17" t="str">
        <x:v>国家样本</x:v>
      </x:c>
      <x:c r="B34" s="17" t="str">
        <x:v>SDN</x:v>
      </x:c>
      <x:c r="C34" s="17" t="str">
        <x:v>cpi_yoy</x:v>
      </x:c>
      <x:c r="D34" s="17" t="n">
        <x:v>0.633076158305155</x:v>
      </x:c>
      <x:c r="E34" s="26"/>
      <x:c r="F34" s="27" t="str">
        <x:f>IF(E34="","",ABS(E34-D34)/MAX(ABS(D34),0.000000000001))</x:f>
      </x:c>
      <x:c r="G34" s="27" t="n">
        <x:v>0.01</x:v>
      </x:c>
      <x:c r="H34" s="17" t="str">
        <x:f>IF(E34="","不适用（主办方范围豁免）",IF(F34&lt;=G34,"PASS","FAIL"))</x:f>
        <x:v>不适用（主办方范围豁免）</x:v>
      </x:c>
      <x:c r="I34" s="17" t="str">
        <x:v>2023-02-28；source_id=MOFCOM-2024公报;WEB-0048-R01</x:v>
      </x:c>
    </x:row>
    <x:row r="35">
      <x:c r="A35" s="22" t="str">
        <x:v>国家样本</x:v>
      </x:c>
      <x:c r="B35" s="22" t="str">
        <x:v>SDN</x:v>
      </x:c>
      <x:c r="C35" s="22" t="str">
        <x:v>latest_odi_stock_usd</x:v>
      </x:c>
      <x:c r="D35" s="22" t="n">
        <x:v>789310000</x:v>
      </x:c>
      <x:c r="E35" s="26"/>
      <x:c r="F35" s="28" t="str">
        <x:f>IF(E35="","",ABS(E35-D35)/MAX(ABS(D35),0.000000000001))</x:f>
      </x:c>
      <x:c r="G35" s="28" t="n">
        <x:v>0.01</x:v>
      </x:c>
      <x:c r="H35" s="22" t="str">
        <x:f>IF(E35="","不适用（主办方范围豁免）",IF(F35&lt;=G35,"PASS","FAIL"))</x:f>
        <x:v>不适用（主办方范围豁免）</x:v>
      </x:c>
      <x:c r="I35" s="22" t="str">
        <x:v>2024；source_id=MOFCOM-2024公报;WEB-0048-R01</x:v>
      </x:c>
    </x:row>
    <x:row r="36">
      <x:c r="A36" s="17" t="str">
        <x:v>情景样本</x:v>
      </x:c>
      <x:c r="B36" s="17" t="str">
        <x:v>grid_g0.000|3layer_grid|OMN|2010-03-31|90d|gold=0</x:v>
      </x:c>
      <x:c r="C36" s="17" t="str">
        <x:v>max_drawdown</x:v>
      </x:c>
      <x:c r="D36" s="17" t="n">
        <x:v>0</x:v>
      </x:c>
      <x:c r="E36" s="26"/>
      <x:c r="F36" s="27" t="str">
        <x:f>IF(E36="","",ABS(E36-D36)/MAX(ABS(D36),0.000000000001))</x:f>
      </x:c>
      <x:c r="G36" s="27" t="n">
        <x:v>0.01</x:v>
      </x:c>
      <x:c r="H36" s="17" t="str">
        <x:f>IF(E36="","不适用（主办方范围豁免）",IF(F36&lt;=G36,"PASS","FAIL"))</x:f>
        <x:v>不适用（主办方范围豁免）</x:v>
      </x:c>
      <x:c r="I36" s="17" t="str">
        <x:v>portfolio_scenario原行</x:v>
      </x:c>
    </x:row>
    <x:row r="37">
      <x:c r="A37" s="22" t="str">
        <x:v>情景样本</x:v>
      </x:c>
      <x:c r="B37" s="22" t="str">
        <x:v>grid_g0.000|3layer_grid|OMN|2010-03-31|90d|gold=0</x:v>
      </x:c>
      <x:c r="C37" s="22" t="str">
        <x:v>cvar_95</x:v>
      </x:c>
      <x:c r="D37" s="22" t="n">
        <x:v>-0.00002064404509507564</x:v>
      </x:c>
      <x:c r="E37" s="26"/>
      <x:c r="F37" s="28" t="str">
        <x:f>IF(E37="","",ABS(E37-D37)/MAX(ABS(D37),0.000000000001))</x:f>
      </x:c>
      <x:c r="G37" s="28" t="n">
        <x:v>0.01</x:v>
      </x:c>
      <x:c r="H37" s="22" t="str">
        <x:f>IF(E37="","不适用（主办方范围豁免）",IF(F37&lt;=G37,"PASS","FAIL"))</x:f>
        <x:v>不适用（主办方范围豁免）</x:v>
      </x:c>
      <x:c r="I37" s="22" t="str">
        <x:v>portfolio_scenario原行</x:v>
      </x:c>
    </x:row>
    <x:row r="38">
      <x:c r="A38" s="17" t="str">
        <x:v>情景样本</x:v>
      </x:c>
      <x:c r="B38" s="17" t="str">
        <x:v>grid_g0.000|3layer_grid|OMN|2010-03-31|90d|gold=0</x:v>
      </x:c>
      <x:c r="C38" s="17" t="str">
        <x:v>cost_total</x:v>
      </x:c>
      <x:c r="D38" s="17" t="n">
        <x:v>0.000075</x:v>
      </x:c>
      <x:c r="E38" s="26"/>
      <x:c r="F38" s="27" t="str">
        <x:f>IF(E38="","",ABS(E38-D38)/MAX(ABS(D38),0.000000000001))</x:f>
      </x:c>
      <x:c r="G38" s="27" t="n">
        <x:v>0.01</x:v>
      </x:c>
      <x:c r="H38" s="17" t="str">
        <x:f>IF(E38="","不适用（主办方范围豁免）",IF(F38&lt;=G38,"PASS","FAIL"))</x:f>
        <x:v>不适用（主办方范围豁免）</x:v>
      </x:c>
      <x:c r="I38" s="17" t="str">
        <x:v>portfolio_scenario原行</x:v>
      </x:c>
    </x:row>
    <x:row r="39">
      <x:c r="A39" s="22" t="str">
        <x:v>情景样本</x:v>
      </x:c>
      <x:c r="B39" s="22" t="str">
        <x:v>grid_g0.000|3layer_grid|OMN|2010-03-31|90d|gold=0</x:v>
      </x:c>
      <x:c r="C39" s="22" t="str">
        <x:v>gold_weight</x:v>
      </x:c>
      <x:c r="D39" s="22" t="n">
        <x:v>0</x:v>
      </x:c>
      <x:c r="E39" s="26"/>
      <x:c r="F39" s="28" t="str">
        <x:f>IF(E39="","",ABS(E39-D39)/MAX(ABS(D39),0.000000000001))</x:f>
      </x:c>
      <x:c r="G39" s="28" t="n">
        <x:v>0.01</x:v>
      </x:c>
      <x:c r="H39" s="22" t="str">
        <x:f>IF(E39="","不适用（主办方范围豁免）",IF(F39&lt;=G39,"PASS","FAIL"))</x:f>
        <x:v>不适用（主办方范围豁免）</x:v>
      </x:c>
      <x:c r="I39" s="22" t="str">
        <x:v>portfolio_scenario原行</x:v>
      </x:c>
    </x:row>
    <x:row r="40">
      <x:c r="A40" s="17" t="str">
        <x:v>情景样本</x:v>
      </x:c>
      <x:c r="B40" s="17" t="str">
        <x:v>grid_g0.000|3layer_grid|OMN|2010-03-31|90d|gold=0</x:v>
      </x:c>
      <x:c r="C40" s="17" t="str">
        <x:v>weight_sum</x:v>
      </x:c>
      <x:c r="D40" s="17" t="n">
        <x:v>1</x:v>
      </x:c>
      <x:c r="E40" s="26"/>
      <x:c r="F40" s="27" t="str">
        <x:f>IF(E40="","",ABS(E40-D40)/MAX(ABS(D40),0.000000000001))</x:f>
      </x:c>
      <x:c r="G40" s="27" t="n">
        <x:v>0.01</x:v>
      </x:c>
      <x:c r="H40" s="17" t="str">
        <x:f>IF(E40="","不适用（主办方范围豁免）",IF(F40&lt;=G40,"PASS","FAIL"))</x:f>
        <x:v>不适用（主办方范围豁免）</x:v>
      </x:c>
      <x:c r="I40" s="17" t="str">
        <x:v>portfolio_scenario原行</x:v>
      </x:c>
    </x:row>
    <x:row r="41">
      <x:c r="A41" s="22" t="str">
        <x:v>情景样本</x:v>
      </x:c>
      <x:c r="B41" s="22" t="str">
        <x:v>grid_g0.050|3layer_grid|OMN|2010-03-31|90d|gold=0.05</x:v>
      </x:c>
      <x:c r="C41" s="22" t="str">
        <x:v>max_drawdown</x:v>
      </x:c>
      <x:c r="D41" s="22" t="n">
        <x:v>-0.000608826384265293</x:v>
      </x:c>
      <x:c r="E41" s="26"/>
      <x:c r="F41" s="28" t="str">
        <x:f>IF(E41="","",ABS(E41-D41)/MAX(ABS(D41),0.000000000001))</x:f>
      </x:c>
      <x:c r="G41" s="28" t="n">
        <x:v>0.01</x:v>
      </x:c>
      <x:c r="H41" s="22" t="str">
        <x:f>IF(E41="","不适用（主办方范围豁免）",IF(F41&lt;=G41,"PASS","FAIL"))</x:f>
        <x:v>不适用（主办方范围豁免）</x:v>
      </x:c>
      <x:c r="I41" s="22" t="str">
        <x:v>portfolio_scenario原行</x:v>
      </x:c>
    </x:row>
    <x:row r="42">
      <x:c r="A42" s="17" t="str">
        <x:v>情景样本</x:v>
      </x:c>
      <x:c r="B42" s="17" t="str">
        <x:v>grid_g0.050|3layer_grid|OMN|2010-03-31|90d|gold=0.05</x:v>
      </x:c>
      <x:c r="C42" s="17" t="str">
        <x:v>cvar_95</x:v>
      </x:c>
      <x:c r="D42" s="17" t="n">
        <x:v>-0.0005511937458388068</x:v>
      </x:c>
      <x:c r="E42" s="26"/>
      <x:c r="F42" s="27" t="str">
        <x:f>IF(E42="","",ABS(E42-D42)/MAX(ABS(D42),0.000000000001))</x:f>
      </x:c>
      <x:c r="G42" s="27" t="n">
        <x:v>0.01</x:v>
      </x:c>
      <x:c r="H42" s="17" t="str">
        <x:f>IF(E42="","不适用（主办方范围豁免）",IF(F42&lt;=G42,"PASS","FAIL"))</x:f>
        <x:v>不适用（主办方范围豁免）</x:v>
      </x:c>
      <x:c r="I42" s="17" t="str">
        <x:v>portfolio_scenario原行</x:v>
      </x:c>
    </x:row>
    <x:row r="43">
      <x:c r="A43" s="22" t="str">
        <x:v>情景样本</x:v>
      </x:c>
      <x:c r="B43" s="22" t="str">
        <x:v>grid_g0.050|3layer_grid|OMN|2010-03-31|90d|gold=0.05</x:v>
      </x:c>
      <x:c r="C43" s="22" t="str">
        <x:v>cost_total</x:v>
      </x:c>
      <x:c r="D43" s="22" t="n">
        <x:v>0.00009749999999999998</x:v>
      </x:c>
      <x:c r="E43" s="26"/>
      <x:c r="F43" s="28" t="str">
        <x:f>IF(E43="","",ABS(E43-D43)/MAX(ABS(D43),0.000000000001))</x:f>
      </x:c>
      <x:c r="G43" s="28" t="n">
        <x:v>0.01</x:v>
      </x:c>
      <x:c r="H43" s="22" t="str">
        <x:f>IF(E43="","不适用（主办方范围豁免）",IF(F43&lt;=G43,"PASS","FAIL"))</x:f>
        <x:v>不适用（主办方范围豁免）</x:v>
      </x:c>
      <x:c r="I43" s="22" t="str">
        <x:v>portfolio_scenario原行</x:v>
      </x:c>
    </x:row>
    <x:row r="44">
      <x:c r="A44" s="17" t="str">
        <x:v>情景样本</x:v>
      </x:c>
      <x:c r="B44" s="17" t="str">
        <x:v>grid_g0.050|3layer_grid|OMN|2010-03-31|90d|gold=0.05</x:v>
      </x:c>
      <x:c r="C44" s="17" t="str">
        <x:v>gold_weight</x:v>
      </x:c>
      <x:c r="D44" s="17" t="n">
        <x:v>0.05</x:v>
      </x:c>
      <x:c r="E44" s="26"/>
      <x:c r="F44" s="27" t="str">
        <x:f>IF(E44="","",ABS(E44-D44)/MAX(ABS(D44),0.000000000001))</x:f>
      </x:c>
      <x:c r="G44" s="27" t="n">
        <x:v>0.01</x:v>
      </x:c>
      <x:c r="H44" s="17" t="str">
        <x:f>IF(E44="","不适用（主办方范围豁免）",IF(F44&lt;=G44,"PASS","FAIL"))</x:f>
        <x:v>不适用（主办方范围豁免）</x:v>
      </x:c>
      <x:c r="I44" s="17" t="str">
        <x:v>portfolio_scenario原行</x:v>
      </x:c>
    </x:row>
    <x:row r="45">
      <x:c r="A45" s="22" t="str">
        <x:v>情景样本</x:v>
      </x:c>
      <x:c r="B45" s="22" t="str">
        <x:v>grid_g0.050|3layer_grid|OMN|2010-03-31|90d|gold=0.05</x:v>
      </x:c>
      <x:c r="C45" s="22" t="str">
        <x:v>weight_sum</x:v>
      </x:c>
      <x:c r="D45" s="22" t="n">
        <x:v>1</x:v>
      </x:c>
      <x:c r="E45" s="26"/>
      <x:c r="F45" s="28" t="str">
        <x:f>IF(E45="","",ABS(E45-D45)/MAX(ABS(D45),0.000000000001))</x:f>
      </x:c>
      <x:c r="G45" s="28" t="n">
        <x:v>0.01</x:v>
      </x:c>
      <x:c r="H45" s="22" t="str">
        <x:f>IF(E45="","不适用（主办方范围豁免）",IF(F45&lt;=G45,"PASS","FAIL"))</x:f>
        <x:v>不适用（主办方范围豁免）</x:v>
      </x:c>
      <x:c r="I45" s="22" t="str">
        <x:v>portfolio_scenario原行</x:v>
      </x:c>
    </x:row>
    <x:row r="46">
      <x:c r="A46" s="17" t="str">
        <x:v>情景样本</x:v>
      </x:c>
      <x:c r="B46" s="17" t="str">
        <x:v>grid_g0.100|3layer_grid|OMN|2010-03-31|90d|gold=0.1</x:v>
      </x:c>
      <x:c r="C46" s="17" t="str">
        <x:v>max_drawdown</x:v>
      </x:c>
      <x:c r="D46" s="17" t="n">
        <x:v>-0.001236212317579977</x:v>
      </x:c>
      <x:c r="E46" s="26"/>
      <x:c r="F46" s="27" t="str">
        <x:f>IF(E46="","",ABS(E46-D46)/MAX(ABS(D46),0.000000000001))</x:f>
      </x:c>
      <x:c r="G46" s="27" t="n">
        <x:v>0.01</x:v>
      </x:c>
      <x:c r="H46" s="17" t="str">
        <x:f>IF(E46="","不适用（主办方范围豁免）",IF(F46&lt;=G46,"PASS","FAIL"))</x:f>
        <x:v>不适用（主办方范围豁免）</x:v>
      </x:c>
      <x:c r="I46" s="17" t="str">
        <x:v>portfolio_scenario原行</x:v>
      </x:c>
    </x:row>
    <x:row r="47">
      <x:c r="A47" s="22" t="str">
        <x:v>情景样本</x:v>
      </x:c>
      <x:c r="B47" s="22" t="str">
        <x:v>grid_g0.100|3layer_grid|OMN|2010-03-31|90d|gold=0.1</x:v>
      </x:c>
      <x:c r="C47" s="22" t="str">
        <x:v>cvar_95</x:v>
      </x:c>
      <x:c r="D47" s="22" t="n">
        <x:v>-0.001116591085821933</x:v>
      </x:c>
      <x:c r="E47" s="26"/>
      <x:c r="F47" s="28" t="str">
        <x:f>IF(E47="","",ABS(E47-D47)/MAX(ABS(D47),0.000000000001))</x:f>
      </x:c>
      <x:c r="G47" s="28" t="n">
        <x:v>0.01</x:v>
      </x:c>
      <x:c r="H47" s="22" t="str">
        <x:f>IF(E47="","不适用（主办方范围豁免）",IF(F47&lt;=G47,"PASS","FAIL"))</x:f>
        <x:v>不适用（主办方范围豁免）</x:v>
      </x:c>
      <x:c r="I47" s="22" t="str">
        <x:v>portfolio_scenario原行</x:v>
      </x:c>
    </x:row>
    <x:row r="48">
      <x:c r="A48" s="17" t="str">
        <x:v>情景样本</x:v>
      </x:c>
      <x:c r="B48" s="17" t="str">
        <x:v>grid_g0.100|3layer_grid|OMN|2010-03-31|90d|gold=0.1</x:v>
      </x:c>
      <x:c r="C48" s="17" t="str">
        <x:v>cost_total</x:v>
      </x:c>
      <x:c r="D48" s="17" t="n">
        <x:v>0.00012</x:v>
      </x:c>
      <x:c r="E48" s="26"/>
      <x:c r="F48" s="27" t="str">
        <x:f>IF(E48="","",ABS(E48-D48)/MAX(ABS(D48),0.000000000001))</x:f>
      </x:c>
      <x:c r="G48" s="27" t="n">
        <x:v>0.01</x:v>
      </x:c>
      <x:c r="H48" s="17" t="str">
        <x:f>IF(E48="","不适用（主办方范围豁免）",IF(F48&lt;=G48,"PASS","FAIL"))</x:f>
        <x:v>不适用（主办方范围豁免）</x:v>
      </x:c>
      <x:c r="I48" s="17" t="str">
        <x:v>portfolio_scenario原行</x:v>
      </x:c>
    </x:row>
    <x:row r="49">
      <x:c r="A49" s="22" t="str">
        <x:v>情景样本</x:v>
      </x:c>
      <x:c r="B49" s="22" t="str">
        <x:v>grid_g0.100|3layer_grid|OMN|2010-03-31|90d|gold=0.1</x:v>
      </x:c>
      <x:c r="C49" s="22" t="str">
        <x:v>gold_weight</x:v>
      </x:c>
      <x:c r="D49" s="22" t="n">
        <x:v>0.1</x:v>
      </x:c>
      <x:c r="E49" s="26"/>
      <x:c r="F49" s="28" t="str">
        <x:f>IF(E49="","",ABS(E49-D49)/MAX(ABS(D49),0.000000000001))</x:f>
      </x:c>
      <x:c r="G49" s="28" t="n">
        <x:v>0.01</x:v>
      </x:c>
      <x:c r="H49" s="22" t="str">
        <x:f>IF(E49="","不适用（主办方范围豁免）",IF(F49&lt;=G49,"PASS","FAIL"))</x:f>
        <x:v>不适用（主办方范围豁免）</x:v>
      </x:c>
      <x:c r="I49" s="22" t="str">
        <x:v>portfolio_scenario原行</x:v>
      </x:c>
    </x:row>
    <x:row r="50">
      <x:c r="A50" s="17" t="str">
        <x:v>情景样本</x:v>
      </x:c>
      <x:c r="B50" s="17" t="str">
        <x:v>grid_g0.100|3layer_grid|OMN|2010-03-31|90d|gold=0.1</x:v>
      </x:c>
      <x:c r="C50" s="17" t="str">
        <x:v>weight_sum</x:v>
      </x:c>
      <x:c r="D50" s="17" t="n">
        <x:v>1</x:v>
      </x:c>
      <x:c r="E50" s="26"/>
      <x:c r="F50" s="27" t="str">
        <x:f>IF(E50="","",ABS(E50-D50)/MAX(ABS(D50),0.000000000001))</x:f>
      </x:c>
      <x:c r="G50" s="27" t="n">
        <x:v>0.01</x:v>
      </x:c>
      <x:c r="H50" s="17" t="str">
        <x:f>IF(E50="","不适用（主办方范围豁免）",IF(F50&lt;=G50,"PASS","FAIL"))</x:f>
        <x:v>不适用（主办方范围豁免）</x:v>
      </x:c>
      <x:c r="I50" s="17" t="str">
        <x:v>portfolio_scenario原行</x:v>
      </x:c>
    </x:row>
    <x:row r="51">
      <x:c r="A51" s="22" t="str">
        <x:v>情景样本</x:v>
      </x:c>
      <x:c r="B51" s="22" t="str">
        <x:v>grid_g0.150|3layer_grid|OMN|2010-03-31|90d|gold=0.15</x:v>
      </x:c>
      <x:c r="C51" s="22" t="str">
        <x:v>max_drawdown</x:v>
      </x:c>
      <x:c r="D51" s="22" t="n">
        <x:v>-0.001863598250894549</x:v>
      </x:c>
      <x:c r="E51" s="26"/>
      <x:c r="F51" s="28" t="str">
        <x:f>IF(E51="","",ABS(E51-D51)/MAX(ABS(D51),0.000000000001))</x:f>
      </x:c>
      <x:c r="G51" s="28" t="n">
        <x:v>0.01</x:v>
      </x:c>
      <x:c r="H51" s="22" t="str">
        <x:f>IF(E51="","不适用（主办方范围豁免）",IF(F51&lt;=G51,"PASS","FAIL"))</x:f>
        <x:v>不适用（主办方范围豁免）</x:v>
      </x:c>
      <x:c r="I51" s="22" t="str">
        <x:v>portfolio_scenario原行</x:v>
      </x:c>
    </x:row>
    <x:row r="52">
      <x:c r="A52" s="17" t="str">
        <x:v>情景样本</x:v>
      </x:c>
      <x:c r="B52" s="17" t="str">
        <x:v>grid_g0.150|3layer_grid|OMN|2010-03-31|90d|gold=0.15</x:v>
      </x:c>
      <x:c r="C52" s="17" t="str">
        <x:v>cvar_95</x:v>
      </x:c>
      <x:c r="D52" s="17" t="n">
        <x:v>-0.001681988425805059</x:v>
      </x:c>
      <x:c r="E52" s="26"/>
      <x:c r="F52" s="27" t="str">
        <x:f>IF(E52="","",ABS(E52-D52)/MAX(ABS(D52),0.000000000001))</x:f>
      </x:c>
      <x:c r="G52" s="27" t="n">
        <x:v>0.01</x:v>
      </x:c>
      <x:c r="H52" s="17" t="str">
        <x:f>IF(E52="","不适用（主办方范围豁免）",IF(F52&lt;=G52,"PASS","FAIL"))</x:f>
        <x:v>不适用（主办方范围豁免）</x:v>
      </x:c>
      <x:c r="I52" s="17" t="str">
        <x:v>portfolio_scenario原行</x:v>
      </x:c>
    </x:row>
    <x:row r="53">
      <x:c r="A53" s="22" t="str">
        <x:v>情景样本</x:v>
      </x:c>
      <x:c r="B53" s="22" t="str">
        <x:v>grid_g0.150|3layer_grid|OMN|2010-03-31|90d|gold=0.15</x:v>
      </x:c>
      <x:c r="C53" s="22" t="str">
        <x:v>cost_total</x:v>
      </x:c>
      <x:c r="D53" s="22" t="n">
        <x:v>0.0001425</x:v>
      </x:c>
      <x:c r="E53" s="26"/>
      <x:c r="F53" s="28" t="str">
        <x:f>IF(E53="","",ABS(E53-D53)/MAX(ABS(D53),0.000000000001))</x:f>
      </x:c>
      <x:c r="G53" s="28" t="n">
        <x:v>0.01</x:v>
      </x:c>
      <x:c r="H53" s="22" t="str">
        <x:f>IF(E53="","不适用（主办方范围豁免）",IF(F53&lt;=G53,"PASS","FAIL"))</x:f>
        <x:v>不适用（主办方范围豁免）</x:v>
      </x:c>
      <x:c r="I53" s="22" t="str">
        <x:v>portfolio_scenario原行</x:v>
      </x:c>
    </x:row>
    <x:row r="54">
      <x:c r="A54" s="17" t="str">
        <x:v>情景样本</x:v>
      </x:c>
      <x:c r="B54" s="17" t="str">
        <x:v>grid_g0.150|3layer_grid|OMN|2010-03-31|90d|gold=0.15</x:v>
      </x:c>
      <x:c r="C54" s="17" t="str">
        <x:v>gold_weight</x:v>
      </x:c>
      <x:c r="D54" s="17" t="n">
        <x:v>0.15</x:v>
      </x:c>
      <x:c r="E54" s="26"/>
      <x:c r="F54" s="27" t="str">
        <x:f>IF(E54="","",ABS(E54-D54)/MAX(ABS(D54),0.000000000001))</x:f>
      </x:c>
      <x:c r="G54" s="27" t="n">
        <x:v>0.01</x:v>
      </x:c>
      <x:c r="H54" s="17" t="str">
        <x:f>IF(E54="","不适用（主办方范围豁免）",IF(F54&lt;=G54,"PASS","FAIL"))</x:f>
        <x:v>不适用（主办方范围豁免）</x:v>
      </x:c>
      <x:c r="I54" s="17" t="str">
        <x:v>portfolio_scenario原行</x:v>
      </x:c>
    </x:row>
    <x:row r="55">
      <x:c r="A55" s="22" t="str">
        <x:v>情景样本</x:v>
      </x:c>
      <x:c r="B55" s="22" t="str">
        <x:v>grid_g0.150|3layer_grid|OMN|2010-03-31|90d|gold=0.15</x:v>
      </x:c>
      <x:c r="C55" s="22" t="str">
        <x:v>weight_sum</x:v>
      </x:c>
      <x:c r="D55" s="22" t="n">
        <x:v>1</x:v>
      </x:c>
      <x:c r="E55" s="26"/>
      <x:c r="F55" s="28" t="str">
        <x:f>IF(E55="","",ABS(E55-D55)/MAX(ABS(D55),0.000000000001))</x:f>
      </x:c>
      <x:c r="G55" s="28" t="n">
        <x:v>0.01</x:v>
      </x:c>
      <x:c r="H55" s="22" t="str">
        <x:f>IF(E55="","不适用（主办方范围豁免）",IF(F55&lt;=G55,"PASS","FAIL"))</x:f>
        <x:v>不适用（主办方范围豁免）</x:v>
      </x:c>
      <x:c r="I55" s="22" t="str">
        <x:v>portfolio_scenario原行</x:v>
      </x:c>
    </x:row>
    <x:row r="56">
      <x:c r="A56" s="17" t="str">
        <x:v>情景样本</x:v>
      </x:c>
      <x:c r="B56" s="17" t="str">
        <x:v>grid_g0.200|3layer_grid|OMN|2010-03-31|90d|gold=0.2</x:v>
      </x:c>
      <x:c r="C56" s="17" t="str">
        <x:v>max_drawdown</x:v>
      </x:c>
      <x:c r="D56" s="17" t="n">
        <x:v>-0.002490984184209122</x:v>
      </x:c>
      <x:c r="E56" s="26"/>
      <x:c r="F56" s="27" t="str">
        <x:f>IF(E56="","",ABS(E56-D56)/MAX(ABS(D56),0.000000000001))</x:f>
      </x:c>
      <x:c r="G56" s="27" t="n">
        <x:v>0.01</x:v>
      </x:c>
      <x:c r="H56" s="17" t="str">
        <x:f>IF(E56="","不适用（主办方范围豁免）",IF(F56&lt;=G56,"PASS","FAIL"))</x:f>
        <x:v>不适用（主办方范围豁免）</x:v>
      </x:c>
      <x:c r="I56" s="17" t="str">
        <x:v>portfolio_scenario原行</x:v>
      </x:c>
    </x:row>
    <x:row r="57">
      <x:c r="A57" s="22" t="str">
        <x:v>情景样本</x:v>
      </x:c>
      <x:c r="B57" s="22" t="str">
        <x:v>grid_g0.200|3layer_grid|OMN|2010-03-31|90d|gold=0.2</x:v>
      </x:c>
      <x:c r="C57" s="22" t="str">
        <x:v>cvar_95</x:v>
      </x:c>
      <x:c r="D57" s="22" t="n">
        <x:v>-0.002247385765788185</x:v>
      </x:c>
      <x:c r="E57" s="26"/>
      <x:c r="F57" s="28" t="str">
        <x:f>IF(E57="","",ABS(E57-D57)/MAX(ABS(D57),0.000000000001))</x:f>
      </x:c>
      <x:c r="G57" s="28" t="n">
        <x:v>0.01</x:v>
      </x:c>
      <x:c r="H57" s="22" t="str">
        <x:f>IF(E57="","不适用（主办方范围豁免）",IF(F57&lt;=G57,"PASS","FAIL"))</x:f>
        <x:v>不适用（主办方范围豁免）</x:v>
      </x:c>
      <x:c r="I57" s="22" t="str">
        <x:v>portfolio_scenario原行</x:v>
      </x:c>
    </x:row>
    <x:row r="58">
      <x:c r="A58" s="17" t="str">
        <x:v>情景样本</x:v>
      </x:c>
      <x:c r="B58" s="17" t="str">
        <x:v>grid_g0.200|3layer_grid|OMN|2010-03-31|90d|gold=0.2</x:v>
      </x:c>
      <x:c r="C58" s="17" t="str">
        <x:v>cost_total</x:v>
      </x:c>
      <x:c r="D58" s="17" t="n">
        <x:v>0.000165</x:v>
      </x:c>
      <x:c r="E58" s="26"/>
      <x:c r="F58" s="27" t="str">
        <x:f>IF(E58="","",ABS(E58-D58)/MAX(ABS(D58),0.000000000001))</x:f>
      </x:c>
      <x:c r="G58" s="27" t="n">
        <x:v>0.01</x:v>
      </x:c>
      <x:c r="H58" s="17" t="str">
        <x:f>IF(E58="","不适用（主办方范围豁免）",IF(F58&lt;=G58,"PASS","FAIL"))</x:f>
        <x:v>不适用（主办方范围豁免）</x:v>
      </x:c>
      <x:c r="I58" s="17" t="str">
        <x:v>portfolio_scenario原行</x:v>
      </x:c>
    </x:row>
    <x:row r="59">
      <x:c r="A59" s="22" t="str">
        <x:v>情景样本</x:v>
      </x:c>
      <x:c r="B59" s="22" t="str">
        <x:v>grid_g0.200|3layer_grid|OMN|2010-03-31|90d|gold=0.2</x:v>
      </x:c>
      <x:c r="C59" s="22" t="str">
        <x:v>gold_weight</x:v>
      </x:c>
      <x:c r="D59" s="22" t="n">
        <x:v>0.2</x:v>
      </x:c>
      <x:c r="E59" s="26"/>
      <x:c r="F59" s="28" t="str">
        <x:f>IF(E59="","",ABS(E59-D59)/MAX(ABS(D59),0.000000000001))</x:f>
      </x:c>
      <x:c r="G59" s="28" t="n">
        <x:v>0.01</x:v>
      </x:c>
      <x:c r="H59" s="22" t="str">
        <x:f>IF(E59="","不适用（主办方范围豁免）",IF(F59&lt;=G59,"PASS","FAIL"))</x:f>
        <x:v>不适用（主办方范围豁免）</x:v>
      </x:c>
      <x:c r="I59" s="22" t="str">
        <x:v>portfolio_scenario原行</x:v>
      </x:c>
    </x:row>
    <x:row r="60">
      <x:c r="A60" s="17" t="str">
        <x:v>情景样本</x:v>
      </x:c>
      <x:c r="B60" s="17" t="str">
        <x:v>grid_g0.200|3layer_grid|OMN|2010-03-31|90d|gold=0.2</x:v>
      </x:c>
      <x:c r="C60" s="17" t="str">
        <x:v>weight_sum</x:v>
      </x:c>
      <x:c r="D60" s="17" t="n">
        <x:v>1</x:v>
      </x:c>
      <x:c r="E60" s="26"/>
      <x:c r="F60" s="27" t="str">
        <x:f>IF(E60="","",ABS(E60-D60)/MAX(ABS(D60),0.000000000001))</x:f>
      </x:c>
      <x:c r="G60" s="27" t="n">
        <x:v>0.01</x:v>
      </x:c>
      <x:c r="H60" s="17" t="str">
        <x:f>IF(E60="","不适用（主办方范围豁免）",IF(F60&lt;=G60,"PASS","FAIL"))</x:f>
        <x:v>不适用（主办方范围豁免）</x:v>
      </x:c>
      <x:c r="I60" s="17" t="str">
        <x:v>portfolio_scenario原行</x:v>
      </x:c>
    </x:row>
    <x:row r="61">
      <x:c r="A61" s="22" t="str">
        <x:v>周期样本</x:v>
      </x:c>
      <x:c r="B61" s="22" t="str">
        <x:v>GLOBAL|2025-12-31</x:v>
      </x:c>
      <x:c r="C61" s="22" t="str">
        <x:v>equity_drawdown</x:v>
      </x:c>
      <x:c r="D61" s="22" t="n">
        <x:v>-0.0005241572238063874</x:v>
      </x:c>
      <x:c r="E61" s="26"/>
      <x:c r="F61" s="28" t="str">
        <x:f>IF(E61="","",ABS(E61-D61)/MAX(ABS(D61),0.000000000001))</x:f>
      </x:c>
      <x:c r="G61" s="28" t="n">
        <x:v>0.01</x:v>
      </x:c>
      <x:c r="H61" s="22" t="str">
        <x:f>IF(E61="","不适用（主办方范围豁免）",IF(F61&lt;=G61,"PASS","FAIL"))</x:f>
        <x:v>不适用（主办方范围豁免）</x:v>
      </x:c>
      <x:c r="I61" s="22" t="str">
        <x:v>source_id=见 manifest</x:v>
      </x:c>
    </x:row>
  </x:sheetData>
  <x:mergeCells>
    <x:mergeCell ref="A1:I1"/>
    <x:mergeCell ref="A2:I2"/>
    <x:mergeCell ref="A3:I3"/>
  </x:mergeCells>
  <x:conditionalFormatting sqref="H6:H61">
    <x:cfRule type="containsText" dxfId="4" priority="1" operator="containsText" text="PASS"/>
    <x:cfRule type="containsText" dxfId="5" priority="2" operator="containsText" text="FAIL"/>
    <x:cfRule type="containsText" dxfId="6" priority="3" operator="containsText" text="BLOCKED"/>
    <x:cfRule type="containsText" dxfId="7" priority="4" operator="containsText" text="待人工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70" hidden="0" customWidth="1"/>
    <x:col min="4" max="4" width="66" hidden="0" customWidth="1"/>
  </x:cols>
  <x:sheetData>
    <x:row r="1" ht="28" customHeight="1">
      <x:c r="A1" s="3" t="str">
        <x:v>页面3/5/6字段映射｜共享模型只读测试参考</x:v>
      </x:c>
      <x:c r="B1" s="3"/>
      <x:c r="C1" s="3"/>
      <x:c r="D1" s="3"/>
    </x:row>
    <x:row r="2" ht="32" customHeight="1">
      <x:c r="A2" s="6" t="str">
        <x:v>状态：BLOCKED｜主办方已书面说明赛题不要求使用指标模型；Smartbi指标创建与误差测试标记为不适用。A04仍待B只读测试、冻结和A/B签收。</x:v>
      </x:c>
      <x:c r="B2" s="6"/>
      <x:c r="C2" s="6"/>
      <x:c r="D2" s="6"/>
    </x:row>
    <x:row r="3" ht="30" customHeight="1">
      <x:c r="A3" s="9" t="str">
        <x:v>只读输入：18张正式工作簿 + 3张控制工作簿。离线读数不等于Smartbi平台已完成。</x:v>
      </x:c>
      <x:c r="B3" s="9"/>
      <x:c r="C3" s="9"/>
      <x:c r="D3" s="9"/>
    </x:row>
    <x:row r="5" ht="32" customHeight="1">
      <x:c r="A5" s="21" t="str">
        <x:v>页面</x:v>
      </x:c>
      <x:c r="B5" s="21" t="str">
        <x:v>主题</x:v>
      </x:c>
      <x:c r="C5" s="21" t="str">
        <x:v>需要指标/字段</x:v>
      </x:c>
      <x:c r="D5" s="21" t="str">
        <x:v>边界</x:v>
      </x:c>
    </x:row>
    <x:row r="6">
      <x:c r="A6" s="17" t="str">
        <x:v>DB03</x:v>
      </x:c>
      <x:c r="B6" s="17" t="str">
        <x:v>企业披露边界</x:v>
      </x:c>
      <x:c r="C6" s="17" t="str">
        <x:v>company_count_20；披露行数；region_rows；country_rows；answer_scope；prohibited_inference</x:v>
      </x:c>
      <x:c r="D6" s="17" t="str">
        <x:v>禁止企业地区→国家推断；海外收入三字段为空</x:v>
      </x:c>
    </x:row>
    <x:row r="7">
      <x:c r="A7" s="22" t="str">
        <x:v>DB05</x:v>
      </x:c>
      <x:c r="B7" s="22" t="str">
        <x:v>证据中心</x:v>
      </x:c>
      <x:c r="C7" s="22" t="str">
        <x:v>policy_code；manual_review_status；source_count_734；source_id；license；sha256；quality_flag</x:v>
      </x:c>
      <x:c r="D7" s="22" t="str">
        <x:v>不得虚构source_id；待核不得写成允许</x:v>
      </x:c>
    </x:row>
    <x:row r="8">
      <x:c r="A8" s="17" t="str">
        <x:v>DB06</x:v>
      </x:c>
      <x:c r="B8" s="17" t="str">
        <x:v>周期与历史边界</x:v>
      </x:c>
      <x:c r="C8" s="17" t="str">
        <x:v>primary_state；labels；equity_drawdown；cum_return；max_drawdown；cvar_95；cost_total；gold_weight</x:v>
      </x:c>
      <x:c r="D8" s="17" t="str">
        <x:v>1970/pending如实展示；黄金仅0%-20%风险缓冲</x:v>
      </x:c>
    </x:row>
  </x:sheetData>
  <x:mergeCells>
    <x:mergeCell ref="A1:D1"/>
    <x:mergeCell ref="A2:D2"/>
    <x:mergeCell ref="A3:D3"/>
  </x:mergeCells>
  <x:pageMargins left="0.7" right="0.7" top="0.75" bottom="0.75" header="0.3" footer="0.3"/>
</x:worksheet>
</file>