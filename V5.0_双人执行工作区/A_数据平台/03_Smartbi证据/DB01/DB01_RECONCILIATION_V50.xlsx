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15f3ac77964e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验收总览" sheetId="1" r:id="R4fb5eb1a70654ac6"/>
    <x:sheet xmlns:r="http://schemas.openxmlformats.org/officeDocument/2006/relationships" name="本地基准" sheetId="2" r:id="Rfb37c15ae3df4a86"/>
    <x:sheet xmlns:r="http://schemas.openxmlformats.org/officeDocument/2006/relationships" name="筛选与性能" sheetId="3" r:id="Rf210c4f62510414d"/>
    <x:sheet xmlns:r="http://schemas.openxmlformats.org/officeDocument/2006/relationships" name="证据清单" sheetId="4" r:id="R21b15021290649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%"/>
    <x:numFmt numFmtId="201" formatCode="0.00"/>
  </x:numFmts>
  <x:fonts count="4">
    <x:font>
      <x:sz val="11"/>
      <x:name val="Carlito"/>
    </x:font>
    <x:font>
      <x:b/>
      <x:sz val="16"/>
      <x:color rgb="FFFFFFFF"/>
      <x:name val="Carlito"/>
    </x:font>
    <x:font>
      <x:sz val="10"/>
      <x:color rgb="FF1F1F1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10">
    <x:border/>
    <x:border>
      <x:left style="thin">
        <x:color rgb="FFB4C7DC"/>
      </x:left>
      <x:right style="thin">
        <x:color rgb="FFB4C7DC"/>
      </x:right>
      <x:top style="thin">
        <x:color rgb="FFB4C7DC"/>
      </x:top>
      <x:bottom style="thin">
        <x:color rgb="FFB4C7DC"/>
      </x:bottom>
    </x:border>
    <x:border>
      <x:right style="thin">
        <x:color rgb="FFB4C7DC"/>
      </x:right>
      <x:bottom style="thin">
        <x:color rgb="FFB4C7DC"/>
      </x:bottom>
    </x:border>
    <x:border>
      <x:left style="thin">
        <x:color rgb="FFB4C7DC"/>
      </x:left>
      <x:right style="thin">
        <x:color rgb="FFB4C7DC"/>
      </x:right>
      <x:bottom style="thin">
        <x:color rgb="FFB4C7DC"/>
      </x:bottom>
    </x:border>
    <x:border>
      <x:left style="thin">
        <x:color rgb="FFB4C7DC"/>
      </x:left>
      <x:bottom style="thin">
        <x:color rgb="FFB4C7DC"/>
      </x:bottom>
    </x:border>
    <x:border>
      <x:right style="thin">
        <x:color rgb="FFB4C7DC"/>
      </x:right>
      <x:top style="thin">
        <x:color rgb="FFB4C7DC"/>
      </x:top>
      <x:bottom style="thin">
        <x:color rgb="FFB4C7DC"/>
      </x:bottom>
    </x:border>
    <x:border>
      <x:left style="thin">
        <x:color rgb="FFB4C7DC"/>
      </x:left>
      <x:top style="thin">
        <x:color rgb="FFB4C7DC"/>
      </x:top>
      <x:bottom style="thin">
        <x:color rgb="FFB4C7DC"/>
      </x:bottom>
    </x:border>
    <x:border>
      <x:right style="thin">
        <x:color rgb="FFB4C7DC"/>
      </x:right>
      <x:top style="thin">
        <x:color rgb="FFB4C7DC"/>
      </x:top>
    </x:border>
    <x:border>
      <x:left style="thin">
        <x:color rgb="FFB4C7DC"/>
      </x:left>
      <x:right style="thin">
        <x:color rgb="FFB4C7DC"/>
      </x:right>
      <x:top style="thin">
        <x:color rgb="FFB4C7DC"/>
      </x:top>
    </x:border>
    <x:border>
      <x:left style="thin">
        <x:color rgb="FFB4C7DC"/>
      </x:left>
      <x:top style="thin">
        <x:color rgb="FFB4C7DC"/>
      </x:top>
    </x:border>
  </x:borders>
  <x:cellStyleXfs count="1">
    <x:xf numFmtId="0" fontId="0" fillId="0" borderId="0"/>
  </x:cellStyleXfs>
  <x:cellXfs count="4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1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4" borderId="3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 applyAlignment="1">
      <x:alignment vertical="center" wrapText="1"/>
    </x:xf>
    <x:xf numFmtId="0" fontId="0" fillId="4" borderId="8" xfId="0" applyNumberFormat="1" applyFont="1" applyFill="1" applyBorder="1" applyAlignment="1">
      <x:alignment vertical="center" wrapText="1"/>
    </x:xf>
    <x:xf numFmtId="200" fontId="0" fillId="0" borderId="3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4" borderId="3" xfId="0" applyNumberFormat="1" applyFont="1" applyFill="1" applyBorder="1" applyAlignment="1">
      <x:alignment vertical="center" wrapText="1"/>
    </x:xf>
    <x:xf numFmtId="201" fontId="0" fillId="4" borderId="1" xfId="0" applyNumberFormat="1" applyFont="1" applyFill="1" applyBorder="1" applyAlignment="1">
      <x:alignment vertical="center" wrapText="1"/>
    </x:xf>
    <x:xf numFmtId="201" fontId="0" fillId="4" borderId="8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9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20db5b75fe4710" /><Relationship Type="http://schemas.openxmlformats.org/officeDocument/2006/relationships/theme" Target="/xl/theme/theme1.xml" Id="R9a7983fc0444422e" /><Relationship Type="http://schemas.openxmlformats.org/officeDocument/2006/relationships/sharedStrings" Target="/xl/sharedStrings.xml" Id="Rc843f11c16af495b" /><Relationship Type="http://schemas.openxmlformats.org/officeDocument/2006/relationships/worksheet" Target="/xl/worksheets/sheet1.xml" Id="R4fb5eb1a70654ac6" /><Relationship Type="http://schemas.openxmlformats.org/officeDocument/2006/relationships/worksheet" Target="/xl/worksheets/sheet2.xml" Id="Rfb37c15ae3df4a86" /><Relationship Type="http://schemas.openxmlformats.org/officeDocument/2006/relationships/worksheet" Target="/xl/worksheets/sheet3.xml" Id="Rf210c4f62510414d" /><Relationship Type="http://schemas.openxmlformats.org/officeDocument/2006/relationships/worksheet" Target="/xl/worksheets/sheet4.xml" Id="R21b15021290649b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2" hidden="0" customWidth="1"/>
    <x:col min="3" max="3" width="20" hidden="0" customWidth="1"/>
    <x:col min="4" max="4" width="23" hidden="0" customWidth="1"/>
    <x:col min="5" max="5" width="16" hidden="0" customWidth="1"/>
    <x:col min="6" max="6" width="14" hidden="0" customWidth="1"/>
    <x:col min="7" max="7" width="42" hidden="0" customWidth="1"/>
  </x:cols>
  <x:sheetData>
    <x:row r="1" ht="28" customHeight="1">
      <x:c r="A1" s="4" t="str">
        <x:v>DB01 对账与验收 V5.0</x:v>
      </x:c>
      <x:c r="B1" s="4"/>
      <x:c r="C1" s="4"/>
      <x:c r="D1" s="4"/>
      <x:c r="E1" s="4"/>
      <x:c r="F1" s="4"/>
      <x:c r="G1" s="4"/>
    </x:row>
    <x:row r="2" ht="36" customHeight="1">
      <x:c r="A2" s="8" t="str">
        <x:v>黄色列由执行者A粘贴Smartbi实测读数。公式只判定，不代替人工截图。A报告A03人工检查通过，但AI未独立复核。</x:v>
      </x:c>
      <x:c r="B2" s="8"/>
      <x:c r="C2" s="8"/>
      <x:c r="D2" s="8"/>
      <x:c r="E2" s="8"/>
      <x:c r="F2" s="8"/>
      <x:c r="G2" s="8"/>
    </x:row>
    <x:row r="4">
      <x:c r="A4" s="13" t="str">
        <x:v>类别</x:v>
      </x:c>
      <x:c r="B4" s="13" t="str">
        <x:v>检查项</x:v>
      </x:c>
      <x:c r="C4" s="13" t="str">
        <x:v>本地期望</x:v>
      </x:c>
      <x:c r="D4" s="13" t="str">
        <x:v>Smartbi实测(人工)</x:v>
      </x:c>
      <x:c r="E4" s="13" t="str">
        <x:v>相对误差</x:v>
      </x:c>
      <x:c r="F4" s="13" t="str">
        <x:v>判定</x:v>
      </x:c>
      <x:c r="G4" s="13" t="str">
        <x:v>证据/说明</x:v>
      </x:c>
    </x:row>
    <x:row r="5" ht="32" customHeight="1">
      <x:c r="A5" s="32" t="str">
        <x:v>数值</x:v>
      </x:c>
      <x:c r="B5" s="33" t="str">
        <x:v>国家总数</x:v>
      </x:c>
      <x:c r="C5" s="33" t="n">
        <x:v>130</x:v>
      </x:c>
      <x:c r="D5" s="41"/>
      <x:c r="E5" s="44" t="str">
        <x:f>IF(D5="","",IF(C5=0,ABS(D5-C5),ABS(D5-C5)/ABS(C5)))</x:f>
      </x:c>
      <x:c r="F5" s="33" t="str">
        <x:f>IF(D5="","待人工",IF(E5&lt;=0.01,"PASS","FAIL"))</x:f>
        <x:v>待人工</x:v>
      </x:c>
      <x:c r="G5" s="34" t="str">
        <x:v>V50_dim_country</x:v>
      </x:c>
    </x:row>
    <x:row r="6" ht="32" customHeight="1">
      <x:c r="A6" s="35" t="str">
        <x:v>数值</x:v>
      </x:c>
      <x:c r="B6" s="36" t="str">
        <x:v>重点国家数</x:v>
      </x:c>
      <x:c r="C6" s="36" t="n">
        <x:v>40</x:v>
      </x:c>
      <x:c r="D6" s="42"/>
      <x:c r="E6" s="45" t="str">
        <x:f>IF(D6="","",IF(C6=0,ABS(D6-C6),ABS(D6-C6)/ABS(C6)))</x:f>
      </x:c>
      <x:c r="F6" s="36" t="str">
        <x:f>IF(D6="","待人工",IF(E6&lt;=0.01,"PASS","FAIL"))</x:f>
        <x:v>待人工</x:v>
      </x:c>
      <x:c r="G6" s="37" t="str">
        <x:v>SUM(is_selected_40)</x:v>
      </x:c>
    </x:row>
    <x:row r="7" ht="32" customHeight="1">
      <x:c r="A7" s="35" t="str">
        <x:v>数值</x:v>
      </x:c>
      <x:c r="B7" s="36" t="str">
        <x:v>国别事件数</x:v>
      </x:c>
      <x:c r="C7" s="36" t="n">
        <x:v>23</x:v>
      </x:c>
      <x:c r="D7" s="42"/>
      <x:c r="E7" s="45" t="str">
        <x:f>IF(D7="","",IF(C7=0,ABS(D7-C7),ABS(D7-C7)/ABS(C7)))</x:f>
      </x:c>
      <x:c r="F7" s="36" t="str">
        <x:f>IF(D7="","待人工",IF(E7&lt;=0.01,"PASS","FAIL"))</x:f>
        <x:v>待人工</x:v>
      </x:c>
      <x:c r="G7" s="37" t="str">
        <x:v>V50_country_event</x:v>
      </x:c>
    </x:row>
    <x:row r="8" ht="32" customHeight="1">
      <x:c r="A8" s="35" t="str">
        <x:v>数值</x:v>
      </x:c>
      <x:c r="B8" s="36" t="str">
        <x:v>触发表/地图国家数</x:v>
      </x:c>
      <x:c r="C8" s="36" t="n">
        <x:v>40</x:v>
      </x:c>
      <x:c r="D8" s="42"/>
      <x:c r="E8" s="45" t="str">
        <x:f>IF(D8="","",IF(C8=0,ABS(D8-C8),ABS(D8-C8)/ABS(C8)))</x:f>
      </x:c>
      <x:c r="F8" s="36" t="str">
        <x:f>IF(D8="","待人工",IF(E8&lt;=0.01,"PASS","FAIL"))</x:f>
        <x:v>待人工</x:v>
      </x:c>
      <x:c r="G8" s="37" t="str">
        <x:v>MVP_country_latest</x:v>
      </x:c>
    </x:row>
    <x:row r="9" ht="32" customHeight="1">
      <x:c r="A9" s="35" t="str">
        <x:v>数值</x:v>
      </x:c>
      <x:c r="B9" s="36" t="str">
        <x:v>散点有效点数</x:v>
      </x:c>
      <x:c r="C9" s="36" t="n">
        <x:v>40</x:v>
      </x:c>
      <x:c r="D9" s="42"/>
      <x:c r="E9" s="45" t="str">
        <x:f>IF(D9="","",IF(C9=0,ABS(D9-C9),ABS(D9-C9)/ABS(C9)))</x:f>
      </x:c>
      <x:c r="F9" s="36" t="str">
        <x:f>IF(D9="","待人工",IF(E9&lt;=0.01,"PASS","FAIL"))</x:f>
        <x:v>待人工</x:v>
      </x:c>
      <x:c r="G9" s="37" t="str">
        <x:v>缺失0保持空</x:v>
      </x:c>
    </x:row>
    <x:row r="10" ht="32" customHeight="1">
      <x:c r="A10" s="35" t="str">
        <x:v>数值</x:v>
      </x:c>
      <x:c r="B10" s="36" t="str">
        <x:v>散点重复iso3数</x:v>
      </x:c>
      <x:c r="C10" s="36" t="n">
        <x:v>0</x:v>
      </x:c>
      <x:c r="D10" s="42"/>
      <x:c r="E10" s="45" t="str">
        <x:f>IF(D10="","",IF(C10=0,ABS(D10-C10),ABS(D10-C10)/ABS(C10)))</x:f>
      </x:c>
      <x:c r="F10" s="36" t="str">
        <x:f>IF(D10="","待人工",IF(E10&lt;=0.01,"PASS","FAIL"))</x:f>
        <x:v>待人工</x:v>
      </x:c>
      <x:c r="G10" s="37" t="str">
        <x:v>必须为0</x:v>
      </x:c>
    </x:row>
    <x:row r="11" ht="32" customHeight="1">
      <x:c r="A11" s="35" t="str">
        <x:v>数值</x:v>
      </x:c>
      <x:c r="B11" s="36" t="str">
        <x:v>source_id非空国家数</x:v>
      </x:c>
      <x:c r="C11" s="36" t="n">
        <x:v>40</x:v>
      </x:c>
      <x:c r="D11" s="42"/>
      <x:c r="E11" s="45" t="str">
        <x:f>IF(D11="","",IF(C11=0,ABS(D11-C11),ABS(D11-C11)/ABS(C11)))</x:f>
      </x:c>
      <x:c r="F11" s="36" t="str">
        <x:f>IF(D11="","待人工",IF(E11&lt;=0.01,"PASS","FAIL"))</x:f>
        <x:v>待人工</x:v>
      </x:c>
      <x:c r="G11" s="37" t="str">
        <x:v>不得虚构source_id</x:v>
      </x:c>
    </x:row>
    <x:row r="12" ht="32" customHeight="1">
      <x:c r="A12" s="35" t="str">
        <x:v>数值</x:v>
      </x:c>
      <x:c r="B12" s="36" t="str">
        <x:v>FX日期非空国家数</x:v>
      </x:c>
      <x:c r="C12" s="36" t="n">
        <x:v>40</x:v>
      </x:c>
      <x:c r="D12" s="42"/>
      <x:c r="E12" s="45" t="str">
        <x:f>IF(D12="","",IF(C12=0,ABS(D12-C12),ABS(D12-C12)/ABS(C12)))</x:f>
      </x:c>
      <x:c r="F12" s="36" t="str">
        <x:f>IF(D12="","待人工",IF(E12&lt;=0.01,"PASS","FAIL"))</x:f>
        <x:v>待人工</x:v>
      </x:c>
      <x:c r="G12" s="37" t="str">
        <x:v>latest_fx_date</x:v>
      </x:c>
    </x:row>
    <x:row r="13" ht="32" customHeight="1">
      <x:c r="A13" s="35" t="str">
        <x:v>数值</x:v>
      </x:c>
      <x:c r="B13" s="36" t="str">
        <x:v>CPI日期非空国家数</x:v>
      </x:c>
      <x:c r="C13" s="36" t="n">
        <x:v>40</x:v>
      </x:c>
      <x:c r="D13" s="42"/>
      <x:c r="E13" s="45" t="str">
        <x:f>IF(D13="","",IF(C13=0,ABS(D13-C13),ABS(D13-C13)/ABS(C13)))</x:f>
      </x:c>
      <x:c r="F13" s="36" t="str">
        <x:f>IF(D13="","待人工",IF(E13&lt;=0.01,"PASS","FAIL"))</x:f>
        <x:v>待人工</x:v>
      </x:c>
      <x:c r="G13" s="37" t="str">
        <x:v>latest_cpi_date</x:v>
      </x:c>
    </x:row>
    <x:row r="14" ht="32" customHeight="1">
      <x:c r="A14" s="35" t="str">
        <x:v>数值</x:v>
      </x:c>
      <x:c r="B14" s="36" t="str">
        <x:v>储备日期非空国家数</x:v>
      </x:c>
      <x:c r="C14" s="36" t="n">
        <x:v>35</x:v>
      </x:c>
      <x:c r="D14" s="42"/>
      <x:c r="E14" s="45" t="str">
        <x:f>IF(D14="","",IF(C14=0,ABS(D14-C14),ABS(D14-C14)/ABS(C14)))</x:f>
      </x:c>
      <x:c r="F14" s="36" t="str">
        <x:f>IF(D14="","待人工",IF(E14&lt;=0.01,"PASS","FAIL"))</x:f>
        <x:v>待人工</x:v>
      </x:c>
      <x:c r="G14" s="37" t="str">
        <x:v>latest_reserve_date</x:v>
      </x:c>
    </x:row>
    <x:row r="15" ht="32" customHeight="1">
      <x:c r="A15" s="35" t="str">
        <x:v>数值</x:v>
      </x:c>
      <x:c r="B15" s="36" t="str">
        <x:v>ODI年份非空国家数</x:v>
      </x:c>
      <x:c r="C15" s="36" t="n">
        <x:v>40</x:v>
      </x:c>
      <x:c r="D15" s="42"/>
      <x:c r="E15" s="45" t="str">
        <x:f>IF(D15="","",IF(C15=0,ABS(D15-C15),ABS(D15-C15)/ABS(C15)))</x:f>
      </x:c>
      <x:c r="F15" s="36" t="str">
        <x:f>IF(D15="","待人工",IF(E15&lt;=0.01,"PASS","FAIL"))</x:f>
        <x:v>待人工</x:v>
      </x:c>
      <x:c r="G15" s="37" t="str">
        <x:v>latest_odi_stock_year</x:v>
      </x:c>
    </x:row>
    <x:row r="16" ht="32" customHeight="1">
      <x:c r="A16" s="35" t="str">
        <x:v>数值</x:v>
      </x:c>
      <x:c r="B16" s="36" t="str">
        <x:v>核心组件数</x:v>
      </x:c>
      <x:c r="C16" s="36" t="n">
        <x:v>4</x:v>
      </x:c>
      <x:c r="D16" s="42"/>
      <x:c r="E16" s="45" t="str">
        <x:f>IF(D16="","",IF(C16=0,ABS(D16-C16),ABS(D16-C16)/ABS(C16)))</x:f>
      </x:c>
      <x:c r="F16" s="36" t="str">
        <x:f>IF(D16="","待人工",IF(E16&lt;=0.01,"PASS","FAIL"))</x:f>
        <x:v>待人工</x:v>
      </x:c>
      <x:c r="G16" s="37" t="str">
        <x:v>卡组按1个核心组件计</x:v>
      </x:c>
    </x:row>
    <x:row r="17" ht="32" customHeight="1">
      <x:c r="A17" s="35" t="str">
        <x:v>文本</x:v>
      </x:c>
      <x:c r="B17" s="36" t="str">
        <x:v>标签仅四类</x:v>
      </x:c>
      <x:c r="C17" s="36" t="str">
        <x:v>是</x:v>
      </x:c>
      <x:c r="D17" s="42"/>
      <x:c r="E17" s="36"/>
      <x:c r="F17" s="36" t="str">
        <x:f>IF(D17="","待人工",IF(D17=C17,"PASS","FAIL"))</x:f>
        <x:v>待人工</x:v>
      </x:c>
      <x:c r="G17" s="37" t="str">
        <x:v>双触发/单触发/未触发/数据不足</x:v>
      </x:c>
    </x:row>
    <x:row r="18" ht="32" customHeight="1">
      <x:c r="A18" s="35" t="str">
        <x:v>文本</x:v>
      </x:c>
      <x:c r="B18" s="36" t="str">
        <x:v>数据不足不是绿色</x:v>
      </x:c>
      <x:c r="C18" s="36" t="str">
        <x:v>是</x:v>
      </x:c>
      <x:c r="D18" s="42"/>
      <x:c r="E18" s="36"/>
      <x:c r="F18" s="36" t="str">
        <x:f>IF(D18="","待人工",IF(D18=C18,"PASS","FAIL"))</x:f>
        <x:v>待人工</x:v>
      </x:c>
      <x:c r="G18" s="37" t="str">
        <x:v>必须人工截图</x:v>
      </x:c>
    </x:row>
    <x:row r="19" ht="32" customHeight="1">
      <x:c r="A19" s="35" t="str">
        <x:v>文本</x:v>
      </x:c>
      <x:c r="B19" s="36" t="str">
        <x:v>缺失未填0</x:v>
      </x:c>
      <x:c r="C19" s="36" t="str">
        <x:v>是</x:v>
      </x:c>
      <x:c r="D19" s="42"/>
      <x:c r="E19" s="36"/>
      <x:c r="F19" s="36" t="str">
        <x:f>IF(D19="","待人工",IF(D19=C19,"PASS","FAIL"))</x:f>
        <x:v>待人工</x:v>
      </x:c>
      <x:c r="G19" s="37" t="str">
        <x:v>必须人工抽查</x:v>
      </x:c>
    </x:row>
    <x:row r="20" ht="32" customHeight="1">
      <x:c r="A20" s="35" t="str">
        <x:v>文本</x:v>
      </x:c>
      <x:c r="B20" s="36" t="str">
        <x:v>独立日期与source_id可见</x:v>
      </x:c>
      <x:c r="C20" s="36" t="str">
        <x:v>是</x:v>
      </x:c>
      <x:c r="D20" s="42"/>
      <x:c r="E20" s="36"/>
      <x:c r="F20" s="36" t="str">
        <x:f>IF(D20="","待人工",IF(D20=C20,"PASS","FAIL"))</x:f>
        <x:v>待人工</x:v>
      </x:c>
      <x:c r="G20" s="37" t="str">
        <x:v>FX/CPI/储备/ODI</x:v>
      </x:c>
    </x:row>
    <x:row r="21" ht="32" customHeight="1">
      <x:c r="A21" s="38" t="str">
        <x:v>文本</x:v>
      </x:c>
      <x:c r="B21" s="39" t="str">
        <x:v>下钻只传iso3</x:v>
      </x:c>
      <x:c r="C21" s="39" t="str">
        <x:v>是</x:v>
      </x:c>
      <x:c r="D21" s="43"/>
      <x:c r="E21" s="39"/>
      <x:c r="F21" s="39" t="str">
        <x:f>IF(D21="","待人工",IF(D21=C21,"PASS","FAIL"))</x:f>
        <x:v>待人工</x:v>
      </x:c>
      <x:c r="G21" s="40" t="str">
        <x:v>DB01→DB02</x:v>
      </x:c>
    </x:row>
  </x:sheetData>
  <x:mergeCells>
    <x:mergeCell ref="A1:G1"/>
    <x:mergeCell ref="A2:G2"/>
  </x:mergeCells>
  <x:conditionalFormatting sqref="F5:F21">
    <x:cfRule type="containsText" dxfId="0" priority="1" operator="containsText" text="PASS"/>
    <x:cfRule type="containsText" dxfId="1" priority="2" operator="containsText" text="FAIL"/>
    <x:cfRule type="containsText" dxfId="2" priority="3" operator="containsText" text="待人工"/>
  </x:conditionalFormatting>
  <x:dataValidations count="1">
    <x:dataValidation type="list" sqref="D17:D21">
      <x:formula1>"是,否"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0" hidden="0" customWidth="1"/>
    <x:col min="3" max="3" width="12" hidden="0" customWidth="1"/>
    <x:col min="4" max="4" width="48" hidden="0" customWidth="1"/>
    <x:col min="5" max="5" width="22" hidden="0" customWidth="1"/>
    <x:col min="6" max="6" width="28" hidden="0" customWidth="1"/>
  </x:cols>
  <x:sheetData>
    <x:row r="1" ht="28" customHeight="1">
      <x:c r="A1" s="4" t="str">
        <x:v>MVP_country_latest 本地基准</x:v>
      </x:c>
      <x:c r="B1" s="4"/>
      <x:c r="C1" s="4"/>
      <x:c r="D1" s="4"/>
      <x:c r="E1" s="4"/>
      <x:c r="F1" s="4"/>
    </x:row>
    <x:row r="2" ht="36" customHeight="1">
      <x:c r="A2" s="8" t="str">
        <x:v>来源为只读MVP_country_latest.xlsx。这里只记录本地期望，不代表Smartbi实测。</x:v>
      </x:c>
      <x:c r="B2" s="8"/>
      <x:c r="C2" s="8"/>
      <x:c r="D2" s="8"/>
      <x:c r="E2" s="8"/>
      <x:c r="F2" s="8"/>
    </x:row>
    <x:row r="4">
      <x:c r="A4" s="13" t="str">
        <x:v>基准类别</x:v>
      </x:c>
      <x:c r="B4" s="13" t="str">
        <x:v>取值</x:v>
      </x:c>
      <x:c r="C4" s="13" t="str">
        <x:v>行数</x:v>
      </x:c>
      <x:c r="D4" s="13" t="str">
        <x:v>来源字段</x:v>
      </x:c>
      <x:c r="E4" s="13" t="str">
        <x:v>用途</x:v>
      </x:c>
      <x:c r="F4" s="13" t="str">
        <x:v>备注</x:v>
      </x:c>
    </x:row>
    <x:row r="5">
      <x:c r="A5" s="32" t="str">
        <x:v>总量</x:v>
      </x:c>
      <x:c r="B5" s="33" t="str">
        <x:v>MVP国家</x:v>
      </x:c>
      <x:c r="C5" s="33" t="n">
        <x:v>40</x:v>
      </x:c>
      <x:c r="D5" s="33" t="str">
        <x:v>iso3</x:v>
      </x:c>
      <x:c r="E5" s="33" t="str">
        <x:v>触发表/地图</x:v>
      </x:c>
      <x:c r="F5" s="34" t="str">
        <x:v>应为40</x:v>
      </x:c>
    </x:row>
    <x:row r="6">
      <x:c r="A6" s="35" t="str">
        <x:v>散点</x:v>
      </x:c>
      <x:c r="B6" s="36" t="str">
        <x:v>两轴均非空</x:v>
      </x:c>
      <x:c r="C6" s="36" t="n">
        <x:v>40</x:v>
      </x:c>
      <x:c r="D6" s="36" t="str">
        <x:v>latest_odi_stock_usd + max_threshold_multiple</x:v>
      </x:c>
      <x:c r="E6" s="36" t="str">
        <x:v>散点有效点</x:v>
      </x:c>
      <x:c r="F6" s="37" t="str">
        <x:v>缺失不填0</x:v>
      </x:c>
    </x:row>
    <x:row r="7">
      <x:c r="A7" s="35" t="str">
        <x:v>散点</x:v>
      </x:c>
      <x:c r="B7" s="36" t="str">
        <x:v>两轴任一缺失</x:v>
      </x:c>
      <x:c r="C7" s="36" t="n">
        <x:v>0</x:v>
      </x:c>
      <x:c r="D7" s="36" t="str">
        <x:v>同上</x:v>
      </x:c>
      <x:c r="E7" s="36" t="str">
        <x:v>缺失国家</x:v>
      </x:c>
      <x:c r="F7" s="37" t="str">
        <x:v>不绘点</x:v>
      </x:c>
    </x:row>
    <x:row r="8">
      <x:c r="A8" s="35" t="str">
        <x:v>散点</x:v>
      </x:c>
      <x:c r="B8" s="36" t="str">
        <x:v>重复iso3</x:v>
      </x:c>
      <x:c r="C8" s="36" t="n">
        <x:v>0</x:v>
      </x:c>
      <x:c r="D8" s="36" t="str">
        <x:v>iso3</x:v>
      </x:c>
      <x:c r="E8" s="36" t="str">
        <x:v>防一国多点</x:v>
      </x:c>
      <x:c r="F8" s="37" t="str">
        <x:v>必须为0</x:v>
      </x:c>
    </x:row>
    <x:row r="9">
      <x:c r="A9" s="35" t="str">
        <x:v>触发标签</x:v>
      </x:c>
      <x:c r="B9" s="36" t="str">
        <x:v>未触发</x:v>
      </x:c>
      <x:c r="C9" s="36" t="n">
        <x:v>34</x:v>
      </x:c>
      <x:c r="D9" s="36" t="str">
        <x:v>trigger_label</x:v>
      </x:c>
      <x:c r="E9" s="36" t="str">
        <x:v>标签对账</x:v>
      </x:c>
      <x:c r="F9" s="37" t="str">
        <x:v>标签只允许四类</x:v>
      </x:c>
    </x:row>
    <x:row r="10">
      <x:c r="A10" s="35" t="str">
        <x:v>触发标签</x:v>
      </x:c>
      <x:c r="B10" s="36" t="str">
        <x:v>单触发</x:v>
      </x:c>
      <x:c r="C10" s="36" t="n">
        <x:v>4</x:v>
      </x:c>
      <x:c r="D10" s="36" t="str">
        <x:v>trigger_label</x:v>
      </x:c>
      <x:c r="E10" s="36" t="str">
        <x:v>标签对账</x:v>
      </x:c>
      <x:c r="F10" s="37" t="str">
        <x:v>标签只允许四类</x:v>
      </x:c>
    </x:row>
    <x:row r="11">
      <x:c r="A11" s="35" t="str">
        <x:v>触发标签</x:v>
      </x:c>
      <x:c r="B11" s="36" t="str">
        <x:v>双触发</x:v>
      </x:c>
      <x:c r="C11" s="36" t="n">
        <x:v>2</x:v>
      </x:c>
      <x:c r="D11" s="36" t="str">
        <x:v>trigger_label</x:v>
      </x:c>
      <x:c r="E11" s="36" t="str">
        <x:v>标签对账</x:v>
      </x:c>
      <x:c r="F11" s="37" t="str">
        <x:v>标签只允许四类</x:v>
      </x:c>
    </x:row>
    <x:row r="12">
      <x:c r="A12" s="35" t="str">
        <x:v>区域</x:v>
      </x:c>
      <x:c r="B12" s="36" t="str">
        <x:v>Asia</x:v>
      </x:c>
      <x:c r="C12" s="36" t="n">
        <x:v>15</x:v>
      </x:c>
      <x:c r="D12" s="36" t="str">
        <x:v>region</x:v>
      </x:c>
      <x:c r="E12" s="36" t="str">
        <x:v>区域筛选</x:v>
      </x:c>
      <x:c r="F12" s="37" t="str"/>
    </x:row>
    <x:row r="13">
      <x:c r="A13" s="35" t="str">
        <x:v>区域</x:v>
      </x:c>
      <x:c r="B13" s="36" t="str">
        <x:v>Africa</x:v>
      </x:c>
      <x:c r="C13" s="36" t="n">
        <x:v>14</x:v>
      </x:c>
      <x:c r="D13" s="36" t="str">
        <x:v>region</x:v>
      </x:c>
      <x:c r="E13" s="36" t="str">
        <x:v>区域筛选</x:v>
      </x:c>
      <x:c r="F13" s="37" t="str"/>
    </x:row>
    <x:row r="14">
      <x:c r="A14" s="35" t="str">
        <x:v>区域</x:v>
      </x:c>
      <x:c r="B14" s="36" t="str">
        <x:v>LatinAmerica</x:v>
      </x:c>
      <x:c r="C14" s="36" t="n">
        <x:v>11</x:v>
      </x:c>
      <x:c r="D14" s="36" t="str">
        <x:v>region</x:v>
      </x:c>
      <x:c r="E14" s="36" t="str">
        <x:v>区域筛选</x:v>
      </x:c>
      <x:c r="F14" s="37" t="str"/>
    </x:row>
    <x:row r="15">
      <x:c r="A15" s="38" t="str">
        <x:v>质量</x:v>
      </x:c>
      <x:c r="B15" s="39" t="str">
        <x:v>original</x:v>
      </x:c>
      <x:c r="C15" s="39" t="n">
        <x:v>40</x:v>
      </x:c>
      <x:c r="D15" s="39" t="str">
        <x:v>quality_flag</x:v>
      </x:c>
      <x:c r="E15" s="39" t="str">
        <x:v>质量筛选</x:v>
      </x:c>
      <x:c r="F15" s="40" t="str"/>
    </x:row>
  </x:sheetData>
  <x:mergeCells>
    <x:mergeCell ref="A1:F1"/>
    <x:mergeCell ref="A2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0" hidden="0" customWidth="1"/>
    <x:col min="3" max="3" width="16" hidden="0" customWidth="1"/>
    <x:col min="4" max="4" width="24" hidden="0" customWidth="1"/>
    <x:col min="5" max="5" width="18" hidden="0" customWidth="1"/>
    <x:col min="6" max="6" width="20" hidden="0" customWidth="1"/>
    <x:col min="7" max="7" width="15" hidden="0" customWidth="1"/>
    <x:col min="8" max="8" width="16" hidden="0" customWidth="1"/>
    <x:col min="9" max="9" width="16" hidden="0" customWidth="1"/>
    <x:col min="10" max="10" width="16" hidden="0" customWidth="1"/>
    <x:col min="11" max="11" width="42" hidden="0" customWidth="1"/>
  </x:cols>
  <x:sheetData>
    <x:row r="1" ht="28" customHeight="1">
      <x:c r="A1" s="4" t="str">
        <x:v>三次筛选与性能记录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36" customHeight="1">
      <x:c r="A2" s="8" t="str">
        <x:v>每次先记录筛选条件，再记录点数和冷/热缓存秒数。任一超过10秒不得发布。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</x:row>
    <x:row r="4">
      <x:c r="A4" s="13" t="str">
        <x:v>序号</x:v>
      </x:c>
      <x:c r="B4" s="13" t="str">
        <x:v>区域</x:v>
      </x:c>
      <x:c r="C4" s="13" t="str">
        <x:v>国家iso3</x:v>
      </x:c>
      <x:c r="D4" s="13" t="str">
        <x:v>质量</x:v>
      </x:c>
      <x:c r="E4" s="13" t="str">
        <x:v>本地期望点数</x:v>
      </x:c>
      <x:c r="F4" s="13" t="str">
        <x:v>Smartbi实际点数</x:v>
      </x:c>
      <x:c r="G4" s="13" t="str">
        <x:v>点数判定</x:v>
      </x:c>
      <x:c r="H4" s="13" t="str">
        <x:v>冷缓存秒</x:v>
      </x:c>
      <x:c r="I4" s="13" t="str">
        <x:v>热缓存秒</x:v>
      </x:c>
      <x:c r="J4" s="13" t="str">
        <x:v>性能判定</x:v>
      </x:c>
      <x:c r="K4" s="13" t="str">
        <x:v>截图路径</x:v>
      </x:c>
    </x:row>
    <x:row r="5" ht="38" customHeight="1">
      <x:c r="A5" s="32" t="n">
        <x:v>1</x:v>
      </x:c>
      <x:c r="B5" s="33" t="str">
        <x:v>Asia</x:v>
      </x:c>
      <x:c r="C5" s="33" t="str">
        <x:v>全部</x:v>
      </x:c>
      <x:c r="D5" s="33" t="str">
        <x:v>全部</x:v>
      </x:c>
      <x:c r="E5" s="33" t="n">
        <x:v>15</x:v>
      </x:c>
      <x:c r="F5" s="41"/>
      <x:c r="G5" s="41" t="str">
        <x:f>IF(F5="","待人工",IF(F5=E5,"PASS","FAIL"))</x:f>
        <x:v>待人工</x:v>
      </x:c>
      <x:c r="H5" s="46"/>
      <x:c r="I5" s="46"/>
      <x:c r="J5" s="33" t="str">
        <x:f>IF(OR(H5="",I5=""),"待人工",IF(AND(H5&lt;=10,I5&lt;=10),"PASS","FAIL"))</x:f>
        <x:v>待人工</x:v>
      </x:c>
      <x:c r="K5" s="34" t="str"/>
    </x:row>
    <x:row r="6" ht="38" customHeight="1">
      <x:c r="A6" s="35" t="n">
        <x:v>2</x:v>
      </x:c>
      <x:c r="B6" s="36" t="str">
        <x:v>全部</x:v>
      </x:c>
      <x:c r="C6" s="36" t="str">
        <x:v>MEX</x:v>
      </x:c>
      <x:c r="D6" s="36" t="str">
        <x:v>全部</x:v>
      </x:c>
      <x:c r="E6" s="36" t="n">
        <x:v>1</x:v>
      </x:c>
      <x:c r="F6" s="42"/>
      <x:c r="G6" s="42" t="str">
        <x:f>IF(F6="","待人工",IF(F6=E6,"PASS","FAIL"))</x:f>
        <x:v>待人工</x:v>
      </x:c>
      <x:c r="H6" s="47"/>
      <x:c r="I6" s="47"/>
      <x:c r="J6" s="36" t="str">
        <x:f>IF(OR(H6="",I6=""),"待人工",IF(AND(H6&lt;=10,I6&lt;=10),"PASS","FAIL"))</x:f>
        <x:v>待人工</x:v>
      </x:c>
      <x:c r="K6" s="37" t="str"/>
    </x:row>
    <x:row r="7" ht="38" customHeight="1">
      <x:c r="A7" s="38" t="n">
        <x:v>3</x:v>
      </x:c>
      <x:c r="B7" s="39" t="str">
        <x:v>全部</x:v>
      </x:c>
      <x:c r="C7" s="39" t="str">
        <x:v>全部</x:v>
      </x:c>
      <x:c r="D7" s="39" t="str">
        <x:v>original</x:v>
      </x:c>
      <x:c r="E7" s="39" t="n">
        <x:v>40</x:v>
      </x:c>
      <x:c r="F7" s="43"/>
      <x:c r="G7" s="43" t="str">
        <x:f>IF(F7="","待人工",IF(F7=E7,"PASS","FAIL"))</x:f>
        <x:v>待人工</x:v>
      </x:c>
      <x:c r="H7" s="48"/>
      <x:c r="I7" s="48"/>
      <x:c r="J7" s="39" t="str">
        <x:f>IF(OR(H7="",I7=""),"待人工",IF(AND(H7&lt;=10,I7&lt;=10),"PASS","FAIL"))</x:f>
        <x:v>待人工</x:v>
      </x:c>
      <x:c r="K7" s="40" t="str"/>
    </x:row>
  </x:sheetData>
  <x:mergeCells>
    <x:mergeCell ref="A1:K1"/>
    <x:mergeCell ref="A2:K2"/>
  </x:mergeCells>
  <x:conditionalFormatting sqref="G5:G7">
    <x:cfRule type="containsText" dxfId="3" priority="1" operator="containsText" text="PASS"/>
    <x:cfRule type="containsText" dxfId="4" priority="2" operator="containsText" text="FAIL"/>
    <x:cfRule type="containsText" dxfId="5" priority="3" operator="containsText" text="待人工"/>
  </x:conditionalFormatting>
  <x:conditionalFormatting sqref="J5:J7">
    <x:cfRule type="containsText" dxfId="6" priority="4" operator="containsText" text="PASS"/>
    <x:cfRule type="containsText" dxfId="7" priority="5" operator="containsText" text="FAIL"/>
    <x:cfRule type="containsText" dxfId="8" priority="6" operator="containsText" text="待人工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8" hidden="0" customWidth="1"/>
    <x:col min="3" max="3" width="36" hidden="0" customWidth="1"/>
    <x:col min="4" max="4" width="20" hidden="0" customWidth="1"/>
    <x:col min="5" max="5" width="14" hidden="0" customWidth="1"/>
    <x:col min="6" max="6" width="40" hidden="0" customWidth="1"/>
  </x:cols>
  <x:sheetData>
    <x:row r="1" ht="28" customHeight="1">
      <x:c r="A1" s="4" t="str">
        <x:v>DB01 必留证据</x:v>
      </x:c>
      <x:c r="B1" s="4"/>
      <x:c r="C1" s="4"/>
      <x:c r="D1" s="4"/>
      <x:c r="E1" s="4"/>
      <x:c r="F1" s="4"/>
    </x:row>
    <x:row r="2" ht="36" customHeight="1">
      <x:c r="A2" s="8" t="str">
        <x:v>只有文件真实存在且读数可复核时，才能把状态改成PASS。</x:v>
      </x:c>
      <x:c r="B2" s="8"/>
      <x:c r="C2" s="8"/>
      <x:c r="D2" s="8"/>
      <x:c r="E2" s="8"/>
      <x:c r="F2" s="8"/>
    </x:row>
    <x:row r="4">
      <x:c r="A4" s="13" t="str">
        <x:v>序号</x:v>
      </x:c>
      <x:c r="B4" s="13" t="str">
        <x:v>证据</x:v>
      </x:c>
      <x:c r="C4" s="13" t="str">
        <x:v>建议文件名</x:v>
      </x:c>
      <x:c r="D4" s="13" t="str">
        <x:v>是否存在(人工)</x:v>
      </x:c>
      <x:c r="E4" s="13" t="str">
        <x:v>复核人</x:v>
      </x:c>
      <x:c r="F4" s="13" t="str">
        <x:v>备注</x:v>
      </x:c>
    </x:row>
    <x:row r="5">
      <x:c r="A5" s="32" t="n">
        <x:v>1</x:v>
      </x:c>
      <x:c r="B5" s="33" t="str">
        <x:v>DB01全页截图</x:v>
      </x:c>
      <x:c r="C5" s="33" t="str">
        <x:v>09_DB01_全页.png</x:v>
      </x:c>
      <x:c r="D5" s="41" t="str">
        <x:v>待人工</x:v>
      </x:c>
      <x:c r="E5" s="41" t="str">
        <x:v>B</x:v>
      </x:c>
      <x:c r="F5" s="34" t="str">
        <x:v>恰好4个核心组件</x:v>
      </x:c>
    </x:row>
    <x:row r="6">
      <x:c r="A6" s="35" t="n">
        <x:v>2</x:v>
      </x:c>
      <x:c r="B6" s="36" t="str">
        <x:v>总量卡组截图</x:v>
      </x:c>
      <x:c r="C6" s="36" t="str">
        <x:v>02_DB01_总量卡组.png</x:v>
      </x:c>
      <x:c r="D6" s="42" t="str">
        <x:v>待人工</x:v>
      </x:c>
      <x:c r="E6" s="42" t="str">
        <x:v>B</x:v>
      </x:c>
      <x:c r="F6" s="37" t="str">
        <x:v>130/40/23</x:v>
      </x:c>
    </x:row>
    <x:row r="7">
      <x:c r="A7" s="35" t="n">
        <x:v>3</x:v>
      </x:c>
      <x:c r="B7" s="36" t="str">
        <x:v>40国触发截图</x:v>
      </x:c>
      <x:c r="C7" s="36" t="str">
        <x:v>03_DB01_40国触发.png</x:v>
      </x:c>
      <x:c r="D7" s="42" t="str">
        <x:v>待人工</x:v>
      </x:c>
      <x:c r="E7" s="42" t="str">
        <x:v>B</x:v>
      </x:c>
      <x:c r="F7" s="37" t="str">
        <x:v>四类标签</x:v>
      </x:c>
    </x:row>
    <x:row r="8">
      <x:c r="A8" s="35" t="n">
        <x:v>4</x:v>
      </x:c>
      <x:c r="B8" s="36" t="str">
        <x:v>散点截图</x:v>
      </x:c>
      <x:c r="C8" s="36" t="str">
        <x:v>04_DB01_散点.png</x:v>
      </x:c>
      <x:c r="D8" s="42" t="str">
        <x:v>待人工</x:v>
      </x:c>
      <x:c r="E8" s="42" t="str">
        <x:v>B</x:v>
      </x:c>
      <x:c r="F8" s="37" t="str">
        <x:v>有效点40；重复0</x:v>
      </x:c>
    </x:row>
    <x:row r="9">
      <x:c r="A9" s="35" t="n">
        <x:v>5</x:v>
      </x:c>
      <x:c r="B9" s="36" t="str">
        <x:v>来源截止期截图</x:v>
      </x:c>
      <x:c r="C9" s="36" t="str">
        <x:v>05_DB01_来源截止期.png</x:v>
      </x:c>
      <x:c r="D9" s="42" t="str">
        <x:v>待人工</x:v>
      </x:c>
      <x:c r="E9" s="42" t="str">
        <x:v>B</x:v>
      </x:c>
      <x:c r="F9" s="37" t="str">
        <x:v>独立日期和source_id</x:v>
      </x:c>
    </x:row>
    <x:row r="10">
      <x:c r="A10" s="35" t="n">
        <x:v>6</x:v>
      </x:c>
      <x:c r="B10" s="36" t="str">
        <x:v>三次筛选截图</x:v>
      </x:c>
      <x:c r="C10" s="36" t="str">
        <x:v>06_DB01_筛选.png</x:v>
      </x:c>
      <x:c r="D10" s="42" t="str">
        <x:v>待人工</x:v>
      </x:c>
      <x:c r="E10" s="42" t="str">
        <x:v>B</x:v>
      </x:c>
      <x:c r="F10" s="37" t="str">
        <x:v>与本地基准一致</x:v>
      </x:c>
    </x:row>
    <x:row r="11">
      <x:c r="A11" s="35" t="n">
        <x:v>7</x:v>
      </x:c>
      <x:c r="B11" s="36" t="str">
        <x:v>DB01到DB02下钻截图</x:v>
      </x:c>
      <x:c r="C11" s="36" t="str">
        <x:v>07_DB01_DB02下钻.png</x:v>
      </x:c>
      <x:c r="D11" s="42" t="str">
        <x:v>待人工</x:v>
      </x:c>
      <x:c r="E11" s="42" t="str">
        <x:v>B</x:v>
      </x:c>
      <x:c r="F11" s="37" t="str">
        <x:v>只传iso3</x:v>
      </x:c>
    </x:row>
    <x:row r="12">
      <x:c r="A12" s="38" t="n">
        <x:v>8</x:v>
      </x:c>
      <x:c r="B12" s="39" t="str">
        <x:v>性能记录截图</x:v>
      </x:c>
      <x:c r="C12" s="39" t="str">
        <x:v>08_DB01_性能.png</x:v>
      </x:c>
      <x:c r="D12" s="43" t="str">
        <x:v>待人工</x:v>
      </x:c>
      <x:c r="E12" s="43" t="str">
        <x:v>B</x:v>
      </x:c>
      <x:c r="F12" s="40" t="str">
        <x:v>冷/热均≤10秒</x:v>
      </x:c>
    </x:row>
  </x:sheetData>
  <x:mergeCells>
    <x:mergeCell ref="A1:F1"/>
    <x:mergeCell ref="A2:F2"/>
  </x:mergeCells>
  <x:dataValidations count="1">
    <x:dataValidation type="list" sqref="D5:D12">
      <x:formula1>"待人工,是,否"</x:formula1>
    </x:dataValidation>
  </x:dataValidations>
  <x:pageMargins left="0.7" right="0.7" top="0.75" bottom="0.75" header="0.3" footer="0.3"/>
</x:worksheet>
</file>