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95fa719e164f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7字段测试" sheetId="1" r:id="Rc6246c0250994e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92400E"/>
      <x:name val="Carlito"/>
    </x:font>
    <x:font>
      <x:b/>
      <x:sz val="11"/>
      <x:color rgb="FF166534"/>
      <x:name val="Carlito"/>
    </x:font>
    <x:font>
      <x:sz val="11"/>
      <x:color rgb="FF16653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EF3C7"/>
      </x:patternFill>
    </x:fill>
    <x:fill>
      <x:patternFill patternType="solid">
        <x:fgColor rgb="FFF5F7FA"/>
      </x:patternFill>
    </x:fill>
    <x:fill>
      <x:patternFill patternType="solid">
        <x:fgColor rgb="FFDCFCE7"/>
      </x:patternFill>
    </x:fill>
  </x:fills>
  <x:borders count="2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c966c840664fbb" /><Relationship Type="http://schemas.openxmlformats.org/officeDocument/2006/relationships/theme" Target="/xl/theme/theme1.xml" Id="R3d6e5901cebe4bfb" /><Relationship Type="http://schemas.openxmlformats.org/officeDocument/2006/relationships/sharedStrings" Target="/xl/sharedStrings.xml" Id="R32a390324d434a64" /><Relationship Type="http://schemas.openxmlformats.org/officeDocument/2006/relationships/worksheet" Target="/xl/worksheets/sheet1.xml" Id="Rc6246c0250994ea5" /></Relationships>
</file>

<file path=xl/tables/table1.xml><?xml version="1.0" encoding="utf-8"?>
<x:table xmlns:x="http://schemas.openxmlformats.org/spreadsheetml/2006/main" id="1" name="B00FieldAvailabilityTable" displayName="B00FieldAvailabilityTable" ref="A5:K32" headerRowCount="1" totalsRowCount="0" totalsRowShown="0">
  <x:tableColumns count="11">
    <x:tableColumn id="1" name="序号"/>
    <x:tableColumn id="2" name="页面"/>
    <x:tableColumn id="3" name="表"/>
    <x:tableColumn id="4" name="字段"/>
    <x:tableColumn id="5" name="用途/边界"/>
    <x:tableColumn id="6" name="离线存在"/>
    <x:tableColumn id="7" name="平台可读"/>
    <x:tableColumn id="8" name="平台可写"/>
    <x:tableColumn id="9" name="判定"/>
    <x:tableColumn id="10" name="证据路径"/>
    <x:tableColumn id="11" name="下一动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0a04336e774d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0" hidden="0" customWidth="1"/>
    <x:col min="3" max="3" width="29" hidden="0" customWidth="1"/>
    <x:col min="4" max="4" width="26" hidden="0" customWidth="1"/>
    <x:col min="5" max="5" width="34" hidden="0" customWidth="1"/>
    <x:col min="6" max="6" width="13" hidden="0" customWidth="1"/>
    <x:col min="7" max="7" width="13" hidden="0" customWidth="1"/>
    <x:col min="8" max="8" width="18" hidden="0" customWidth="1"/>
    <x:col min="9" max="9" width="13" hidden="0" customWidth="1"/>
    <x:col min="10" max="10" width="34" hidden="0" customWidth="1"/>
    <x:col min="11" max="11" width="42" hidden="0" customWidth="1"/>
  </x:cols>
  <x:sheetData>
    <x:row r="1" ht="30" customHeight="1">
      <x:c r="A1" s="4" t="str">
        <x:v>B00 页面 3/5/6 字段可用性测试 V5.0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19" t="str">
        <x:v>状态：PASS（字段可见性）｜共享模型字段树27/27可见；共用账号为既定前提；B已审核（2026-08-25）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</x:row>
    <x:row r="3">
      <x:c r="A3" s="9" t="str">
        <x:v>边界：仅核对字段存在/可见，不冒充数据值查询、页面搭建或G2验收；本次保存/模型修改均为0。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</x:row>
    <x:row r="5" ht="15" hidden="0" customHeight="1">
      <x:c r="A5" s="15" t="str">
        <x:v>序号</x:v>
      </x:c>
      <x:c r="B5" s="15" t="str">
        <x:v>页面</x:v>
      </x:c>
      <x:c r="C5" s="15" t="str">
        <x:v>表</x:v>
      </x:c>
      <x:c r="D5" s="15" t="str">
        <x:v>字段</x:v>
      </x:c>
      <x:c r="E5" s="15" t="str">
        <x:v>用途/边界</x:v>
      </x:c>
      <x:c r="F5" s="15" t="str">
        <x:v>离线存在</x:v>
      </x:c>
      <x:c r="G5" s="15" t="str">
        <x:v>模型树可见</x:v>
      </x:c>
      <x:c r="H5" s="15" t="str">
        <x:v>独立不可写</x:v>
      </x:c>
      <x:c r="I5" s="15" t="str">
        <x:v>字段判定</x:v>
      </x:c>
      <x:c r="J5" s="15" t="str">
        <x:v>证据</x:v>
      </x:c>
      <x:c r="K5" s="15" t="str">
        <x:v>复核边界</x:v>
      </x:c>
    </x:row>
    <x:row r="6" ht="15" hidden="0" customHeight="1">
      <x:c r="A6" s="16" t="n">
        <x:v>1</x:v>
      </x:c>
      <x:c r="B6" s="16" t="str">
        <x:v>DB03</x:v>
      </x:c>
      <x:c r="C6" s="16" t="str">
        <x:v>dim_company</x:v>
      </x:c>
      <x:c r="D6" s="16" t="str">
        <x:v>company_id</x:v>
      </x:c>
      <x:c r="E6" s="16" t="str">
        <x:v>企业目录主键</x:v>
      </x:c>
      <x:c r="F6" s="16" t="str">
        <x:v>OFFLINE_PASS</x:v>
      </x:c>
      <x:c r="G6" s="16" t="str">
        <x:v>是</x:v>
      </x:c>
      <x:c r="H6" s="16" t="str">
        <x:v>不适用（共用账号）</x:v>
      </x:c>
      <x:c r="I6" s="21" t="str">
        <x:f>IF(AND(F6="OFFLINE_PASS",G6="是"),"PASS","FAIL")</x:f>
        <x:v>PASS</x:v>
      </x:c>
      <x:c r="J6" s="16" t="str">
        <x:v>B00_SMARTBI_FIELD_AUDIT_20260825.md</x:v>
      </x:c>
      <x:c r="K6" s="16" t="str">
        <x:v>B已复核；未做数据值查询</x:v>
      </x:c>
    </x:row>
    <x:row r="7" ht="15" hidden="0" customHeight="1">
      <x:c r="A7" s="16" t="n">
        <x:v>2</x:v>
      </x:c>
      <x:c r="B7" s="16" t="str">
        <x:v>DB03</x:v>
      </x:c>
      <x:c r="C7" s="16" t="str">
        <x:v>dim_company</x:v>
      </x:c>
      <x:c r="D7" s="16" t="str">
        <x:v>company_name_zh</x:v>
      </x:c>
      <x:c r="E7" s="16" t="str">
        <x:v>企业名称</x:v>
      </x:c>
      <x:c r="F7" s="16" t="str">
        <x:v>OFFLINE_PASS</x:v>
      </x:c>
      <x:c r="G7" s="16" t="str">
        <x:v>是</x:v>
      </x:c>
      <x:c r="H7" s="16" t="str">
        <x:v>不适用（共用账号）</x:v>
      </x:c>
      <x:c r="I7" s="21" t="str">
        <x:f>IF(AND(F7="OFFLINE_PASS",G7="是"),"PASS","FAIL")</x:f>
        <x:v>PASS</x:v>
      </x:c>
      <x:c r="J7" s="16" t="str">
        <x:v>B00_SMARTBI_FIELD_AUDIT_20260825.md</x:v>
      </x:c>
      <x:c r="K7" s="16" t="str">
        <x:v>B已复核；未做数据值查询</x:v>
      </x:c>
    </x:row>
    <x:row r="8" ht="15" hidden="0" customHeight="1">
      <x:c r="A8" s="16" t="n">
        <x:v>3</x:v>
      </x:c>
      <x:c r="B8" s="16" t="str">
        <x:v>DB03</x:v>
      </x:c>
      <x:c r="C8" s="16" t="str">
        <x:v>dim_company</x:v>
      </x:c>
      <x:c r="D8" s="16" t="str">
        <x:v>industry</x:v>
      </x:c>
      <x:c r="E8" s="16" t="str">
        <x:v>行业</x:v>
      </x:c>
      <x:c r="F8" s="16" t="str">
        <x:v>OFFLINE_PASS</x:v>
      </x:c>
      <x:c r="G8" s="16" t="str">
        <x:v>是</x:v>
      </x:c>
      <x:c r="H8" s="16" t="str">
        <x:v>不适用（共用账号）</x:v>
      </x:c>
      <x:c r="I8" s="21" t="str">
        <x:f>IF(AND(F8="OFFLINE_PASS",G8="是"),"PASS","FAIL")</x:f>
        <x:v>PASS</x:v>
      </x:c>
      <x:c r="J8" s="16" t="str">
        <x:v>B00_SMARTBI_FIELD_AUDIT_20260825.md</x:v>
      </x:c>
      <x:c r="K8" s="16" t="str">
        <x:v>B已复核；未做数据值查询</x:v>
      </x:c>
    </x:row>
    <x:row r="9" ht="15" hidden="0" customHeight="1">
      <x:c r="A9" s="16" t="n">
        <x:v>4</x:v>
      </x:c>
      <x:c r="B9" s="16" t="str">
        <x:v>DB03</x:v>
      </x:c>
      <x:c r="C9" s="16" t="str">
        <x:v>dim_company</x:v>
      </x:c>
      <x:c r="D9" s="16" t="str">
        <x:v>operating_model</x:v>
      </x:c>
      <x:c r="E9" s="16" t="str">
        <x:v>经营模式</x:v>
      </x:c>
      <x:c r="F9" s="16" t="str">
        <x:v>OFFLINE_PASS</x:v>
      </x:c>
      <x:c r="G9" s="16" t="str">
        <x:v>是</x:v>
      </x:c>
      <x:c r="H9" s="16" t="str">
        <x:v>不适用（共用账号）</x:v>
      </x:c>
      <x:c r="I9" s="21" t="str">
        <x:f>IF(AND(F9="OFFLINE_PASS",G9="是"),"PASS","FAIL")</x:f>
        <x:v>PASS</x:v>
      </x:c>
      <x:c r="J9" s="16" t="str">
        <x:v>B00_SMARTBI_FIELD_AUDIT_20260825.md</x:v>
      </x:c>
      <x:c r="K9" s="16" t="str">
        <x:v>B已复核；未做数据值查询</x:v>
      </x:c>
    </x:row>
    <x:row r="10" ht="15" hidden="0" customHeight="1">
      <x:c r="A10" s="16" t="n">
        <x:v>5</x:v>
      </x:c>
      <x:c r="B10" s="16" t="str">
        <x:v>DB03</x:v>
      </x:c>
      <x:c r="C10" s="16" t="str">
        <x:v>company_overseas_exposure</x:v>
      </x:c>
      <x:c r="D10" s="16" t="str">
        <x:v>fiscal_year</x:v>
      </x:c>
      <x:c r="E10" s="16" t="str">
        <x:v>财年</x:v>
      </x:c>
      <x:c r="F10" s="16" t="str">
        <x:v>OFFLINE_PASS</x:v>
      </x:c>
      <x:c r="G10" s="16" t="str">
        <x:v>是</x:v>
      </x:c>
      <x:c r="H10" s="16" t="str">
        <x:v>不适用（共用账号）</x:v>
      </x:c>
      <x:c r="I10" s="21" t="str">
        <x:f>IF(AND(F10="OFFLINE_PASS",G10="是"),"PASS","FAIL")</x:f>
        <x:v>PASS</x:v>
      </x:c>
      <x:c r="J10" s="16" t="str">
        <x:v>B00_SMARTBI_FIELD_AUDIT_20260825.md</x:v>
      </x:c>
      <x:c r="K10" s="16" t="str">
        <x:v>B已复核；未做数据值查询</x:v>
      </x:c>
    </x:row>
    <x:row r="11" ht="15" hidden="0" customHeight="1">
      <x:c r="A11" s="16" t="n">
        <x:v>6</x:v>
      </x:c>
      <x:c r="B11" s="16" t="str">
        <x:v>DB03</x:v>
      </x:c>
      <x:c r="C11" s="16" t="str">
        <x:v>company_overseas_exposure</x:v>
      </x:c>
      <x:c r="D11" s="16" t="str">
        <x:v>geography_level</x:v>
      </x:c>
      <x:c r="E11" s="16" t="str">
        <x:v>global/region边界</x:v>
      </x:c>
      <x:c r="F11" s="16" t="str">
        <x:v>OFFLINE_PASS</x:v>
      </x:c>
      <x:c r="G11" s="16" t="str">
        <x:v>是</x:v>
      </x:c>
      <x:c r="H11" s="16" t="str">
        <x:v>不适用（共用账号）</x:v>
      </x:c>
      <x:c r="I11" s="21" t="str">
        <x:f>IF(AND(F11="OFFLINE_PASS",G11="是"),"PASS","FAIL")</x:f>
        <x:v>PASS</x:v>
      </x:c>
      <x:c r="J11" s="16" t="str">
        <x:v>B00_SMARTBI_FIELD_AUDIT_20260825.md</x:v>
      </x:c>
      <x:c r="K11" s="16" t="str">
        <x:v>B已复核；未做数据值查询</x:v>
      </x:c>
    </x:row>
    <x:row r="12" ht="15" hidden="0" customHeight="1">
      <x:c r="A12" s="16" t="n">
        <x:v>7</x:v>
      </x:c>
      <x:c r="B12" s="16" t="str">
        <x:v>DB03</x:v>
      </x:c>
      <x:c r="C12" s="16" t="str">
        <x:v>company_overseas_exposure</x:v>
      </x:c>
      <x:c r="D12" s="16" t="str">
        <x:v>total_revenue</x:v>
      </x:c>
      <x:c r="E12" s="16" t="str">
        <x:v>必须为空，不得填0</x:v>
      </x:c>
      <x:c r="F12" s="16" t="str">
        <x:v>OFFLINE_PASS</x:v>
      </x:c>
      <x:c r="G12" s="16" t="str">
        <x:v>是</x:v>
      </x:c>
      <x:c r="H12" s="16" t="str">
        <x:v>不适用（共用账号）</x:v>
      </x:c>
      <x:c r="I12" s="21" t="str">
        <x:f>IF(AND(F12="OFFLINE_PASS",G12="是"),"PASS","FAIL")</x:f>
        <x:v>PASS</x:v>
      </x:c>
      <x:c r="J12" s="16" t="str">
        <x:v>B00_SMARTBI_FIELD_AUDIT_20260825.md</x:v>
      </x:c>
      <x:c r="K12" s="16" t="str">
        <x:v>B已复核；未做数据值查询</x:v>
      </x:c>
    </x:row>
    <x:row r="13" ht="15" hidden="0" customHeight="1">
      <x:c r="A13" s="16" t="n">
        <x:v>8</x:v>
      </x:c>
      <x:c r="B13" s="16" t="str">
        <x:v>DB03</x:v>
      </x:c>
      <x:c r="C13" s="16" t="str">
        <x:v>bridge_company_geography</x:v>
      </x:c>
      <x:c r="D13" s="16" t="str">
        <x:v>iso3</x:v>
      </x:c>
      <x:c r="E13" s="16" t="str">
        <x:v>8行均空；禁止连国家</x:v>
      </x:c>
      <x:c r="F13" s="16" t="str">
        <x:v>OFFLINE_PASS</x:v>
      </x:c>
      <x:c r="G13" s="16" t="str">
        <x:v>是</x:v>
      </x:c>
      <x:c r="H13" s="16" t="str">
        <x:v>不适用（共用账号）</x:v>
      </x:c>
      <x:c r="I13" s="21" t="str">
        <x:f>IF(AND(F13="OFFLINE_PASS",G13="是"),"PASS","FAIL")</x:f>
        <x:v>PASS</x:v>
      </x:c>
      <x:c r="J13" s="16" t="str">
        <x:v>B00_SMARTBI_FIELD_AUDIT_20260825.md</x:v>
      </x:c>
      <x:c r="K13" s="16" t="str">
        <x:v>B已复核；未做数据值查询</x:v>
      </x:c>
    </x:row>
    <x:row r="14" ht="15" hidden="0" customHeight="1">
      <x:c r="A14" s="16" t="n">
        <x:v>9</x:v>
      </x:c>
      <x:c r="B14" s="16" t="str">
        <x:v>DB03</x:v>
      </x:c>
      <x:c r="C14" s="16" t="str">
        <x:v>MVP_company_data_status</x:v>
      </x:c>
      <x:c r="D14" s="16" t="str">
        <x:v>answer_scope</x:v>
      </x:c>
      <x:c r="E14" s="16" t="str">
        <x:v>可回答范围</x:v>
      </x:c>
      <x:c r="F14" s="16" t="str">
        <x:v>OFFLINE_PASS</x:v>
      </x:c>
      <x:c r="G14" s="16" t="str">
        <x:v>是</x:v>
      </x:c>
      <x:c r="H14" s="16" t="str">
        <x:v>不适用（共用账号）</x:v>
      </x:c>
      <x:c r="I14" s="21" t="str">
        <x:f>IF(AND(F14="OFFLINE_PASS",G14="是"),"PASS","FAIL")</x:f>
        <x:v>PASS</x:v>
      </x:c>
      <x:c r="J14" s="16" t="str">
        <x:v>B00_SMARTBI_FIELD_AUDIT_20260825.md</x:v>
      </x:c>
      <x:c r="K14" s="16" t="str">
        <x:v>B已复核；未做数据值查询</x:v>
      </x:c>
    </x:row>
    <x:row r="15" ht="15" hidden="0" customHeight="1">
      <x:c r="A15" s="16" t="n">
        <x:v>10</x:v>
      </x:c>
      <x:c r="B15" s="16" t="str">
        <x:v>DB03</x:v>
      </x:c>
      <x:c r="C15" s="16" t="str">
        <x:v>MVP_company_data_status</x:v>
      </x:c>
      <x:c r="D15" s="16" t="str">
        <x:v>prohibited_inference</x:v>
      </x:c>
      <x:c r="E15" s="16" t="str">
        <x:v>禁止推断</x:v>
      </x:c>
      <x:c r="F15" s="16" t="str">
        <x:v>OFFLINE_PASS</x:v>
      </x:c>
      <x:c r="G15" s="16" t="str">
        <x:v>是</x:v>
      </x:c>
      <x:c r="H15" s="16" t="str">
        <x:v>不适用（共用账号）</x:v>
      </x:c>
      <x:c r="I15" s="21" t="str">
        <x:f>IF(AND(F15="OFFLINE_PASS",G15="是"),"PASS","FAIL")</x:f>
        <x:v>PASS</x:v>
      </x:c>
      <x:c r="J15" s="16" t="str">
        <x:v>B00_SMARTBI_FIELD_AUDIT_20260825.md</x:v>
      </x:c>
      <x:c r="K15" s="16" t="str">
        <x:v>B已复核；未做数据值查询</x:v>
      </x:c>
    </x:row>
    <x:row r="16" ht="15" hidden="0" customHeight="1">
      <x:c r="A16" s="16" t="n">
        <x:v>11</x:v>
      </x:c>
      <x:c r="B16" s="16" t="str">
        <x:v>DB05</x:v>
      </x:c>
      <x:c r="C16" s="16" t="str">
        <x:v>country_policy_year</x:v>
      </x:c>
      <x:c r="D16" s="16" t="str">
        <x:v>policy_code</x:v>
      </x:c>
      <x:c r="E16" s="16" t="str">
        <x:v>政策代码</x:v>
      </x:c>
      <x:c r="F16" s="16" t="str">
        <x:v>OFFLINE_PASS</x:v>
      </x:c>
      <x:c r="G16" s="16" t="str">
        <x:v>是</x:v>
      </x:c>
      <x:c r="H16" s="16" t="str">
        <x:v>不适用（共用账号）</x:v>
      </x:c>
      <x:c r="I16" s="21" t="str">
        <x:f>IF(AND(F16="OFFLINE_PASS",G16="是"),"PASS","FAIL")</x:f>
        <x:v>PASS</x:v>
      </x:c>
      <x:c r="J16" s="16" t="str">
        <x:v>B00_SMARTBI_FIELD_AUDIT_20260825.md</x:v>
      </x:c>
      <x:c r="K16" s="16" t="str">
        <x:v>B已复核；未做数据值查询</x:v>
      </x:c>
    </x:row>
    <x:row r="17" ht="15" hidden="0" customHeight="1">
      <x:c r="A17" s="16" t="n">
        <x:v>12</x:v>
      </x:c>
      <x:c r="B17" s="16" t="str">
        <x:v>DB05</x:v>
      </x:c>
      <x:c r="C17" s="16" t="str">
        <x:v>country_policy_year</x:v>
      </x:c>
      <x:c r="D17" s="16" t="str">
        <x:v>manual_review_status</x:v>
      </x:c>
      <x:c r="E17" s="16" t="str">
        <x:v>人工复核状态</x:v>
      </x:c>
      <x:c r="F17" s="16" t="str">
        <x:v>OFFLINE_PASS</x:v>
      </x:c>
      <x:c r="G17" s="16" t="str">
        <x:v>是</x:v>
      </x:c>
      <x:c r="H17" s="16" t="str">
        <x:v>不适用（共用账号）</x:v>
      </x:c>
      <x:c r="I17" s="21" t="str">
        <x:f>IF(AND(F17="OFFLINE_PASS",G17="是"),"PASS","FAIL")</x:f>
        <x:v>PASS</x:v>
      </x:c>
      <x:c r="J17" s="16" t="str">
        <x:v>B00_SMARTBI_FIELD_AUDIT_20260825.md</x:v>
      </x:c>
      <x:c r="K17" s="16" t="str">
        <x:v>B已复核；未做数据值查询</x:v>
      </x:c>
    </x:row>
    <x:row r="18" ht="15" hidden="0" customHeight="1">
      <x:c r="A18" s="16" t="n">
        <x:v>13</x:v>
      </x:c>
      <x:c r="B18" s="16" t="str">
        <x:v>DB05</x:v>
      </x:c>
      <x:c r="C18" s="16" t="str">
        <x:v>source_registry</x:v>
      </x:c>
      <x:c r="D18" s="16" t="str">
        <x:v>source_id</x:v>
      </x:c>
      <x:c r="E18" s="16" t="str">
        <x:v>来源标识</x:v>
      </x:c>
      <x:c r="F18" s="16" t="str">
        <x:v>OFFLINE_PASS</x:v>
      </x:c>
      <x:c r="G18" s="16" t="str">
        <x:v>是</x:v>
      </x:c>
      <x:c r="H18" s="16" t="str">
        <x:v>不适用（共用账号）</x:v>
      </x:c>
      <x:c r="I18" s="21" t="str">
        <x:f>IF(AND(F18="OFFLINE_PASS",G18="是"),"PASS","FAIL")</x:f>
        <x:v>PASS</x:v>
      </x:c>
      <x:c r="J18" s="16" t="str">
        <x:v>B00_SMARTBI_FIELD_AUDIT_20260825.md</x:v>
      </x:c>
      <x:c r="K18" s="16" t="str">
        <x:v>B已复核；未做数据值查询</x:v>
      </x:c>
    </x:row>
    <x:row r="19" ht="15" hidden="0" customHeight="1">
      <x:c r="A19" s="16" t="n">
        <x:v>14</x:v>
      </x:c>
      <x:c r="B19" s="16" t="str">
        <x:v>DB05</x:v>
      </x:c>
      <x:c r="C19" s="16" t="str">
        <x:v>source_registry</x:v>
      </x:c>
      <x:c r="D19" s="16" t="str">
        <x:v>publisher</x:v>
      </x:c>
      <x:c r="E19" s="16" t="str">
        <x:v>发布方</x:v>
      </x:c>
      <x:c r="F19" s="16" t="str">
        <x:v>OFFLINE_PASS</x:v>
      </x:c>
      <x:c r="G19" s="16" t="str">
        <x:v>是</x:v>
      </x:c>
      <x:c r="H19" s="16" t="str">
        <x:v>不适用（共用账号）</x:v>
      </x:c>
      <x:c r="I19" s="21" t="str">
        <x:f>IF(AND(F19="OFFLINE_PASS",G19="是"),"PASS","FAIL")</x:f>
        <x:v>PASS</x:v>
      </x:c>
      <x:c r="J19" s="16" t="str">
        <x:v>B00_SMARTBI_FIELD_AUDIT_20260825.md</x:v>
      </x:c>
      <x:c r="K19" s="16" t="str">
        <x:v>B已复核；未做数据值查询</x:v>
      </x:c>
    </x:row>
    <x:row r="20" ht="15" hidden="0" customHeight="1">
      <x:c r="A20" s="16" t="n">
        <x:v>15</x:v>
      </x:c>
      <x:c r="B20" s="16" t="str">
        <x:v>DB05</x:v>
      </x:c>
      <x:c r="C20" s="16" t="str">
        <x:v>source_registry</x:v>
      </x:c>
      <x:c r="D20" s="16" t="str">
        <x:v>dataset_name</x:v>
      </x:c>
      <x:c r="E20" s="16" t="str">
        <x:v>数据集</x:v>
      </x:c>
      <x:c r="F20" s="16" t="str">
        <x:v>OFFLINE_PASS</x:v>
      </x:c>
      <x:c r="G20" s="16" t="str">
        <x:v>是</x:v>
      </x:c>
      <x:c r="H20" s="16" t="str">
        <x:v>不适用（共用账号）</x:v>
      </x:c>
      <x:c r="I20" s="21" t="str">
        <x:f>IF(AND(F20="OFFLINE_PASS",G20="是"),"PASS","FAIL")</x:f>
        <x:v>PASS</x:v>
      </x:c>
      <x:c r="J20" s="16" t="str">
        <x:v>B00_SMARTBI_FIELD_AUDIT_20260825.md</x:v>
      </x:c>
      <x:c r="K20" s="16" t="str">
        <x:v>B已复核；未做数据值查询</x:v>
      </x:c>
    </x:row>
    <x:row r="21" ht="15" hidden="0" customHeight="1">
      <x:c r="A21" s="16" t="n">
        <x:v>16</x:v>
      </x:c>
      <x:c r="B21" s="16" t="str">
        <x:v>DB05</x:v>
      </x:c>
      <x:c r="C21" s="16" t="str">
        <x:v>source_registry</x:v>
      </x:c>
      <x:c r="D21" s="16" t="str">
        <x:v>license</x:v>
      </x:c>
      <x:c r="E21" s="16" t="str">
        <x:v>许可</x:v>
      </x:c>
      <x:c r="F21" s="16" t="str">
        <x:v>OFFLINE_PASS</x:v>
      </x:c>
      <x:c r="G21" s="16" t="str">
        <x:v>是</x:v>
      </x:c>
      <x:c r="H21" s="16" t="str">
        <x:v>不适用（共用账号）</x:v>
      </x:c>
      <x:c r="I21" s="21" t="str">
        <x:f>IF(AND(F21="OFFLINE_PASS",G21="是"),"PASS","FAIL")</x:f>
        <x:v>PASS</x:v>
      </x:c>
      <x:c r="J21" s="16" t="str">
        <x:v>B00_SMARTBI_FIELD_AUDIT_20260825.md</x:v>
      </x:c>
      <x:c r="K21" s="16" t="str">
        <x:v>B已复核；未做数据值查询</x:v>
      </x:c>
    </x:row>
    <x:row r="22" ht="15" hidden="0" customHeight="1">
      <x:c r="A22" s="16" t="n">
        <x:v>17</x:v>
      </x:c>
      <x:c r="B22" s="16" t="str">
        <x:v>DB05</x:v>
      </x:c>
      <x:c r="C22" s="16" t="str">
        <x:v>source_registry</x:v>
      </x:c>
      <x:c r="D22" s="16" t="str">
        <x:v>sha256</x:v>
      </x:c>
      <x:c r="E22" s="16" t="str">
        <x:v>哈希</x:v>
      </x:c>
      <x:c r="F22" s="16" t="str">
        <x:v>OFFLINE_PASS</x:v>
      </x:c>
      <x:c r="G22" s="16" t="str">
        <x:v>是</x:v>
      </x:c>
      <x:c r="H22" s="16" t="str">
        <x:v>不适用（共用账号）</x:v>
      </x:c>
      <x:c r="I22" s="21" t="str">
        <x:f>IF(AND(F22="OFFLINE_PASS",G22="是"),"PASS","FAIL")</x:f>
        <x:v>PASS</x:v>
      </x:c>
      <x:c r="J22" s="16" t="str">
        <x:v>B00_SMARTBI_FIELD_AUDIT_20260825.md</x:v>
      </x:c>
      <x:c r="K22" s="16" t="str">
        <x:v>B已复核；未做数据值查询</x:v>
      </x:c>
    </x:row>
    <x:row r="23" ht="15" hidden="0" customHeight="1">
      <x:c r="A23" s="16" t="n">
        <x:v>18</x:v>
      </x:c>
      <x:c r="B23" s="16" t="str">
        <x:v>DB06</x:v>
      </x:c>
      <x:c r="C23" s="16" t="str">
        <x:v>global_cycle_month</x:v>
      </x:c>
      <x:c r="D23" s="16" t="str">
        <x:v>equity_drawdown</x:v>
      </x:c>
      <x:c r="E23" s="16" t="str">
        <x:v>股市回撤</x:v>
      </x:c>
      <x:c r="F23" s="16" t="str">
        <x:v>OFFLINE_PASS</x:v>
      </x:c>
      <x:c r="G23" s="16" t="str">
        <x:v>是</x:v>
      </x:c>
      <x:c r="H23" s="16" t="str">
        <x:v>不适用（共用账号）</x:v>
      </x:c>
      <x:c r="I23" s="21" t="str">
        <x:f>IF(AND(F23="OFFLINE_PASS",G23="是"),"PASS","FAIL")</x:f>
        <x:v>PASS</x:v>
      </x:c>
      <x:c r="J23" s="16" t="str">
        <x:v>B00_SMARTBI_FIELD_AUDIT_20260825.md</x:v>
      </x:c>
      <x:c r="K23" s="16" t="str">
        <x:v>B已复核；未做数据值查询</x:v>
      </x:c>
    </x:row>
    <x:row r="24" ht="15" hidden="0" customHeight="1">
      <x:c r="A24" s="16" t="n">
        <x:v>19</x:v>
      </x:c>
      <x:c r="B24" s="16" t="str">
        <x:v>DB06</x:v>
      </x:c>
      <x:c r="C24" s="16" t="str">
        <x:v>MVP_cycle_state</x:v>
      </x:c>
      <x:c r="D24" s="16" t="str">
        <x:v>primary_state</x:v>
      </x:c>
      <x:c r="E24" s="16" t="str">
        <x:v>周期主状态</x:v>
      </x:c>
      <x:c r="F24" s="16" t="str">
        <x:v>OFFLINE_PASS</x:v>
      </x:c>
      <x:c r="G24" s="16" t="str">
        <x:v>是</x:v>
      </x:c>
      <x:c r="H24" s="16" t="str">
        <x:v>不适用（共用账号）</x:v>
      </x:c>
      <x:c r="I24" s="21" t="str">
        <x:f>IF(AND(F24="OFFLINE_PASS",G24="是"),"PASS","FAIL")</x:f>
        <x:v>PASS</x:v>
      </x:c>
      <x:c r="J24" s="16" t="str">
        <x:v>B00_SMARTBI_FIELD_AUDIT_20260825.md</x:v>
      </x:c>
      <x:c r="K24" s="16" t="str">
        <x:v>B已复核；未做数据值查询</x:v>
      </x:c>
    </x:row>
    <x:row r="25" ht="15" hidden="0" customHeight="1">
      <x:c r="A25" s="16" t="n">
        <x:v>20</x:v>
      </x:c>
      <x:c r="B25" s="16" t="str">
        <x:v>DB06</x:v>
      </x:c>
      <x:c r="C25" s="16" t="str">
        <x:v>MVP_cycle_state</x:v>
      </x:c>
      <x:c r="D25" s="16" t="str">
        <x:v>labels</x:v>
      </x:c>
      <x:c r="E25" s="16" t="str">
        <x:v>并行标签</x:v>
      </x:c>
      <x:c r="F25" s="16" t="str">
        <x:v>OFFLINE_PASS</x:v>
      </x:c>
      <x:c r="G25" s="16" t="str">
        <x:v>是</x:v>
      </x:c>
      <x:c r="H25" s="16" t="str">
        <x:v>不适用（共用账号）</x:v>
      </x:c>
      <x:c r="I25" s="21" t="str">
        <x:f>IF(AND(F25="OFFLINE_PASS",G25="是"),"PASS","FAIL")</x:f>
        <x:v>PASS</x:v>
      </x:c>
      <x:c r="J25" s="16" t="str">
        <x:v>B00_SMARTBI_FIELD_AUDIT_20260825.md</x:v>
      </x:c>
      <x:c r="K25" s="16" t="str">
        <x:v>B已复核；未做数据值查询</x:v>
      </x:c>
    </x:row>
    <x:row r="26" ht="15" hidden="0" customHeight="1">
      <x:c r="A26" s="16" t="n">
        <x:v>21</x:v>
      </x:c>
      <x:c r="B26" s="16" t="str">
        <x:v>DB06</x:v>
      </x:c>
      <x:c r="C26" s="16" t="str">
        <x:v>historical_crisis_event</x:v>
      </x:c>
      <x:c r="D26" s="16" t="str">
        <x:v>start_date</x:v>
      </x:c>
      <x:c r="E26" s="16" t="str">
        <x:v>1970异常边界</x:v>
      </x:c>
      <x:c r="F26" s="16" t="str">
        <x:v>OFFLINE_PASS</x:v>
      </x:c>
      <x:c r="G26" s="16" t="str">
        <x:v>是</x:v>
      </x:c>
      <x:c r="H26" s="16" t="str">
        <x:v>不适用（共用账号）</x:v>
      </x:c>
      <x:c r="I26" s="21" t="str">
        <x:f>IF(AND(F26="OFFLINE_PASS",G26="是"),"PASS","FAIL")</x:f>
        <x:v>PASS</x:v>
      </x:c>
      <x:c r="J26" s="16" t="str">
        <x:v>B00_SMARTBI_FIELD_AUDIT_20260825.md</x:v>
      </x:c>
      <x:c r="K26" s="16" t="str">
        <x:v>B已复核；未做数据值查询</x:v>
      </x:c>
    </x:row>
    <x:row r="27" ht="15" hidden="0" customHeight="1">
      <x:c r="A27" s="16" t="n">
        <x:v>22</x:v>
      </x:c>
      <x:c r="B27" s="16" t="str">
        <x:v>DB06</x:v>
      </x:c>
      <x:c r="C27" s="16" t="str">
        <x:v>historical_crisis_event</x:v>
      </x:c>
      <x:c r="D27" s="16" t="str">
        <x:v>review_status</x:v>
      </x:c>
      <x:c r="E27" s="16" t="str">
        <x:v>pending状态</x:v>
      </x:c>
      <x:c r="F27" s="16" t="str">
        <x:v>OFFLINE_PASS</x:v>
      </x:c>
      <x:c r="G27" s="16" t="str">
        <x:v>是</x:v>
      </x:c>
      <x:c r="H27" s="16" t="str">
        <x:v>不适用（共用账号）</x:v>
      </x:c>
      <x:c r="I27" s="21" t="str">
        <x:f>IF(AND(F27="OFFLINE_PASS",G27="是"),"PASS","FAIL")</x:f>
        <x:v>PASS</x:v>
      </x:c>
      <x:c r="J27" s="16" t="str">
        <x:v>B00_SMARTBI_FIELD_AUDIT_20260825.md</x:v>
      </x:c>
      <x:c r="K27" s="16" t="str">
        <x:v>B已复核；未做数据值查询</x:v>
      </x:c>
    </x:row>
    <x:row r="28" ht="15" hidden="0" customHeight="1">
      <x:c r="A28" s="16" t="n">
        <x:v>23</x:v>
      </x:c>
      <x:c r="B28" s="16" t="str">
        <x:v>DB06</x:v>
      </x:c>
      <x:c r="C28" s="16" t="str">
        <x:v>historical_crisis_event</x:v>
      </x:c>
      <x:c r="D28" s="16" t="str">
        <x:v>modern_backtest_allowed</x:v>
      </x:c>
      <x:c r="E28" s="16" t="str">
        <x:v>HIST001/002/018为0</x:v>
      </x:c>
      <x:c r="F28" s="16" t="str">
        <x:v>OFFLINE_PASS</x:v>
      </x:c>
      <x:c r="G28" s="16" t="str">
        <x:v>是</x:v>
      </x:c>
      <x:c r="H28" s="16" t="str">
        <x:v>不适用（共用账号）</x:v>
      </x:c>
      <x:c r="I28" s="21" t="str">
        <x:f>IF(AND(F28="OFFLINE_PASS",G28="是"),"PASS","FAIL")</x:f>
        <x:v>PASS</x:v>
      </x:c>
      <x:c r="J28" s="16" t="str">
        <x:v>B00_SMARTBI_FIELD_AUDIT_20260825.md</x:v>
      </x:c>
      <x:c r="K28" s="16" t="str">
        <x:v>B已复核；未做数据值查询</x:v>
      </x:c>
    </x:row>
    <x:row r="29" ht="15" hidden="0" customHeight="1">
      <x:c r="A29" s="16" t="n">
        <x:v>24</x:v>
      </x:c>
      <x:c r="B29" s="16" t="str">
        <x:v>DB06</x:v>
      </x:c>
      <x:c r="C29" s="16" t="str">
        <x:v>portfolio_scenario</x:v>
      </x:c>
      <x:c r="D29" s="16" t="str">
        <x:v>max_drawdown</x:v>
      </x:c>
      <x:c r="E29" s="16" t="str">
        <x:v>最大回撤</x:v>
      </x:c>
      <x:c r="F29" s="16" t="str">
        <x:v>OFFLINE_PASS</x:v>
      </x:c>
      <x:c r="G29" s="16" t="str">
        <x:v>是</x:v>
      </x:c>
      <x:c r="H29" s="16" t="str">
        <x:v>不适用（共用账号）</x:v>
      </x:c>
      <x:c r="I29" s="21" t="str">
        <x:f>IF(AND(F29="OFFLINE_PASS",G29="是"),"PASS","FAIL")</x:f>
        <x:v>PASS</x:v>
      </x:c>
      <x:c r="J29" s="16" t="str">
        <x:v>B00_SMARTBI_FIELD_AUDIT_20260825.md</x:v>
      </x:c>
      <x:c r="K29" s="16" t="str">
        <x:v>B已复核；未做数据值查询</x:v>
      </x:c>
    </x:row>
    <x:row r="30" ht="15" hidden="0" customHeight="1">
      <x:c r="A30" s="16" t="n">
        <x:v>25</x:v>
      </x:c>
      <x:c r="B30" s="16" t="str">
        <x:v>DB06</x:v>
      </x:c>
      <x:c r="C30" s="16" t="str">
        <x:v>portfolio_scenario</x:v>
      </x:c>
      <x:c r="D30" s="16" t="str">
        <x:v>cvar_95</x:v>
      </x:c>
      <x:c r="E30" s="16" t="str">
        <x:v>CVaR</x:v>
      </x:c>
      <x:c r="F30" s="16" t="str">
        <x:v>OFFLINE_PASS</x:v>
      </x:c>
      <x:c r="G30" s="16" t="str">
        <x:v>是</x:v>
      </x:c>
      <x:c r="H30" s="16" t="str">
        <x:v>不适用（共用账号）</x:v>
      </x:c>
      <x:c r="I30" s="21" t="str">
        <x:f>IF(AND(F30="OFFLINE_PASS",G30="是"),"PASS","FAIL")</x:f>
        <x:v>PASS</x:v>
      </x:c>
      <x:c r="J30" s="16" t="str">
        <x:v>B00_SMARTBI_FIELD_AUDIT_20260825.md</x:v>
      </x:c>
      <x:c r="K30" s="16" t="str">
        <x:v>B已复核；未做数据值查询</x:v>
      </x:c>
    </x:row>
    <x:row r="31" ht="15" hidden="0" customHeight="1">
      <x:c r="A31" s="16" t="n">
        <x:v>26</x:v>
      </x:c>
      <x:c r="B31" s="16" t="str">
        <x:v>DB06</x:v>
      </x:c>
      <x:c r="C31" s="16" t="str">
        <x:v>portfolio_scenario</x:v>
      </x:c>
      <x:c r="D31" s="16" t="str">
        <x:v>cost_total</x:v>
      </x:c>
      <x:c r="E31" s="16" t="str">
        <x:v>成本</x:v>
      </x:c>
      <x:c r="F31" s="16" t="str">
        <x:v>OFFLINE_PASS</x:v>
      </x:c>
      <x:c r="G31" s="16" t="str">
        <x:v>是</x:v>
      </x:c>
      <x:c r="H31" s="16" t="str">
        <x:v>不适用（共用账号）</x:v>
      </x:c>
      <x:c r="I31" s="21" t="str">
        <x:f>IF(AND(F31="OFFLINE_PASS",G31="是"),"PASS","FAIL")</x:f>
        <x:v>PASS</x:v>
      </x:c>
      <x:c r="J31" s="16" t="str">
        <x:v>B00_SMARTBI_FIELD_AUDIT_20260825.md</x:v>
      </x:c>
      <x:c r="K31" s="16" t="str">
        <x:v>B已复核；未做数据值查询</x:v>
      </x:c>
    </x:row>
    <x:row r="32" ht="15" hidden="0" customHeight="1">
      <x:c r="A32" s="16" t="n">
        <x:v>27</x:v>
      </x:c>
      <x:c r="B32" s="16" t="str">
        <x:v>DB06</x:v>
      </x:c>
      <x:c r="C32" s="16" t="str">
        <x:v>portfolio_scenario</x:v>
      </x:c>
      <x:c r="D32" s="16" t="str">
        <x:v>gold_weight</x:v>
      </x:c>
      <x:c r="E32" s="16" t="str">
        <x:v>0%-20%风险缓冲</x:v>
      </x:c>
      <x:c r="F32" s="16" t="str">
        <x:v>OFFLINE_PASS</x:v>
      </x:c>
      <x:c r="G32" s="16" t="str">
        <x:v>是</x:v>
      </x:c>
      <x:c r="H32" s="16" t="str">
        <x:v>不适用（共用账号）</x:v>
      </x:c>
      <x:c r="I32" s="21" t="str">
        <x:f>IF(AND(F32="OFFLINE_PASS",G32="是"),"PASS","FAIL")</x:f>
        <x:v>PASS</x:v>
      </x:c>
      <x:c r="J32" s="16" t="str">
        <x:v>B00_SMARTBI_FIELD_AUDIT_20260825.md</x:v>
      </x:c>
      <x:c r="K32" s="16" t="str">
        <x:v>B已复核；未做数据值查询</x:v>
      </x:c>
    </x:row>
    <x:row r="33"/>
    <x:row r="34" ht="15" hidden="0" customHeight="1">
      <x:c r="A34" s="15" t="str">
        <x:v>汇总</x:v>
      </x:c>
      <x:c r="B34" s="15" t="str">
        <x:v>数值</x:v>
      </x:c>
    </x:row>
    <x:row r="35" ht="15" hidden="0" customHeight="1">
      <x:c r="A35" s="17" t="str">
        <x:v>PASS</x:v>
      </x:c>
      <x:c r="B35" s="17" t="n">
        <x:f>COUNTIF(I6:I32,"PASS")</x:f>
        <x:v>27</x:v>
      </x:c>
    </x:row>
    <x:row r="36" ht="15" hidden="0" customHeight="1">
      <x:c r="A36" s="17" t="str">
        <x:v>FAIL</x:v>
      </x:c>
      <x:c r="B36" s="17" t="n">
        <x:f>COUNTIF(I6:I32,"FAIL")</x:f>
        <x:v>0</x:v>
      </x:c>
    </x:row>
    <x:row r="37" ht="15" hidden="0" customHeight="1">
      <x:c r="A37" s="17" t="str">
        <x:v>BLOCKED</x:v>
      </x:c>
      <x:c r="B37" s="17" t="n">
        <x:f>COUNTIF(I6:I32,"BLOCKED")</x:f>
        <x:v>0</x:v>
      </x:c>
    </x:row>
    <x:row r="38" ht="15" hidden="0" customHeight="1">
      <x:c r="A38" s="17" t="str">
        <x:v>字段可见性状态</x:v>
      </x:c>
      <x:c r="B38" s="17" t="str">
        <x:f>IF(B36&gt;0,"FAIL",IF(B37&gt;0,"BLOCKED","PASS"))</x:f>
        <x:v>PASS</x:v>
      </x:c>
    </x:row>
  </x:sheetData>
  <x:mergeCells>
    <x:mergeCell ref="A1:K1"/>
    <x:mergeCell ref="A2:K2"/>
    <x:mergeCell ref="A3:K3"/>
  </x:mergeCells>
  <x:conditionalFormatting sqref="I6:I32">
    <x:cfRule type="containsText" dxfId="0" priority="1" operator="containsText" text="PASS"/>
    <x:cfRule type="containsText" dxfId="1" priority="2" operator="containsText" text="BLOCKED"/>
    <x:cfRule type="containsText" dxfId="2" priority="3" operator="containsText" text="FAIL"/>
  </x:conditionalFormatting>
  <x:conditionalFormatting sqref="B38:B38">
    <x:cfRule type="containsText" dxfId="3" priority="4" operator="containsText" text="PASS"/>
    <x:cfRule type="containsText" dxfId="4" priority="5" operator="containsText" text="BLOCKED"/>
    <x:cfRule type="containsText" dxfId="5" priority="6" operator="containsText" text="FAIL"/>
  </x:conditionalFormatting>
  <x:dataValidations count="2">
    <x:dataValidation type="list" sqref="G6:G32">
      <x:formula1>"待人工,是,否"</x:formula1>
    </x:dataValidation>
    <x:dataValidation type="list" sqref="H6:H32">
      <x:formula1>"同账号无法隔离,是,否"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0a04336e774d88"/>
  </x:tableParts>
</x:worksheet>
</file>