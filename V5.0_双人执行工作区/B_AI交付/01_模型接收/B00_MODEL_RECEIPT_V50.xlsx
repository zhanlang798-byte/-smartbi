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0c007ca2f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接收" sheetId="1" r:id="R305c61cc1fbb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sz val="11"/>
      <x:color rgb="FF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EF3C7"/>
      </x:patternFill>
    </x:fill>
    <x:fill>
      <x:patternFill patternType="solid">
        <x:fgColor rgb="FFF5F7FA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b820881654443" /><Relationship Type="http://schemas.openxmlformats.org/officeDocument/2006/relationships/theme" Target="/xl/theme/theme1.xml" Id="Rccf288cb75264460" /><Relationship Type="http://schemas.openxmlformats.org/officeDocument/2006/relationships/sharedStrings" Target="/xl/sharedStrings.xml" Id="R5d1ada24472c4009" /><Relationship Type="http://schemas.openxmlformats.org/officeDocument/2006/relationships/worksheet" Target="/xl/worksheets/sheet1.xml" Id="R305c61cc1fbb47d3" /></Relationships>
</file>

<file path=xl/tables/table1.xml><?xml version="1.0" encoding="utf-8"?>
<x:table xmlns:x="http://schemas.openxmlformats.org/spreadsheetml/2006/main" id="1" name="B00ReceiptTable" displayName="B00ReceiptTable" ref="A5:F28" headerRowCount="1" totalsRowCount="0" totalsRowShown="0">
  <x:tableColumns count="6">
    <x:tableColumn id="1" name="序号"/>
    <x:tableColumn id="2" name="检查项"/>
    <x:tableColumn id="3" name="判定"/>
    <x:tableColumn id="4" name="说明/真实读数"/>
    <x:tableColumn id="5" name="证据路径"/>
    <x:tableColumn id="6" name="下一动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0a037fcde64a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2" hidden="0" customWidth="1"/>
    <x:col min="4" max="4" width="34" hidden="0" customWidth="1"/>
    <x:col min="5" max="5" width="48" hidden="0" customWidth="1"/>
    <x:col min="6" max="6" width="36" hidden="0" customWidth="1"/>
  </x:cols>
  <x:sheetData>
    <x:row r="1" ht="30" customHeight="1">
      <x:c r="A1" s="4" t="str">
        <x:v>B00 模型接收与预验收记录 V5.0</x:v>
      </x:c>
      <x:c r="B1" s="4"/>
      <x:c r="C1" s="4"/>
      <x:c r="D1" s="4"/>
      <x:c r="E1" s="4"/>
      <x:c r="F1" s="4"/>
    </x:row>
    <x:row r="2">
      <x:c r="A2" s="20" t="str">
        <x:v>自动核对：PASS 23/23｜B已审核当前记录｜G2仍BLOCKED：待A03补证、正式批准、冻结及A/B最终签收</x:v>
      </x:c>
      <x:c r="B2" s="20"/>
      <x:c r="C2" s="20"/>
      <x:c r="D2" s="20"/>
      <x:c r="E2" s="20"/>
      <x:c r="F2" s="20"/>
    </x:row>
    <x:row r="3">
      <x:c r="A3" s="9" t="str">
        <x:v>更新时间：2026-08-25｜A/B共用账号为既定前提；字段树27/27可见；未修改A区或Smartbi模型</x:v>
      </x:c>
      <x:c r="B3" s="9"/>
      <x:c r="C3" s="9"/>
      <x:c r="D3" s="9"/>
      <x:c r="E3" s="9"/>
      <x:c r="F3" s="9"/>
    </x:row>
    <x:row r="5" ht="15" hidden="0" customHeight="1">
      <x:c r="A5" s="15" t="str">
        <x:v>序号</x:v>
      </x:c>
      <x:c r="B5" s="15" t="str">
        <x:v>检查项</x:v>
      </x:c>
      <x:c r="C5" s="15" t="str">
        <x:v>判定</x:v>
      </x:c>
      <x:c r="D5" s="15" t="str">
        <x:v>说明/真实读数</x:v>
      </x:c>
      <x:c r="E5" s="15" t="str">
        <x:v>证据路径</x:v>
      </x:c>
      <x:c r="F5" s="15" t="str">
        <x:v>下一动作</x:v>
      </x:c>
    </x:row>
    <x:row r="6" ht="26.399999618530273" hidden="0" customHeight="1">
      <x:c r="A6" s="16" t="n">
        <x:v>1</x:v>
      </x:c>
      <x:c r="B6" s="16" t="str">
        <x:v>交接包目录存在</x:v>
      </x:c>
      <x:c r="C6" s="16" t="str">
        <x:v>PASS</x:v>
      </x:c>
      <x:c r="D6" s="16" t="str">
        <x:v>D:\pre-code\smartbi\-smartbi\V5.0_双人执行工作区\00_共享\模型交接</x:v>
      </x:c>
      <x:c r="E6" s="16" t="str">
        <x:v>B_AI交付/05_工具脚本/b00_out/B00_RECEIPT_CHECK_20260825.md</x:v>
      </x:c>
      <x:c r="F6" s="16" t="str">
        <x:v>保持只读证据</x:v>
      </x:c>
    </x:row>
    <x:row r="7" ht="15" hidden="0" customHeight="1">
      <x:c r="A7" s="16" t="n">
        <x:v>2</x:v>
      </x:c>
      <x:c r="B7" s="16" t="str">
        <x:v>材料 MODEL_HANDOFF_V50.txt</x:v>
      </x:c>
      <x:c r="C7" s="16" t="str">
        <x:v>PASS</x:v>
      </x:c>
      <x:c r="D7" s="16" t="str">
        <x:v>在</x:v>
      </x:c>
      <x:c r="E7" s="16" t="str">
        <x:v>00_共享/模型交接/MODEL_HANDOFF_V50.txt</x:v>
      </x:c>
      <x:c r="F7" s="16" t="str">
        <x:v>保持只读证据</x:v>
      </x:c>
    </x:row>
    <x:row r="8" ht="15" hidden="0" customHeight="1">
      <x:c r="A8" s="16" t="n">
        <x:v>3</x:v>
      </x:c>
      <x:c r="B8" s="16" t="str">
        <x:v>材料 TABLE_CONTRACT_V50.xlsx</x:v>
      </x:c>
      <x:c r="C8" s="16" t="str">
        <x:v>PASS</x:v>
      </x:c>
      <x:c r="D8" s="16" t="str">
        <x:v>在</x:v>
      </x:c>
      <x:c r="E8" s="16" t="str">
        <x:v>00_共享/模型交接/TABLE_CONTRACT_V50.xlsx</x:v>
      </x:c>
      <x:c r="F8" s="16" t="str">
        <x:v>保持只读证据</x:v>
      </x:c>
    </x:row>
    <x:row r="9" ht="15" hidden="0" customHeight="1">
      <x:c r="A9" s="16" t="n">
        <x:v>4</x:v>
      </x:c>
      <x:c r="B9" s="16" t="str">
        <x:v>材料 FIELD_DICTIONARY_V50.xlsx</x:v>
      </x:c>
      <x:c r="C9" s="16" t="str">
        <x:v>PASS</x:v>
      </x:c>
      <x:c r="D9" s="16" t="str">
        <x:v>在</x:v>
      </x:c>
      <x:c r="E9" s="16" t="str">
        <x:v>00_共享/模型交接/FIELD_DICTIONARY_V50.xlsx</x:v>
      </x:c>
      <x:c r="F9" s="16" t="str">
        <x:v>保持只读证据</x:v>
      </x:c>
    </x:row>
    <x:row r="10" ht="15" hidden="0" customHeight="1">
      <x:c r="A10" s="16" t="n">
        <x:v>5</x:v>
      </x:c>
      <x:c r="B10" s="16" t="str">
        <x:v>材料 RELATIONSHIP_MAP_V50.xlsx</x:v>
      </x:c>
      <x:c r="C10" s="16" t="str">
        <x:v>PASS</x:v>
      </x:c>
      <x:c r="D10" s="16" t="str">
        <x:v>在</x:v>
      </x:c>
      <x:c r="E10" s="16" t="str">
        <x:v>00_共享/模型交接/RELATIONSHIP_MAP_V50.xlsx</x:v>
      </x:c>
      <x:c r="F10" s="16" t="str">
        <x:v>保持只读证据</x:v>
      </x:c>
    </x:row>
    <x:row r="11" ht="15" hidden="0" customHeight="1">
      <x:c r="A11" s="16" t="n">
        <x:v>6</x:v>
      </x:c>
      <x:c r="B11" s="16" t="str">
        <x:v>材料 RELATIONSHIP_AUDIT_V50.xlsx</x:v>
      </x:c>
      <x:c r="C11" s="16" t="str">
        <x:v>PASS</x:v>
      </x:c>
      <x:c r="D11" s="16" t="str">
        <x:v>在</x:v>
      </x:c>
      <x:c r="E11" s="16" t="str">
        <x:v>00_共享/模型交接/RELATIONSHIP_AUDIT_V50.xlsx</x:v>
      </x:c>
      <x:c r="F11" s="16" t="str">
        <x:v>保持只读证据</x:v>
      </x:c>
    </x:row>
    <x:row r="12" ht="15" hidden="0" customHeight="1">
      <x:c r="A12" s="16" t="n">
        <x:v>7</x:v>
      </x:c>
      <x:c r="B12" s="16" t="str">
        <x:v>材料 METRIC_DICTIONARY_V50.xlsx</x:v>
      </x:c>
      <x:c r="C12" s="16" t="str">
        <x:v>PASS</x:v>
      </x:c>
      <x:c r="D12" s="16" t="str">
        <x:v>在</x:v>
      </x:c>
      <x:c r="E12" s="16" t="str">
        <x:v>00_共享/模型交接/METRIC_DICTIONARY_V50.xlsx</x:v>
      </x:c>
      <x:c r="F12" s="16" t="str">
        <x:v>保持只读证据</x:v>
      </x:c>
    </x:row>
    <x:row r="13" ht="15" hidden="0" customHeight="1">
      <x:c r="A13" s="16" t="n">
        <x:v>8</x:v>
      </x:c>
      <x:c r="B13" s="16" t="str">
        <x:v>材料 KNOWN_GAPS_V50.txt</x:v>
      </x:c>
      <x:c r="C13" s="16" t="str">
        <x:v>PASS</x:v>
      </x:c>
      <x:c r="D13" s="16" t="str">
        <x:v>在</x:v>
      </x:c>
      <x:c r="E13" s="16" t="str">
        <x:v>00_共享/模型交接/KNOWN_GAPS_V50.txt</x:v>
      </x:c>
      <x:c r="F13" s="16" t="str">
        <x:v>保持只读证据</x:v>
      </x:c>
    </x:row>
    <x:row r="14" ht="15" hidden="0" customHeight="1">
      <x:c r="A14" s="16" t="n">
        <x:v>9</x:v>
      </x:c>
      <x:c r="B14" s="16" t="str">
        <x:v>材料 MODEL_CHANGELOG_V50.txt</x:v>
      </x:c>
      <x:c r="C14" s="16" t="str">
        <x:v>PASS</x:v>
      </x:c>
      <x:c r="D14" s="16" t="str">
        <x:v>在</x:v>
      </x:c>
      <x:c r="E14" s="16" t="str">
        <x:v>00_共享/模型交接/MODEL_CHANGELOG_V50.txt</x:v>
      </x:c>
      <x:c r="F14" s="16" t="str">
        <x:v>保持只读证据</x:v>
      </x:c>
    </x:row>
    <x:row r="15" ht="26.399999618530273" hidden="0" customHeight="1">
      <x:c r="A15" s="16" t="n">
        <x:v>10</x:v>
      </x:c>
      <x:c r="B15" s="16" t="str">
        <x:v>共用账号口径与27字段核对记录</x:v>
      </x:c>
      <x:c r="C15" s="19" t="str">
        <x:v>PASS</x:v>
      </x:c>
      <x:c r="D15" s="16" t="str">
        <x:v>A/B共用账号为既定前提；字段树27/27可见；B已审核（2026-08-25）</x:v>
      </x:c>
      <x:c r="E15" s="16" t="str">
        <x:v>B_AI交付/01_模型接收/B00_SMARTBI_FIELD_AUDIT_20260825.md</x:v>
      </x:c>
      <x:c r="F15" s="16" t="str">
        <x:v>B已复核；不作为G2自动签收</x:v>
      </x:c>
    </x:row>
    <x:row r="16" ht="26.399999618530273" hidden="0" customHeight="1">
      <x:c r="A16" s="16" t="n">
        <x:v>11</x:v>
      </x:c>
      <x:c r="B16" s="16" t="str">
        <x:v>表合同行数合计=313,593</x:v>
      </x:c>
      <x:c r="C16" s="16" t="str">
        <x:v>PASS</x:v>
      </x:c>
      <x:c r="D16" s="16" t="str">
        <x:v>实算 313,593</x:v>
      </x:c>
      <x:c r="E16" s="16" t="str">
        <x:v>B_AI交付/05_工具脚本/b00_out/B00_RECEIPT_CHECK_20260825.md</x:v>
      </x:c>
      <x:c r="F16" s="16" t="str">
        <x:v>保持只读证据</x:v>
      </x:c>
    </x:row>
    <x:row r="17" ht="26.399999618530273" hidden="0" customHeight="1">
      <x:c r="A17" s="16" t="n">
        <x:v>12</x:v>
      </x:c>
      <x:c r="B17" s="16" t="str">
        <x:v>表合同正式表数=18</x:v>
      </x:c>
      <x:c r="C17" s="16" t="str">
        <x:v>PASS</x:v>
      </x:c>
      <x:c r="D17" s="16" t="str">
        <x:v>实有 18</x:v>
      </x:c>
      <x:c r="E17" s="16" t="str">
        <x:v>B_AI交付/05_工具脚本/b00_out/B00_RECEIPT_CHECK_20260825.md</x:v>
      </x:c>
      <x:c r="F17" s="16" t="str">
        <x:v>保持只读证据</x:v>
      </x:c>
    </x:row>
    <x:row r="18" ht="26.399999618530273" hidden="0" customHeight="1">
      <x:c r="A18" s="16" t="n">
        <x:v>13</x:v>
      </x:c>
      <x:c r="B18" s="16" t="str">
        <x:v>表合同总表数=21（18+3）</x:v>
      </x:c>
      <x:c r="C18" s="16" t="str">
        <x:v>PASS</x:v>
      </x:c>
      <x:c r="D18" s="16" t="str">
        <x:v>实有 21</x:v>
      </x:c>
      <x:c r="E18" s="16" t="str">
        <x:v>B_AI交付/05_工具脚本/b00_out/B00_RECEIPT_CHECK_20260825.md</x:v>
      </x:c>
      <x:c r="F18" s="16" t="str">
        <x:v>保持只读证据</x:v>
      </x:c>
    </x:row>
    <x:row r="19" ht="26.399999618530273" hidden="0" customHeight="1">
      <x:c r="A19" s="16" t="n">
        <x:v>14</x:v>
      </x:c>
      <x:c r="B19" s="16" t="str">
        <x:v>辅助表 MVP_country_latest=40行</x:v>
      </x:c>
      <x:c r="C19" s="16" t="str">
        <x:v>PASS</x:v>
      </x:c>
      <x:c r="D19" s="16" t="str">
        <x:v>—</x:v>
      </x:c>
      <x:c r="E19" s="16" t="str">
        <x:v>B_AI交付/05_工具脚本/b00_out/B00_RECEIPT_CHECK_20260825.md</x:v>
      </x:c>
      <x:c r="F19" s="16" t="str">
        <x:v>保持只读证据</x:v>
      </x:c>
    </x:row>
    <x:row r="20" ht="26.399999618530273" hidden="0" customHeight="1">
      <x:c r="A20" s="16" t="n">
        <x:v>15</x:v>
      </x:c>
      <x:c r="B20" s="16" t="str">
        <x:v>辅助表 MVP_company_data_status=20行</x:v>
      </x:c>
      <x:c r="C20" s="16" t="str">
        <x:v>PASS</x:v>
      </x:c>
      <x:c r="D20" s="16" t="str">
        <x:v>—</x:v>
      </x:c>
      <x:c r="E20" s="16" t="str">
        <x:v>B_AI交付/05_工具脚本/b00_out/B00_RECEIPT_CHECK_20260825.md</x:v>
      </x:c>
      <x:c r="F20" s="16" t="str">
        <x:v>保持只读证据</x:v>
      </x:c>
    </x:row>
    <x:row r="21" ht="26.399999618530273" hidden="0" customHeight="1">
      <x:c r="A21" s="16" t="n">
        <x:v>16</x:v>
      </x:c>
      <x:c r="B21" s="16" t="str">
        <x:v>辅助表 MVP_cycle_state=660行</x:v>
      </x:c>
      <x:c r="C21" s="16" t="str">
        <x:v>PASS</x:v>
      </x:c>
      <x:c r="D21" s="16" t="str">
        <x:v>—</x:v>
      </x:c>
      <x:c r="E21" s="16" t="str">
        <x:v>B_AI交付/05_工具脚本/b00_out/B00_RECEIPT_CHECK_20260825.md</x:v>
      </x:c>
      <x:c r="F21" s="16" t="str">
        <x:v>保持只读证据</x:v>
      </x:c>
    </x:row>
    <x:row r="22" ht="26.399999618530273" hidden="0" customHeight="1">
      <x:c r="A22" s="16" t="n">
        <x:v>17</x:v>
      </x:c>
      <x:c r="B22" s="16" t="str">
        <x:v>企业 168=160 global+8 region</x:v>
      </x:c>
      <x:c r="C22" s="16" t="str">
        <x:v>PASS</x:v>
      </x:c>
      <x:c r="D22" s="16" t="str">
        <x:v>168=168, global=160, region=8</x:v>
      </x:c>
      <x:c r="E22" s="16" t="str">
        <x:v>B_AI交付/05_工具脚本/b00_out/B00_RECEIPT_CHECK_20260825.md</x:v>
      </x:c>
      <x:c r="F22" s="16" t="str">
        <x:v>保持只读证据</x:v>
      </x:c>
    </x:row>
    <x:row r="23" ht="26.399999618530273" hidden="0" customHeight="1">
      <x:c r="A23" s="16" t="n">
        <x:v>18</x:v>
      </x:c>
      <x:c r="B23" s="16" t="str">
        <x:v>国家桥=0（bridge全region且iso3空）</x:v>
      </x:c>
      <x:c r="C23" s="16" t="str">
        <x:v>PASS</x:v>
      </x:c>
      <x:c r="D23" s="16" t="str">
        <x:v>8行</x:v>
      </x:c>
      <x:c r="E23" s="16" t="str">
        <x:v>B_AI交付/05_工具脚本/b00_out/B00_RECEIPT_CHECK_20260825.md</x:v>
      </x:c>
      <x:c r="F23" s="16" t="str">
        <x:v>保持只读证据</x:v>
      </x:c>
    </x:row>
    <x:row r="24" ht="26.399999618530273" hidden="0" customHeight="1">
      <x:c r="A24" s="16" t="n">
        <x:v>19</x:v>
      </x:c>
      <x:c r="B24" s="16" t="str">
        <x:v>海外收入三字段可用值=0</x:v>
      </x:c>
      <x:c r="C24" s="16" t="str">
        <x:v>PASS</x:v>
      </x:c>
      <x:c r="D24" s="16" t="str">
        <x:v>非空 0</x:v>
      </x:c>
      <x:c r="E24" s="16" t="str">
        <x:v>B_AI交付/05_工具脚本/b00_out/B00_RECEIPT_CHECK_20260825.md</x:v>
      </x:c>
      <x:c r="F24" s="16" t="str">
        <x:v>保持只读证据</x:v>
      </x:c>
    </x:row>
    <x:row r="25" ht="26.399999618530273" hidden="0" customHeight="1">
      <x:c r="A25" s="16" t="n">
        <x:v>20</x:v>
      </x:c>
      <x:c r="B25" s="16" t="str">
        <x:v>历史18条 1970/pending/评级空</x:v>
      </x:c>
      <x:c r="C25" s="16" t="str">
        <x:v>PASS</x:v>
      </x:c>
      <x:c r="D25" s="16" t="str">
        <x:v>18条</x:v>
      </x:c>
      <x:c r="E25" s="16" t="str">
        <x:v>B_AI交付/05_工具脚本/b00_out/B00_RECEIPT_CHECK_20260825.md</x:v>
      </x:c>
      <x:c r="F25" s="16" t="str">
        <x:v>保持只读证据</x:v>
      </x:c>
    </x:row>
    <x:row r="26" ht="26.399999618530273" hidden="0" customHeight="1">
      <x:c r="A26" s="16" t="n">
        <x:v>21</x:v>
      </x:c>
      <x:c r="B26" s="16" t="str">
        <x:v>HIST001/002/018 modern_backtest_allowed=0</x:v>
      </x:c>
      <x:c r="C26" s="16" t="str">
        <x:v>PASS</x:v>
      </x:c>
      <x:c r="D26" s="16" t="str">
        <x:v>{'HIST001': 0, 'HIST002': 0, 'HIST018': 0}</x:v>
      </x:c>
      <x:c r="E26" s="16" t="str">
        <x:v>B_AI交付/05_工具脚本/b00_out/B00_RECEIPT_CHECK_20260825.md</x:v>
      </x:c>
      <x:c r="F26" s="16" t="str">
        <x:v>保持只读证据</x:v>
      </x:c>
    </x:row>
    <x:row r="27" ht="26.399999618530273" hidden="0" customHeight="1">
      <x:c r="A27" s="16" t="n">
        <x:v>22</x:v>
      </x:c>
      <x:c r="B27" s="16" t="str">
        <x:v>MVP三表行数 40/20/660</x:v>
      </x:c>
      <x:c r="C27" s="16" t="str">
        <x:v>PASS</x:v>
      </x:c>
      <x:c r="D27" s="16" t="str">
        <x:v>40/20/660</x:v>
      </x:c>
      <x:c r="E27" s="16" t="str">
        <x:v>B_AI交付/05_工具脚本/b00_out/B00_RECEIPT_CHECK_20260825.md</x:v>
      </x:c>
      <x:c r="F27" s="16" t="str">
        <x:v>保持只读证据</x:v>
      </x:c>
    </x:row>
    <x:row r="28" ht="26.399999618530273" hidden="0" customHeight="1">
      <x:c r="A28" s="16" t="n">
        <x:v>23</x:v>
      </x:c>
      <x:c r="B28" s="16" t="str">
        <x:v>触发分布 双2/单4/未触发34/不足0</x:v>
      </x:c>
      <x:c r="C28" s="16" t="str">
        <x:v>PASS</x:v>
      </x:c>
      <x:c r="D28" s="16" t="str">
        <x:v>{'未触发': 34, '单触发': 4, '双触发': 2}</x:v>
      </x:c>
      <x:c r="E28" s="16" t="str">
        <x:v>B_AI交付/05_工具脚本/b00_out/B00_RECEIPT_CHECK_20260825.md</x:v>
      </x:c>
      <x:c r="F28" s="16" t="str">
        <x:v>保持只读证据</x:v>
      </x:c>
    </x:row>
    <x:row r="29"/>
    <x:row r="30" ht="15" hidden="0" customHeight="1">
      <x:c r="A30" s="15" t="str">
        <x:v>汇总</x:v>
      </x:c>
      <x:c r="B30" s="15" t="str">
        <x:v>数值</x:v>
      </x:c>
    </x:row>
    <x:row r="31" ht="15" hidden="0" customHeight="1">
      <x:c r="A31" s="17" t="str">
        <x:v>PASS</x:v>
      </x:c>
      <x:c r="B31" s="17" t="n">
        <x:f>COUNTIF(C6:C28,"PASS")</x:f>
        <x:v>23</x:v>
      </x:c>
    </x:row>
    <x:row r="32" ht="15" hidden="0" customHeight="1">
      <x:c r="A32" s="17" t="str">
        <x:v>FAIL</x:v>
      </x:c>
      <x:c r="B32" s="17" t="n">
        <x:f>COUNTIF(C6:C28,"FAIL")</x:f>
        <x:v>0</x:v>
      </x:c>
    </x:row>
    <x:row r="33" ht="15" hidden="0" customHeight="1">
      <x:c r="A33" s="17" t="str">
        <x:v>BLOCKED</x:v>
      </x:c>
      <x:c r="B33" s="17" t="n">
        <x:f>COUNTIF(C6:C28,"BLOCKED")</x:f>
        <x:v>0</x:v>
      </x:c>
    </x:row>
    <x:row r="34" ht="15" hidden="0" customHeight="1">
      <x:c r="A34" s="17" t="str">
        <x:v>自动核对状态</x:v>
      </x:c>
      <x:c r="B34" s="17" t="str">
        <x:f>IF(B32&gt;0,"FAIL",IF(B33&gt;0,"BLOCKED","PASS"))</x:f>
        <x:v>PASS</x:v>
      </x:c>
    </x:row>
  </x:sheetData>
  <x:mergeCells>
    <x:mergeCell ref="A1:F1"/>
    <x:mergeCell ref="A2:F2"/>
    <x:mergeCell ref="A3:F3"/>
  </x:mergeCells>
  <x:conditionalFormatting sqref="C6:C28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FAIL"/>
  </x:conditionalFormatting>
  <x:conditionalFormatting sqref="B34:B34">
    <x:cfRule type="containsText" dxfId="3" priority="4" operator="containsText" text="PASS"/>
    <x:cfRule type="containsText" dxfId="4" priority="5" operator="containsText" text="BLOCKED"/>
    <x:cfRule type="containsText" dxfId="5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90a037fcde64a45"/>
  </x:tableParts>
</x:worksheet>
</file>